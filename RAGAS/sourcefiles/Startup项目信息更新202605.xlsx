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externalLinks/externalLink19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27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externalLinks/externalLink5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0.xml" ContentType="application/vnd.openxmlformats-officedocument.spreadsheetml.externalLink+xml"/>
  <Override PartName="/xl/styles.xml" ContentType="application/vnd.openxmlformats-officedocument.spreadsheetml.styles+xml"/>
  <Override PartName="/xl/externalLinks/externalLink46.xml" ContentType="application/vnd.openxmlformats-officedocument.spreadsheetml.externalLink+xml"/>
  <Override PartName="/xl/sharedStrings.xml" ContentType="application/vnd.openxmlformats-officedocument.spreadsheetml.sharedStrings+xml"/>
  <Override PartName="/xl/externalLinks/externalLink42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13.xml" ContentType="application/vnd.openxmlformats-officedocument.spreadsheetml.externalLink+xml"/>
  <Override PartName="/docProps/core.xml" ContentType="application/vnd.openxmlformats-package.core-properties+xml"/>
  <Override PartName="/xl/externalLinks/externalLink14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1.xml" ContentType="application/vnd.openxmlformats-officedocument.spreadsheetml.externalLink+xml"/>
  <Override PartName="/docProps/app.xml" ContentType="application/vnd.openxmlformats-officedocument.extended-properties+xml"/>
  <Override PartName="/xl/externalLinks/externalLink37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25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D:\Desktop\新建文件夹\"/>
  <bookViews>
    <workbookView activeTab="0"/>
  </bookViews>
  <sheets>
    <sheet name="项目信息" sheetId="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_xlnm._FilterDatabase" localSheetId="0">项目信息!$A$1:$AJ$267</definedName>
    <definedName name="자료">#REF!</definedName>
    <definedName name="수량">#REF!</definedName>
    <definedName name="_xlnm.Extract">#REF!</definedName>
    <definedName name="明细分类账">#REF!</definedName>
    <definedName name="단가">#REF!</definedName>
    <definedName name="固定资产折旧表">#REF!</definedName>
    <definedName name="zzzzcc" hidden="1">{#N/A,#N/A,FALSE,"Report";#N/A,#N/A,FALSE,"Credit Debit Notes";#N/A,#N/A,FALSE,"Explanations";#N/A,#N/A,FALSE,"Summary";#N/A,#N/A,FALSE,"Budget";#N/A,#N/A,FALSE,"Actua"}</definedName>
    <definedName name="zzzz">'[52]Page 14-A'!$A$6:$J$37</definedName>
    <definedName name="zzz9">'[4]Page 30'!$B$29:$R$37</definedName>
    <definedName name="zzz8">'[4]Page 30'!$B$6:$R$27</definedName>
    <definedName name="zzz7">'[4]Page 26'!$B$31:$N$36</definedName>
    <definedName name="zzz5">'[4]Page 25'!$B$6:$U$32</definedName>
    <definedName name="zzz2">'[4]Page 21'!$B$6:$N$35</definedName>
    <definedName name="zzz17">'[4]Page 8'!$B$6:$R$26</definedName>
    <definedName name="zzz14">'[4]Page 39'!$B$6:$M$27</definedName>
    <definedName name="zzz13">#REF!</definedName>
    <definedName name="zzz12">#REF!</definedName>
    <definedName name="zzz1">'[4]Page 20'!$B$6:$Q$34</definedName>
    <definedName name="Zprint9S">#REF!</definedName>
    <definedName name="Zprint8">#REF!</definedName>
    <definedName name="Zprint7S">#REF!</definedName>
    <definedName name="Zprint7">#REF!</definedName>
    <definedName name="zprint6">#REF!</definedName>
    <definedName name="Zprint42">#REF!</definedName>
    <definedName name="Zprint37">'[51]Page 37'!$B$6:$J$37</definedName>
    <definedName name="Zprint35">#REF!</definedName>
    <definedName name="Zprint32S">#REF!</definedName>
    <definedName name="Zprint316">'[4]Non quality costs'!$B$30:$R$35</definedName>
    <definedName name="Zprint30S">'[51]Page 30'!$B$29:$R$37</definedName>
    <definedName name="Zprint27S">#REF!</definedName>
    <definedName name="Zprint26S">'[51]Page 26'!$B$31:$N$36</definedName>
    <definedName name="Zprint25">'[51]Page 25'!$B$6:$U$32</definedName>
    <definedName name="Zprint20">#REF!</definedName>
    <definedName name="Zprint18">#REF!</definedName>
    <definedName name="Zprint17">#REF!</definedName>
    <definedName name="Zprint16S">#REF!</definedName>
    <definedName name="Zprint15">#REF!</definedName>
    <definedName name="Zprint12">#REF!</definedName>
    <definedName name="Zprint1">#REF!</definedName>
    <definedName name="Zprint0">#REF!</definedName>
    <definedName name="Zone_impres_MI">#REF!</definedName>
    <definedName name="zddd">'[10]Page 26'!$B$6:$N$29</definedName>
    <definedName name="zadfzdfzedf">#REF!</definedName>
    <definedName name="YTD">[2]Parametres!$D$16:$O$16</definedName>
    <definedName name="YesNo">'[17]Reference data'!$A$7:$A$8</definedName>
    <definedName name="xx" hidden="1">{#N/A,#N/A,FALSE,"Key Performance Indicators";#N/A,#N/A,FALSE,"Glossary";#N/A,#N/A,FALSE,"Production Top 20";#N/A,#N/A,FALSE,"Non Prod. Top 20";#N/A,#N/A,FALSE,"MPI";#N/A,#N/A,FALSE,"GPI";#N/A,#N/A,FALSE,"Comments"}</definedName>
    <definedName name="XSumme">#REF!</definedName>
    <definedName name="x" hidden="1">{#N/A,#N/A,FALSE,"Report";#N/A,#N/A,FALSE,"Credit Debit Notes";#N/A,#N/A,FALSE,"Explanations";#N/A,#N/A,FALSE,"Summary"}</definedName>
    <definedName name="wrn.Total.2" hidden="1">{#N/A,#N/A,FALSE,"Report";#N/A,#N/A,FALSE,"Credit Debit Notes";#N/A,#N/A,FALSE,"Explanations";#N/A,#N/A,FALSE,"Summary";#N/A,#N/A,FALSE,"Budget";#N/A,#N/A,FALSE,"Actua"}</definedName>
    <definedName name="wrn.target." hidden="1">{#N/A,#N/A,TRUE,"RIDE";#N/A,#N/A,TRUE,"STEERING";#N/A,#N/A,TRUE,"HANDLING";#N/A,#N/A,TRUE,"BRAKING"}</definedName>
    <definedName name="wrn.RENTABILITE." hidden="1">{#N/A,#N/A,FALSE,"TRACAT1";#N/A,#N/A,FALSE,"PROJET"}</definedName>
    <definedName name="wrn.Monthly.2" hidden="1">{#N/A,#N/A,FALSE,"Report";#N/A,#N/A,FALSE,"Credit Debit Notes";#N/A,#N/A,FALSE,"Explanations";#N/A,#N/A,FALSE,"Summary"}</definedName>
    <definedName name="wrn.Monthly." hidden="1">{#N/A,#N/A,FALSE,"Report";#N/A,#N/A,FALSE,"Credit Debit Notes";#N/A,#N/A,FALSE,"Explanations";#N/A,#N/A,FALSE,"Summary"}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DETAIL._.OFFRE." hidden="1">{#N/A,#N/A,FALSE,"OFFRE64";#N/A,#N/A,FALSE,"836021";#N/A,#N/A,FALSE,"CATARN";#N/A,#N/A,FALSE,"ECRAN";#N/A,#N/A,FALSE,"ECRANSOR";#N/A,#N/A,FALSE,"836064";#N/A,#N/A,FALSE,"SilencRN";#N/A,#N/A,FALSE,"CamaraRN"}</definedName>
    <definedName name="wrn." hidden="1">{#N/A,#N/A,FALSE,"Report";#N/A,#N/A,FALSE,"Credit Debit Notes";#N/A,#N/A,FALSE,"Explanations";#N/A,#N/A,FALSE,"Summary";#N/A,#N/A,FALSE,"Budget";#N/A,#N/A,FALSE,"Actua"}</definedName>
    <definedName name="Warranty_3MIS">[3]Feuil1!$A$1:$S$42</definedName>
    <definedName name="walkway" hidden="1">{#N/A,#N/A,FALSE,"ANCHIETA";#N/A,#N/A,FALSE,"SUMMARY";#N/A,#N/A,FALSE,"TAUBATE";#N/A,#N/A,FALSE,"PACHECO"}</definedName>
    <definedName name="w" hidden="1">{#N/A,#N/A,FALSE,"Key Performance Indicators";#N/A,#N/A,FALSE,"Glossary";#N/A,#N/A,FALSE,"Production Top 20";#N/A,#N/A,FALSE,"Non Prod. Top 20";#N/A,#N/A,FALSE,"MPI";#N/A,#N/A,FALSE,"GPI";#N/A,#N/A,FALSE,"Comments"}</definedName>
    <definedName name="vx" hidden="1">{#N/A,#N/A,FALSE,"TRACAT1";#N/A,#N/A,FALSE,"PROJET"}</definedName>
    <definedName name="VARESOP">#REF!</definedName>
    <definedName name="valtm9">[37]Instrument!$P$71</definedName>
    <definedName name="valtM4">'[50]31.12.03'!$O$50</definedName>
    <definedName name="valtM1">'[50]31.12.03'!$O$20</definedName>
    <definedName name="zone1">#REF!</definedName>
    <definedName name="valt7">[37]Instrument!$P$61</definedName>
    <definedName name="valt12">[37]Instrument!$P$86</definedName>
    <definedName name="valt11">[37]Instrument!$P$81</definedName>
    <definedName name="valintM9">[37]Instrument!$O$71</definedName>
    <definedName name="valintM8">[37]Instrument!$O$66</definedName>
    <definedName name="valintM7">'[50]31.12.03'!$N$62</definedName>
    <definedName name="valintM5">'[50]31.12.03'!$N$54</definedName>
    <definedName name="valintM1">'[50]31.12.03'!$N$20</definedName>
    <definedName name="valint11">[37]Instrument!$O$81</definedName>
    <definedName name="VA">#REF!</definedName>
    <definedName name="v_1">#N/A</definedName>
    <definedName name="usdo12">#REF!</definedName>
    <definedName name="USDO">#REF!</definedName>
    <definedName name="USDC">#REF!</definedName>
    <definedName name="Units">#REF!</definedName>
    <definedName name="UNITE">#REF!</definedName>
    <definedName name="Unit">#REF!</definedName>
    <definedName name="tytyty" hidden="1">{#N/A,#N/A,FALSE,"Report";#N/A,#N/A,FALSE,"Credit Debit Notes";#N/A,#N/A,FALSE,"Explanations";#N/A,#N/A,FALSE,"Summary"}</definedName>
    <definedName name="tytyt" hidden="1">{#N/A,#N/A,FALSE,"Report";#N/A,#N/A,FALSE,"Credit Debit Notes";#N/A,#N/A,FALSE,"Explanations";#N/A,#N/A,FALSE,"Summary";#N/A,#N/A,FALSE,"Budget";#N/A,#N/A,FALSE,"Actua"}</definedName>
    <definedName name="tyty" hidden="1">{#N/A,#N/A,FALSE,"Report";#N/A,#N/A,FALSE,"Credit Debit Notes";#N/A,#N/A,FALSE,"Explanations";#N/A,#N/A,FALSE,"Summary";#N/A,#N/A,FALSE,"Budget";#N/A,#N/A,FALSE,"Actua"}</definedName>
    <definedName name="ttyutuyuè">'[10]Page 8'!$B$6:$R$26</definedName>
    <definedName name="tttt" hidden="1">{#N/A,#N/A,FALSE,"Report";#N/A,#N/A,FALSE,"Credit Debit Notes";#N/A,#N/A,FALSE,"Explanations";#N/A,#N/A,FALSE,"Summary";#N/A,#N/A,FALSE,"Budget";#N/A,#N/A,FALSE,"Actua"}</definedName>
    <definedName name="trspt_RSA">[23]constante!$B$12</definedName>
    <definedName name="trspt_BE">[23]constante!$B$11</definedName>
    <definedName name="total_reprev">[21]Donnees!#REF!</definedName>
    <definedName name="total_prev">[21]Donnees!$BI$4</definedName>
    <definedName name="tlèiiom" hidden="1">{#N/A,#N/A,FALSE,"Report";#N/A,#N/A,FALSE,"Credit Debit Notes";#N/A,#N/A,FALSE,"Explanations";#N/A,#N/A,FALSE,"Summary";#N/A,#N/A,FALSE,"Budget";#N/A,#N/A,FALSE,"Actua"}</definedName>
    <definedName name="tauxhomme">#REF!</definedName>
    <definedName name="TABLE_QUALITE">#REF!</definedName>
    <definedName name="Table_by_Month">[47]Data!$J$4:$K$15</definedName>
    <definedName name="Table">#REF!</definedName>
    <definedName name="SYNTH2">#REF!</definedName>
    <definedName name="surf">#REF!</definedName>
    <definedName name="SUMSCHED">#REF!</definedName>
    <definedName name="SumPriori">#REF!</definedName>
    <definedName name="SumInvest">#REF!</definedName>
    <definedName name="SumGliederung">#REF!</definedName>
    <definedName name="SumErloese">#REF!</definedName>
    <definedName name="SUIVITRESO2">#REF!</definedName>
    <definedName name="STOCKS">#REF!</definedName>
    <definedName name="STD">[2]Parametres!$D$19:$O$19</definedName>
    <definedName name="STARTUP">#REF!</definedName>
    <definedName name="sssssssssssssssss">#REF!</definedName>
    <definedName name="sssssssssssssss">#REF!</definedName>
    <definedName name="ssssss">#REF!</definedName>
    <definedName name="sss">#REF!</definedName>
    <definedName name="ss">#REF!</definedName>
    <definedName name="SpoolPath">"C:\Programme\Symtrax\Compleo\Temp\00000000.txt"</definedName>
    <definedName name="车间">#REF!</definedName>
    <definedName name="Table_structure">#REF!</definedName>
    <definedName name="SorterParetoInterneDPV">[3]Feuil1!$V$3:$W$7</definedName>
    <definedName name="SorterDPVIntern">[3]Feuil1!$W$3:$W$7</definedName>
    <definedName name="SopYrIni">#REF!</definedName>
    <definedName name="SopYrFin">#REF!</definedName>
    <definedName name="SLIDE4">#REF!</definedName>
    <definedName name="SLIDE2">#REF!</definedName>
    <definedName name="Sizing_criteria_MOD">#REF!</definedName>
    <definedName name="Size_UoM">[44]LOV!$Q$2:$Q$3</definedName>
    <definedName name="siteapplication">[21]Donnees!$V$4</definedName>
    <definedName name="Site3">#REF!</definedName>
    <definedName name="SHS">#REF!</definedName>
    <definedName name="sfgh" hidden="1">{#N/A,#N/A,FALSE,"Report";#N/A,#N/A,FALSE,"Credit Debit Notes";#N/A,#N/A,FALSE,"Explanations";#N/A,#N/A,FALSE,"Summary";#N/A,#N/A,FALSE,"Budget";#N/A,#N/A,FALSE,"Actua"}</definedName>
    <definedName name="sfaasfasf">#REF!</definedName>
    <definedName name="service">[21]Donnees!$L$4</definedName>
    <definedName name="Septembre">#REF!</definedName>
    <definedName name="Sep_04">#REF!</definedName>
    <definedName name="Sep_03">#REF!</definedName>
    <definedName name="Sep_01">#REF!</definedName>
    <definedName name="semestre">'[15]Parametres 04'!$B$6:$B$7</definedName>
    <definedName name="sdg" hidden="1">{#N/A,#N/A,FALSE,"Report";#N/A,#N/A,FALSE,"Credit Debit Notes";#N/A,#N/A,FALSE,"Explanations";#N/A,#N/A,FALSE,"Summary"}</definedName>
    <definedName name="sdfsadf">#REF!</definedName>
    <definedName name="sdfads" hidden="1">{#N/A,#N/A,FALSE,"Key Performance Indicators";#N/A,#N/A,FALSE,"Glossary";#N/A,#N/A,FALSE,"Production Top 20";#N/A,#N/A,FALSE,"Non Prod. Top 20";#N/A,#N/A,FALSE,"MPI";#N/A,#N/A,FALSE,"GPI";#N/A,#N/A,FALSE,"Comments"}</definedName>
    <definedName name="sdbbgb">'[10]Page 31'!$B$30:$R$35</definedName>
    <definedName name="sdafasdf">#REF!</definedName>
    <definedName name="ScrapPraemie">[3]Feuil1!$G$8</definedName>
    <definedName name="SALESACT">#REF!</definedName>
    <definedName name="S2TD">#REF!</definedName>
    <definedName name="SumRubriken">#REF!</definedName>
    <definedName name="S2F">#REF!</definedName>
    <definedName name="S1TD">#REF!</definedName>
    <definedName name="S1F">#REF!</definedName>
    <definedName name="rubrique">[21]Donnees!$U$4</definedName>
    <definedName name="rty" hidden="1">{#N/A,#N/A,FALSE,"Report";#N/A,#N/A,FALSE,"Credit Debit Notes";#N/A,#N/A,FALSE,"Explanations";#N/A,#N/A,FALSE,"Summary";#N/A,#N/A,FALSE,"Budget";#N/A,#N/A,FALSE,"Actua"}</definedName>
    <definedName name="rttrtr" hidden="1">{#N/A,#N/A,FALSE,"Key Performance Indicators";#N/A,#N/A,FALSE,"Glossary";#N/A,#N/A,FALSE,"Production Top 20";#N/A,#N/A,FALSE,"Non Prod. Top 20";#N/A,#N/A,FALSE,"MPI";#N/A,#N/A,FALSE,"GPI";#N/A,#N/A,FALSE,"Comments"}</definedName>
    <definedName name="rtrtrt" hidden="1">{#N/A,#N/A,FALSE,"Report";#N/A,#N/A,FALSE,"Credit Debit Notes";#N/A,#N/A,FALSE,"Explanations";#N/A,#N/A,FALSE,"Summary";#N/A,#N/A,FALSE,"Budget";#N/A,#N/A,FALSE,"Actua"}</definedName>
    <definedName name="rtfhgttu">#REF!</definedName>
    <definedName name="rrr">[40]constante!$B$3</definedName>
    <definedName name="RR">#REF!</definedName>
    <definedName name="Rgpt">[3]Feuil1!#REF!</definedName>
    <definedName name="restruct">#REF!</definedName>
    <definedName name="reprev_08">[21]Donnees!#REF!</definedName>
    <definedName name="reprev_06">[21]Donnees!#REF!</definedName>
    <definedName name="SOMMAIRE">#REF!</definedName>
    <definedName name="reprev_04">[21]Donnees!#REF!</definedName>
    <definedName name="reprev_03">[21]Donnees!#REF!</definedName>
    <definedName name="reprev_01">[21]Donnees!#REF!</definedName>
    <definedName name="RENTAPROJ">#REF!</definedName>
    <definedName name="RENTAPROG">#REF!</definedName>
    <definedName name="Rejection">[3]Feuil1!$A$1:$S$50</definedName>
    <definedName name="Warranty_1MIS">[3]Feuil1!$A$1:$S$42</definedName>
    <definedName name="reel_11">[21]Donnees!$BV$4</definedName>
    <definedName name="reel_07">[21]Donnees!$BR$4</definedName>
    <definedName name="reel_02">[21]Donnees!$BM$4</definedName>
    <definedName name="reel_01">[21]Donnees!$BL$4</definedName>
    <definedName name="reais">[23]constante!$B$14</definedName>
    <definedName name="rate">[41]Rates!$B$2</definedName>
    <definedName name="Rastatt" hidden="1">{#N/A,#N/A,FALSE,"Key Performance Indicators";#N/A,#N/A,FALSE,"Glossary";#N/A,#N/A,FALSE,"Production Top 20";#N/A,#N/A,FALSE,"Non Prod. Top 20";#N/A,#N/A,FALSE,"MPI";#N/A,#N/A,FALSE,"GPI";#N/A,#N/A,FALSE,"Comments"}</definedName>
    <definedName name="QUEST9">#REF!</definedName>
    <definedName name="valint10">[37]Instrument!$O$76</definedName>
    <definedName name="QUEST8">#REF!</definedName>
    <definedName name="QUEST7">#REF!</definedName>
    <definedName name="QUEST5">#REF!</definedName>
    <definedName name="QUEST4">#REF!</definedName>
    <definedName name="QUEST3">#REF!</definedName>
    <definedName name="Quality_Run">[3]Feuil1!$A$1:$S$51</definedName>
    <definedName name="qsdfsdf" hidden="1">{#N/A,#N/A,FALSE,"Report";#N/A,#N/A,FALSE,"Credit Debit Notes";#N/A,#N/A,FALSE,"Explanations";#N/A,#N/A,FALSE,"Summary";#N/A,#N/A,FALSE,"Budget";#N/A,#N/A,FALSE,"Actua"}</definedName>
    <definedName name="qsd" hidden="1">{#N/A,#N/A,FALSE,"Key Performance Indicators";#N/A,#N/A,FALSE,"Glossary";#N/A,#N/A,FALSE,"Production Top 20";#N/A,#N/A,FALSE,"Non Prod. Top 20";#N/A,#N/A,FALSE,"MPI";#N/A,#N/A,FALSE,"GPI";#N/A,#N/A,FALSE,"Comments"}</definedName>
    <definedName name="q" hidden="1">{#N/A,#N/A,FALSE,"Key Performance Indicators";#N/A,#N/A,FALSE,"Glossary";#N/A,#N/A,FALSE,"Production Top 20";#N/A,#N/A,FALSE,"Non Prod. Top 20";#N/A,#N/A,FALSE,"MPI";#N/A,#N/A,FALSE,"GPI";#N/A,#N/A,FALSE,"Comments"}</definedName>
    <definedName name="Scrap">[3]Feuil1!$A$1:$U$56</definedName>
    <definedName name="pun">#REF!</definedName>
    <definedName name="PROV">#REF!</definedName>
    <definedName name="PROJETS">#REF!</definedName>
    <definedName name="Program">#REF!</definedName>
    <definedName name="Product">#REF!</definedName>
    <definedName name="Prod_Performance">[3]Feuil1!$A$1:$U$45</definedName>
    <definedName name="PROD">#REF!</definedName>
    <definedName name="Prj9Acc">#REF!</definedName>
    <definedName name="Prj8Apast">#REF!</definedName>
    <definedName name="Prj7Apast">#REF!</definedName>
    <definedName name="Prj6Apast">#REF!</definedName>
    <definedName name="Prj6Acc">#REF!</definedName>
    <definedName name="Prj6A">#REF!</definedName>
    <definedName name="Prj5Apast">#REF!</definedName>
    <definedName name="Prj5A">#REF!</definedName>
    <definedName name="Prj3Apast">#REF!</definedName>
    <definedName name="Prj3Acc">#REF!</definedName>
    <definedName name="Prj3A">#REF!</definedName>
    <definedName name="Prj2Apast">#REF!</definedName>
    <definedName name="Prj2Acc">#REF!</definedName>
    <definedName name="Prj1Acc">#REF!</definedName>
    <definedName name="Prj15Acc">#REF!</definedName>
    <definedName name="Prj14Apast">#REF!</definedName>
    <definedName name="Prj13Apast">#REF!</definedName>
    <definedName name="Prj13Acc">#REF!</definedName>
    <definedName name="Prj12Apast">#REF!</definedName>
    <definedName name="Prj12A">#REF!</definedName>
    <definedName name="Prj11Apast">#REF!</definedName>
    <definedName name="Prj11Acc">#REF!</definedName>
    <definedName name="Prj11A">#REF!</definedName>
    <definedName name="Prj10A">#REF!</definedName>
    <definedName name="Prior">#REF!</definedName>
    <definedName name="PREVTRESOBUD">#REF!</definedName>
    <definedName name="PREVTRESO2">#REF!</definedName>
    <definedName name="PREVTRESO1">#REF!</definedName>
    <definedName name="prev_09">[21]Donnees!$BE$4</definedName>
    <definedName name="SUIVITRESO1">#REF!</definedName>
    <definedName name="prev_04">[21]Donnees!$AZ$4</definedName>
    <definedName name="prev_03">[21]Donnees!$AY$4</definedName>
    <definedName name="prev_02">[21]Donnees!$AX$4</definedName>
    <definedName name="prev_01">[21]Donnees!$AW$4</definedName>
    <definedName name="ppm_Lieferant">[3]Feuil1!$A$1:$T$67</definedName>
    <definedName name="valintM6">'[50]31.12.03'!$N$58</definedName>
    <definedName name="PnLStdASIA">#REF!</definedName>
    <definedName name="PLANT">#REF!</definedName>
    <definedName name="PL">#REF!</definedName>
    <definedName name="pilote">[21]Donnees!$J$4</definedName>
    <definedName name="pi">[40]constante!$B$1</definedName>
    <definedName name="PERIODE">#REF!</definedName>
    <definedName name="period">'[39]Asia analysis'!$A$99:$A$110</definedName>
    <definedName name="PART_STATE">[14]LOV!$G$2:$G$10</definedName>
    <definedName name="ParetoPPMJCNotif">[3]Feuil1!$R$3:$S$35</definedName>
    <definedName name="PAGINA" hidden="1">{#N/A,#N/A,FALSE,"ANCHIETA";#N/A,#N/A,FALSE,"SUMMARY";#N/A,#N/A,FALSE,"TAUBATE";#N/A,#N/A,FALSE,"PACHECO"}</definedName>
    <definedName name="page1a">#REF!</definedName>
    <definedName name="p">#N/A</definedName>
    <definedName name="OUT">'[17]Reference data'!$A$62:$A$67</definedName>
    <definedName name="OS_ECO2">#REF!</definedName>
    <definedName name="OS_base">#REF!</definedName>
    <definedName name="ordencost">#REF!</definedName>
    <definedName name="orden">#REF!</definedName>
    <definedName name="OPRES1">#REF!</definedName>
    <definedName name="On_Time_Delivery">[3]Feuil1!$A$1:$S$37</definedName>
    <definedName name="Oct_01">#REF!</definedName>
    <definedName name="Novembre">#REF!</definedName>
    <definedName name="NOVA_C">[3]Feuil1!$A$1:$U$93</definedName>
    <definedName name="Nov_03">#REF!</definedName>
    <definedName name="Nov_02">#REF!</definedName>
    <definedName name="Nov_01">#REF!</definedName>
    <definedName name="Non_Capable_Processes">[3]Feuil1!$A$1:$P$41</definedName>
    <definedName name="nomprog">#REF!</definedName>
    <definedName name="nominalM9">[37]Instrument!$E$71</definedName>
    <definedName name="nominal12">[37]Instrument!$E$86</definedName>
    <definedName name="PREVISION">#REF!</definedName>
    <definedName name="niveau_gains">[21]Donnees!$AR$4</definedName>
    <definedName name="New_input_set">[36]Param!#REF!</definedName>
    <definedName name="NEU">#REF!</definedName>
    <definedName name="Net_Income_Réel">[3]Feuil1!#REF!</definedName>
    <definedName name="Net_Income">[3]Feuil1!#REF!</definedName>
    <definedName name="nature">[21]Donnees!$M$4</definedName>
    <definedName name="NAO_Comments">'[8]FI-2D10 MAG NAO'!$R$76:$U$184</definedName>
    <definedName name="NAO">#REF!</definedName>
    <definedName name="monnaie">#REF!</definedName>
    <definedName name="Mold">"ComboBox1"</definedName>
    <definedName name="mois_gains_reel">[21]Donnees!$AM$4</definedName>
    <definedName name="mois_fin_reel">[21]Donnees!$AI$4</definedName>
    <definedName name="mois_debut_reel">[21]Donnees!$AE$4</definedName>
    <definedName name="mois_debut_prev">[21]Donnees!$AC$4</definedName>
    <definedName name="mois_creation">[21]Donnees!$AA$4</definedName>
    <definedName name="MOIS">[34]PRESENTATION!$E$15</definedName>
    <definedName name="MOI">#REF!</definedName>
    <definedName name="Prj1Apast">#REF!</definedName>
    <definedName name="Model">#REF!</definedName>
    <definedName name="MOD_Standard">#REF!</definedName>
    <definedName name="MOD_Budget">#REF!</definedName>
    <definedName name="MoB">#REF!</definedName>
    <definedName name="MMM">'[10]Page 31'!$B$30:$R$35</definedName>
    <definedName name="mm" hidden="1">{#N/A,#N/A,FALSE,"Report";#N/A,#N/A,FALSE,"Credit Debit Notes";#N/A,#N/A,FALSE,"Explanations";#N/A,#N/A,FALSE,"Summary"}</definedName>
    <definedName name="mlmlmlmlmlmlmlm" hidden="1">{#N/A,#N/A,FALSE,"Report";#N/A,#N/A,FALSE,"Credit Debit Notes";#N/A,#N/A,FALSE,"Explanations";#N/A,#N/A,FALSE,"Summary";#N/A,#N/A,FALSE,"Budget";#N/A,#N/A,FALSE,"Actua"}</definedName>
    <definedName name="MIMP">#REF!</definedName>
    <definedName name="MesDivisions">[31]Divisions!$B$3:$B$13</definedName>
    <definedName name="MensuelS2">[2]Parametres!$D$15:$O$15</definedName>
    <definedName name="Mensuel">[2]Parametres!$D$14:$O$14</definedName>
    <definedName name="MdC_ECO2">#REF!</definedName>
    <definedName name="PdF">#REF!</definedName>
    <definedName name="MdC_ECO1">#REF!</definedName>
    <definedName name="MdC_base">#REF!</definedName>
    <definedName name="MBMOIS">#REF!</definedName>
    <definedName name="May_03">#REF!</definedName>
    <definedName name="May_02">#REF!</definedName>
    <definedName name="May_01">#REF!</definedName>
    <definedName name="Marketing">"ComboBox1"</definedName>
    <definedName name="MARGE">#REF!</definedName>
    <definedName name="Mar_03">#REF!</definedName>
    <definedName name="Mar_02">#REF!</definedName>
    <definedName name="Mar_01">#REF!</definedName>
    <definedName name="XXC" hidden="1">{#N/A,#N/A,FALSE,"Report";#N/A,#N/A,FALSE,"Credit Debit Notes";#N/A,#N/A,FALSE,"Explanations";#N/A,#N/A,FALSE,"Summary";#N/A,#N/A,FALSE,"Budget";#N/A,#N/A,FALSE,"Actua"}</definedName>
    <definedName name="manpsa" hidden="1">{#N/A,#N/A,FALSE,"TRACAT1";#N/A,#N/A,FALSE,"PROJET"}</definedName>
    <definedName name="manifvw" hidden="1">{#N/A,#N/A,FALSE,"TRACAT1";#N/A,#N/A,FALSE,"PROJET"}</definedName>
    <definedName name="manifsa" hidden="1">{#N/A,#N/A,FALSE,"TRACAT1";#N/A,#N/A,FALSE,"PROJET"}</definedName>
    <definedName name="manifps" hidden="1">{#N/A,#N/A,FALSE,"TRACAT1";#N/A,#N/A,FALSE,"PROJET"}</definedName>
    <definedName name="manif" hidden="1">{#N/A,#N/A,FALSE,"ANCHIETA";#N/A,#N/A,FALSE,"SUMMARY";#N/A,#N/A,FALSE,"TAUBATE";#N/A,#N/A,FALSE,"PACHECO"}</definedName>
    <definedName name="mani6" hidden="1">{#N/A,#N/A,FALSE,"836082";#N/A,#N/A,FALSE,"PR836066 (2)";#N/A,#N/A,FALSE,"PR836066E";#N/A,#N/A,FALSE,"SilencF3RE";#N/A,#N/A,FALSE,"CamaraF3RE"}</definedName>
    <definedName name="mani5" hidden="1">{#N/A,#N/A,FALSE,"836082";#N/A,#N/A,FALSE,"PR836066 (2)";#N/A,#N/A,FALSE,"PR836066E";#N/A,#N/A,FALSE,"SilencF3RE";#N/A,#N/A,FALSE,"CamaraF3RE"}</definedName>
    <definedName name="Mani" hidden="1">{#N/A,#N/A,FALSE,"TRACAT1";#N/A,#N/A,FALSE,"PROJET"}</definedName>
    <definedName name="mai">#REF!</definedName>
    <definedName name="Madr" hidden="1">{#N/A,#N/A,FALSE,"Key Performance Indicators";#N/A,#N/A,FALSE,"Glossary";#N/A,#N/A,FALSE,"Production Top 20";#N/A,#N/A,FALSE,"Non Prod. Top 20";#N/A,#N/A,FALSE,"MPI";#N/A,#N/A,FALSE,"GPI";#N/A,#N/A,FALSE,"Comments"}</definedName>
    <definedName name="Machine">[33]TARIF!$A$30:$A$354</definedName>
    <definedName name="LT500renApast">#REF!</definedName>
    <definedName name="LT500renAcc">#REF!</definedName>
    <definedName name="LT500ren">#REF!</definedName>
    <definedName name="LT500quaApast">#REF!</definedName>
    <definedName name="LT500qua">#REF!</definedName>
    <definedName name="LT500proApast">#REF!</definedName>
    <definedName name="LT500proA">#REF!</definedName>
    <definedName name="LT500pro">#REF!</definedName>
    <definedName name="LT500othAcc">#REF!</definedName>
    <definedName name="LT500oth">#REF!</definedName>
    <definedName name="LT500capApast">#REF!</definedName>
    <definedName name="SUMMEN">[46]Rohrteile!$35:$35</definedName>
    <definedName name="LT500capA">#REF!</definedName>
    <definedName name="Logistic">"ComboBox1"</definedName>
    <definedName name="ListeVeh">#REF!</definedName>
    <definedName name="ListeSites">[32]Param!#REF!</definedName>
    <definedName name="ListePL">'[31]P&amp;L'!$B$3:$B$5</definedName>
    <definedName name="liste">[28]Feuil2!$A$1:$E$58</definedName>
    <definedName name="LISTBASE2">#REF!</definedName>
    <definedName name="Line">'[17]Reference data'!$A$37:$A$39</definedName>
    <definedName name="Level">'[17]Reference data'!$A$29:$A$34</definedName>
    <definedName name="layout" hidden="1">{#N/A,#N/A,FALSE,"836082";#N/A,#N/A,FALSE,"PR836066 (2)";#N/A,#N/A,FALSE,"PR836066E";#N/A,#N/A,FALSE,"SilencF3RE";#N/A,#N/A,FALSE,"CamaraF3RE"}</definedName>
    <definedName name="launch">[30]Dash!#REF!</definedName>
    <definedName name="Labor2">'[17]Reference data'!$A$3:$A$4</definedName>
    <definedName name="Labor">#REF!</definedName>
    <definedName name="L">#N/A</definedName>
    <definedName name="kwakutell">#REF!</definedName>
    <definedName name="SLIDE1">#REF!</definedName>
    <definedName name="KL">[29]IOP!$C$1:$E$55</definedName>
    <definedName name="KKK">[29]IOP!$B$7:$J$17</definedName>
    <definedName name="kjkjkjkjkjkjk" hidden="1">{#N/A,#N/A,FALSE,"Report";#N/A,#N/A,FALSE,"Credit Debit Notes";#N/A,#N/A,FALSE,"Explanations";#N/A,#N/A,FALSE,"Summary";#N/A,#N/A,FALSE,"Budget";#N/A,#N/A,FALSE,"Actua"}</definedName>
    <definedName name="Oper_inc_loss_after_empl._profit_sharing_Réel">[3]Feuil1!#REF!</definedName>
    <definedName name="kjjjk" hidden="1">{#N/A,#N/A,FALSE,"Report";#N/A,#N/A,FALSE,"Credit Debit Notes";#N/A,#N/A,FALSE,"Explanations";#N/A,#N/A,FALSE,"Summary";#N/A,#N/A,FALSE,"Budget";#N/A,#N/A,FALSE,"Actua"}</definedName>
    <definedName name="kgjg" hidden="1">{#N/A,#N/A,FALSE,"Key Performance Indicators";#N/A,#N/A,FALSE,"Glossary";#N/A,#N/A,FALSE,"Production Top 20";#N/A,#N/A,FALSE,"Non Prod. Top 20";#N/A,#N/A,FALSE,"MPI";#N/A,#N/A,FALSE,"GPI";#N/A,#N/A,FALSE,"Comments"}</definedName>
    <definedName name="Jun_04">#REF!</definedName>
    <definedName name="Jun_03">#REF!</definedName>
    <definedName name="Jun_01">#REF!</definedName>
    <definedName name="Jul_04">#REF!</definedName>
    <definedName name="Jul_03">#REF!</definedName>
    <definedName name="Jul_02">#REF!</definedName>
    <definedName name="Jul_01">#REF!</definedName>
    <definedName name="시화">#REF!</definedName>
    <definedName name="Juillet">#REF!</definedName>
    <definedName name="Status">'[17]Reference data'!$A$24:$A$26</definedName>
    <definedName name="jopjiop_1">#N/A</definedName>
    <definedName name="jopjiop">#N/A</definedName>
    <definedName name="jkjkkjkjkj" hidden="1">{#N/A,#N/A,FALSE,"Report";#N/A,#N/A,FALSE,"Credit Debit Notes";#N/A,#N/A,FALSE,"Explanations";#N/A,#N/A,FALSE,"Summary";#N/A,#N/A,FALSE,"Budget";#N/A,#N/A,FALSE,"Actua"}</definedName>
    <definedName name="JJ">#REF!</definedName>
    <definedName name="jgfjfdj">#REF!</definedName>
    <definedName name="jed" hidden="1">{#N/A,#N/A,FALSE,"Key Performance Indicators";#N/A,#N/A,FALSE,"Glossary";#N/A,#N/A,FALSE,"Production Top 20";#N/A,#N/A,FALSE,"Non Prod. Top 20";#N/A,#N/A,FALSE,"MPI";#N/A,#N/A,FALSE,"GPI";#N/A,#N/A,FALSE,"Comments"}</definedName>
    <definedName name="Janvier">#REF!</definedName>
    <definedName name="Jan_03">#REF!</definedName>
    <definedName name="jacki">#REF!</definedName>
    <definedName name="IQ_Z_SCORE" hidden="1">"c1339"</definedName>
    <definedName name="IQ_YTW_DATE_TYPE" hidden="1">"c2165"</definedName>
    <definedName name="IQ_YTW" hidden="1">"c2163"</definedName>
    <definedName name="IQ_YTD" hidden="1">3000</definedName>
    <definedName name="IQ_YEARLOW" hidden="1">"c1338"</definedName>
    <definedName name="IQ_YEARHIGH_DATE" hidden="1">"c2250"</definedName>
    <definedName name="IQ_WORKMEN_WRITTEN" hidden="1">"c1336"</definedName>
    <definedName name="IQ_WIP_INV" hidden="1">"c1335"</definedName>
    <definedName name="IQ_WARRANTS_STRIKE_PRICE_ISSUED" hidden="1">"c2704"</definedName>
    <definedName name="IQ_WARRANTS_ISSUED" hidden="1">"c2699"</definedName>
    <definedName name="IQ_WARRANTS_EXERCISED" hidden="1">"c2700"</definedName>
    <definedName name="IQ_WARRANTS_END_OS" hidden="1">"c2702"</definedName>
    <definedName name="IQ_WARRANTS_BEG_OS" hidden="1">"c2698"</definedName>
    <definedName name="IQ_VOLUME" hidden="1">"c1333"</definedName>
    <definedName name="IQ_VOL_LAST_YR" hidden="1">"c1527"</definedName>
    <definedName name="IQ_VOL_LAST_MTH" hidden="1">"c1524"</definedName>
    <definedName name="IQ_VOL_LAST_6MTH" hidden="1">"c1526"</definedName>
    <definedName name="IQ_VALUE_TRADED_LAST_YR" hidden="1">"c1532"</definedName>
    <definedName name="IQ_VALUE_TRADED_LAST_MTH" hidden="1">"c1529"</definedName>
    <definedName name="rap">#REF!</definedName>
    <definedName name="Mat">#REF!</definedName>
    <definedName name="IQ_VALUE_TRADED_LAST_3MTH" hidden="1">"c1530"</definedName>
    <definedName name="Month">[35]Listes!$A$1:$A$7</definedName>
    <definedName name="IQ_UV_PENSION_LIAB" hidden="1">"c1332"</definedName>
    <definedName name="IQ_UTIL_REV" hidden="1">"c2091"</definedName>
    <definedName name="IQ_US_GAAP_TOTAL_EQUITY_ADJ" hidden="1">"c2929"</definedName>
    <definedName name="IQ_US_GAAP_SGA_ADJ" hidden="1">"c2952"</definedName>
    <definedName name="IQ_US_GAAP_RD_ADJ" hidden="1">"c2953"</definedName>
    <definedName name="IQ_US_GAAP_OTHER_OPER_ADJ" hidden="1">"c2954"</definedName>
    <definedName name="IQ_US_GAAP_OTHER_ADJ_ADJ" hidden="1">"c2962"</definedName>
    <definedName name="IQ_US_GAAP_NI_AVAIL_INCL" hidden="1">"c2978"</definedName>
    <definedName name="IQ_US_GAAP_NI_ADJ" hidden="1">"c2963"</definedName>
    <definedName name="IQ_US_GAAP_NET_CHANGE_ADJ" hidden="1">"c2942"</definedName>
    <definedName name="IQ_US_GAAP_NET_CHANGE" hidden="1">"c2946"</definedName>
    <definedName name="IQ_US_GAAP_MINORITY_INTEREST_IS_ADJ" hidden="1">"c2960"</definedName>
    <definedName name="IQ_US_GAAP_LIAB_TOTAL_LIAB" hidden="1">"c2933"</definedName>
    <definedName name="IQ_US_GAAP_LIAB_LT_ADJ" hidden="1">"c2928"</definedName>
    <definedName name="IQ_US_GAAP_INTEREST_EXP_ADJ" hidden="1">"c2957"</definedName>
    <definedName name="Jan_01">#REF!</definedName>
    <definedName name="IQ_US_GAAP_EXTRA_ACC_ITEMS_ADJ" hidden="1">"c2958"</definedName>
    <definedName name="IQ_US_GAAP_DO_ADJ" hidden="1">"c2959"</definedName>
    <definedName name="IQ_US_GAAP_DILUT_WEIGHT" hidden="1">"c2981"</definedName>
    <definedName name="IQ_US_GAAP_DILUT_EPS_INCL" hidden="1">"c2983"</definedName>
    <definedName name="IQ_US_GAAP_CASH_OPER_ADJ" hidden="1">"c2939"</definedName>
    <definedName name="IQ_US_GAAP_CASH_OPER" hidden="1">"c2943"</definedName>
    <definedName name="IQ_US_GAAP_CASH_INVEST_ADJ" hidden="1">"c2940"</definedName>
    <definedName name="IQ_US_GAAP_CA_ADJ" hidden="1">"c2925"</definedName>
    <definedName name="IQ_US_GAAP_BASIC_WEIGHT" hidden="1">"c2980"</definedName>
    <definedName name="IQ_US_GAAP_BASIC_EPS_EXCL" hidden="1">"c2984"</definedName>
    <definedName name="IQ_US_GAAP" hidden="1">"c1331"</definedName>
    <definedName name="IQ_UNUSUAL_EXP" hidden="1">"c1456"</definedName>
    <definedName name="IQ_UNSECURED_DEBT" hidden="1">"c2548"</definedName>
    <definedName name="IQ_UNREALIZED_GAIN" hidden="1">"c1619"</definedName>
    <definedName name="IQ_UNPAID_CLAIMS" hidden="1">"c1330"</definedName>
    <definedName name="Zprint32">#REF!</definedName>
    <definedName name="IQ_UNLEVERED_FCF" hidden="1">"c1908"</definedName>
    <definedName name="IQ_UNEARN_REV_LT" hidden="1">"c1329"</definedName>
    <definedName name="IQ_UNEARN_REV_CURRENT_UTI" hidden="1">"c1328"</definedName>
    <definedName name="IQ_UNEARN_REV_CURRENT_INS" hidden="1">"c1326"</definedName>
    <definedName name="IQ_UNEARN_REV_CURRENT_BR" hidden="1">"c1324"</definedName>
    <definedName name="wrn.Total." hidden="1">{#N/A,#N/A,FALSE,"Report";#N/A,#N/A,FALSE,"Credit Debit Notes";#N/A,#N/A,FALSE,"Explanations";#N/A,#N/A,FALSE,"Summary";#N/A,#N/A,FALSE,"Budget";#N/A,#N/A,FALSE,"Actua"}</definedName>
    <definedName name="IQ_UNEARN_REV_CURRENT_BNK" hidden="1">"c1323"</definedName>
    <definedName name="IQ_UNEARN_REV_CURRENT" hidden="1">"c1322"</definedName>
    <definedName name="IQ_UNEARN_PREMIUM" hidden="1">"c1321"</definedName>
    <definedName name="IQ_UNDRAWN_RC" hidden="1">"c2517"</definedName>
    <definedName name="IQ_UNDRAWN_CREDIT" hidden="1">"c3032"</definedName>
    <definedName name="IQ_UNAMORT_PREMIUM_PCT" hidden="1">"c2512"</definedName>
    <definedName name="IQ_UNAMORT_PREMIUM" hidden="1">"c2511"</definedName>
    <definedName name="IQ_ULT_PARENT_TICKER" hidden="1">"c3038"</definedName>
    <definedName name="IQ_ULT_PARENT_CIQID" hidden="1">"c3039"</definedName>
    <definedName name="IQ_ULT_PARENT" hidden="1">"c3037"</definedName>
    <definedName name="IQ_UFCF_7YR_ANN_GROWTH" hidden="1">"c1947"</definedName>
    <definedName name="IQ_UFCF_5YR_ANN_GROWTH" hidden="1">"c1946"</definedName>
    <definedName name="reel_06">[21]Donnees!$BQ$4</definedName>
    <definedName name="IQ_UFCF_3YR_ANN_GROWTH" hidden="1">"c1945"</definedName>
    <definedName name="IQ_UFCF_2YR_ANN_GROWTH" hidden="1">"c1944"</definedName>
    <definedName name="IQ_UFCF_1YR_ANN_GROWTH" hidden="1">"c1943"</definedName>
    <definedName name="IQ_UFCF_10YR_ANN_GROWTH" hidden="1">"c1948"</definedName>
    <definedName name="IQ_TRUST_PREFERRED_PCT" hidden="1">"c3030"</definedName>
    <definedName name="IQ_TRUST_PREF" hidden="1">"c1320"</definedName>
    <definedName name="IQ_TREASURY_STOCK" hidden="1">"c1438"</definedName>
    <definedName name="IQ_TREASURY_OTHER_EQUITY_UTI" hidden="1">"c1318"</definedName>
    <definedName name="IQ_TREASURY_OTHER_EQUITY_REIT" hidden="1">"c1317"</definedName>
    <definedName name="IQ_TREASURY_OTHER_EQUITY_BR" hidden="1">"c1314"</definedName>
    <definedName name="IQ_TREASURY" hidden="1">"c1311"</definedName>
    <definedName name="IQ_TRADE_PRINCIPAL" hidden="1">"c1309"</definedName>
    <definedName name="IQ_TR_WITHDRAWN_DTE" hidden="1">"c2266"</definedName>
    <definedName name="IQ_TR_TOTALVALUE" hidden="1">"c2400"</definedName>
    <definedName name="IQ_TR_TOTAL_STOCK" hidden="1">"c2323"</definedName>
    <definedName name="IQ_TR_TOTAL_PREFERRED" hidden="1">"c2321"</definedName>
    <definedName name="IQ_TR_TOTAL_OPTIONS_BUYER" hidden="1">"c3026"</definedName>
    <definedName name="IQ_TR_TOTAL_OPTIONS" hidden="1">"c2322"</definedName>
    <definedName name="IQ_TR_TOTAL_LEGAL_FEES" hidden="1">"c2272"</definedName>
    <definedName name="IQ_TR_TOTAL_HYBRID" hidden="1">"c2319"</definedName>
    <definedName name="IQ_TR_TOTAL_GROSS_TV" hidden="1">"c2318"</definedName>
    <definedName name="IQ_TR_TOTAL_CONSID_SH" hidden="1">"c2316"</definedName>
    <definedName name="IQ_TR_TOTAL_ACCT_FEES" hidden="1">"c2273"</definedName>
    <definedName name="IQ_TR_TODATE_PCT_SHARES" hidden="1">"c2419"</definedName>
    <definedName name="IQ_TR_TODATE_MONETARY_VALUE" hidden="1">"c2418"</definedName>
    <definedName name="IQ_TR_TODATE" hidden="1">"c3036"</definedName>
    <definedName name="IQ_TR_TERM_FEE_PCT" hidden="1">"c2297"</definedName>
    <definedName name="IQ_TR_TERM_FEE" hidden="1">"c2298"</definedName>
    <definedName name="IQ_TR_TARGETNAME" hidden="1">"c2403"</definedName>
    <definedName name="IQ_TR_TARGET_TOTAL_REV" hidden="1">"c2335"</definedName>
    <definedName name="IQ_TR_TARGET_TOTAL_PREF" hidden="1">"c2329"</definedName>
    <definedName name="IQ_TR_TARGET_TOTAL_DEBT" hidden="1">"c2330"</definedName>
    <definedName name="IQ_TR_TARGET_TOTAL_COMMON_EQ" hidden="1">"c2421"</definedName>
    <definedName name="IQ_TR_TARGET_STOCKYEARLOW_1D" hidden="1">"c2340"</definedName>
    <definedName name="IQ_TR_TARGET_STOCKYEARHIGH_1D" hidden="1">"c2339"</definedName>
    <definedName name="IQ_TR_TARGET_STOCKPREMIUM_1W" hidden="1">"c2338"</definedName>
    <definedName name="IQ_TR_TARGET_STOCKPREMIUM_1M" hidden="1">"c2337"</definedName>
    <definedName name="IQ_TR_TARGET_STOCKPREMIUM_1D" hidden="1">"c2336"</definedName>
    <definedName name="IQ_TR_TARGET_SPD_PCT" hidden="1">"c2314"</definedName>
    <definedName name="IQ_TR_TARGET_SPD" hidden="1">"c2313"</definedName>
    <definedName name="LT500renA">#REF!</definedName>
    <definedName name="IQ_TR_TARGET_SEC_TYPE" hidden="1">"c2369"</definedName>
    <definedName name="IQ_TR_TARGET_SEC_TI_ID" hidden="1">"c2368"</definedName>
    <definedName name="IQ_TR_TARGET_PRICEDATE_1D" hidden="1">"c2341"</definedName>
    <definedName name="IQ_TR_TARGET_NET_DEBT" hidden="1">"c2326"</definedName>
    <definedName name="Table_céram">[48]Tables!$A$2:$B$212</definedName>
    <definedName name="IQ_TR_TARGET_MIN_INT" hidden="1">"c2328"</definedName>
    <definedName name="IQ_TR_TARGET_MARKETCAP" hidden="1">"c2342"</definedName>
    <definedName name="IQ_TR_TARGET_LEG_ADVISORS" hidden="1">"c2386"</definedName>
    <definedName name="IQ_TR_TARGET_ID" hidden="1">"c2405"</definedName>
    <definedName name="quentel" hidden="1">{#N/A,#N/A,FALSE,"ANCHIETA";#N/A,#N/A,FALSE,"SUMMARY";#N/A,#N/A,FALSE,"TAUBATE";#N/A,#N/A,FALSE,"PACHECO"}</definedName>
    <definedName name="IQ_TR_TARGET_FILING_CURRENCY" hidden="1">"c3034"</definedName>
    <definedName name="不" hidden="1">{#N/A,#N/A,FALSE,"Report";#N/A,#N/A,FALSE,"Credit Debit Notes";#N/A,#N/A,FALSE,"Explanations";#N/A,#N/A,FALSE,"Summary";#N/A,#N/A,FALSE,"Budget";#N/A,#N/A,FALSE,"Actua"}</definedName>
    <definedName name="IQ_TR_TARGET_EBITDA" hidden="1">"c2334"</definedName>
    <definedName name="IQ_TR_TARGET_EBIT" hidden="1">"c2333"</definedName>
    <definedName name="IQ_TR_TARGET_CLOSEPRICE_1W" hidden="1">"c2353"</definedName>
    <definedName name="IQ_TR_TARGET_CLOSEPRICE_1M" hidden="1">"c2354"</definedName>
    <definedName name="IQ_TR_TARGET_CASH_ST_INVEST" hidden="1">"c2327"</definedName>
    <definedName name="IQ_TR_TARGET_ACC_ADVISORS" hidden="1">"c3047"</definedName>
    <definedName name="IQ_TR_TARGET_52WKLOW_PCT" hidden="1">"c2350"</definedName>
    <definedName name="IQ_TR_TARGET_52WKHI_PCT" hidden="1">"c2351"</definedName>
    <definedName name="IQ_TR_SUSPENDED_DATE" hidden="1">"c2407"</definedName>
    <definedName name="S_VW_2">#REF!</definedName>
    <definedName name="IQ_TR_STOCK_CONSID_PCT" hidden="1">"c2312"</definedName>
    <definedName name="IQ_TR_SH_NET_PROCEEDS_PCT" hidden="1">"c2271"</definedName>
    <definedName name="IQ_TR_SH_NET_PROCEEDS" hidden="1">"c2269"</definedName>
    <definedName name="SADFSFSDF">[1]GROSSM!$D$1:$N$77</definedName>
    <definedName name="IQ_TR_SELLERNAME" hidden="1">"c2402"</definedName>
    <definedName name="IQ_TR_SELL_LEG_ADVISORS" hidden="1">"c2388"</definedName>
    <definedName name="IQ_TR_REG_FILED_DATE" hidden="1">"c2263"</definedName>
    <definedName name="IQ_TR_REG_EFFECT_DATE" hidden="1">"c2264"</definedName>
    <definedName name="IQ_TR_RATING_FEES" hidden="1">"c2275"</definedName>
    <definedName name="IQ_TR_PT_PCT_SHARES" hidden="1">"c2416"</definedName>
    <definedName name="IQ_TR_PT_NUMBER_SHARES" hidden="1">"c2417"</definedName>
    <definedName name="IQ_TR_PT_MONETARY_VALUES" hidden="1">"c2415"</definedName>
    <definedName name="IQ_TR_PREMONEY_VAL" hidden="1">"c2287"</definedName>
    <definedName name="Mar_04">#REF!</definedName>
    <definedName name="IQ_TR_PREF_CONSID_PCT" hidden="1">"c2310"</definedName>
    <definedName name="IQ_TR_POSTMONEY_VAL" hidden="1">"c2286"</definedName>
    <definedName name="IQ_TR_PIPE_NUMBER_SHARES" hidden="1">"c2293"</definedName>
    <definedName name="IQ_TR_PIPE_CPN_PCT" hidden="1">"c2291"</definedName>
    <definedName name="IQ_TR_OFFER_DATE_MA" hidden="1">"c3035"</definedName>
    <definedName name="IQ_TR_NET_ASSUM_LIABILITIES" hidden="1">"c2308"</definedName>
    <definedName name="IQ_TR_MAJ_MIN_STAKE" hidden="1">"c2389"</definedName>
    <definedName name="IQ_TR_IMPLIED_EV_REV" hidden="1">"c2304"</definedName>
    <definedName name="IQ_TR_IMPLIED_EV_EBIT" hidden="1">"c2302"</definedName>
    <definedName name="IQ_TR_IMPLIED_EV_BV" hidden="1">"c2306"</definedName>
    <definedName name="valint12">[37]Instrument!$O$86</definedName>
    <definedName name="IQ_TR_IMPLIED_EV" hidden="1">"c2301"</definedName>
    <definedName name="IQ_TR_IMPLIED_EQ_NI_LTM" hidden="1">"c3020"</definedName>
    <definedName name="IQ_TR_IMPLIED_EQ_BV" hidden="1">"c3019"</definedName>
    <definedName name="IQ_TREASURY_OTHER_EQUITY_BNK" hidden="1">"c1313"</definedName>
    <definedName name="IQ_TR_IMPLIED_EQ" hidden="1">"c3018"</definedName>
    <definedName name="IQ_TR_HYBRID_CONSID_PCT" hidden="1">"c2300"</definedName>
    <definedName name="IQ_TR_EXPIRED_DATE" hidden="1">"c2412"</definedName>
    <definedName name="IQ_TR_EARNOUTS" hidden="1">"c3023"</definedName>
    <definedName name="IQ_TR_DISCLOSED_FEES_EXP" hidden="1">"c2288"</definedName>
    <definedName name="IQ_TR_GROSS_OFFERING_AMT" hidden="1">"c2262"</definedName>
    <definedName name="IQ_TR_DEF_AGRMT_DATE" hidden="1">"c2285"</definedName>
    <definedName name="IQ_TR_DEBT_CONSID_PCT" hidden="1">"c2299"</definedName>
    <definedName name="IQ_TR_DEAL_RESPONSES" hidden="1">"c2366"</definedName>
    <definedName name="IQ_TR_DEAL_CONDITIONS" hidden="1">"c2367"</definedName>
    <definedName name="TRESO">#REF!</definedName>
    <definedName name="IQ_TR_CURRENCY" hidden="1">"c3016"</definedName>
    <definedName name="IQ_TR_COMMENTS" hidden="1">"c2383"</definedName>
    <definedName name="IQ_TR_CASH_ST_INVEST" hidden="1">"c3025"</definedName>
    <definedName name="IQ_TR_CASH_CONSID_PCT" hidden="1">"c2296"</definedName>
    <definedName name="IQ_TR_BUYERNAME" hidden="1">"c2401"</definedName>
    <definedName name="IQ_TR_BUYER_ID" hidden="1">"c2404"</definedName>
    <definedName name="IQ_TR_BUY_FIN_ADVISORS" hidden="1">"c3045"</definedName>
    <definedName name="IQ_TR_BUY_ACC_ADVISORS" hidden="1">"c3048"</definedName>
    <definedName name="IQ_TR_BLUESKY_FEES" hidden="1">"c2277"</definedName>
    <definedName name="IQ_TR_BID_DATE" hidden="1">"c2357"</definedName>
    <definedName name="IQ_TR_ANN_DATE_BL" hidden="1">"c2394"</definedName>
    <definedName name="IQ_TR_ADJ_SIZE" hidden="1">"c3024"</definedName>
    <definedName name="IQ_TR_ACQ_TOTAL_DEBT" hidden="1">"c2376"</definedName>
    <definedName name="IQ_TR_ACQ_TOTAL_COMMON_EQ" hidden="1">"c2377"</definedName>
    <definedName name="Zprint11">#REF!</definedName>
    <definedName name="IQ_TR_ACQ_TOTAL_ASSETS" hidden="1">"c2371"</definedName>
    <definedName name="IQ_TR_ACQ_RETURN" hidden="1">"c2349"</definedName>
    <definedName name="IQ_TR_ACQ_PRICEDATE_1D" hidden="1">"c2346"</definedName>
    <definedName name="IQ_TR_ACQ_NET_DEBT" hidden="1">"c2373"</definedName>
    <definedName name="IQ_TR_ACQ_MIN_INT" hidden="1">"c2374"</definedName>
    <definedName name="IQ_TR_ACQ_MCAP_1DAY" hidden="1">"c2345"</definedName>
    <definedName name="IQ_TR_ACQ_EBITDA" hidden="1">"c2381"</definedName>
    <definedName name="IQ_TR_ACQ_EBIT" hidden="1">"c2380"</definedName>
    <definedName name="IQ_TR_ACQ_EARNING_CO" hidden="1">"c2379"</definedName>
    <definedName name="IQ_TR_ACQ_CLOSEPRICE_1D" hidden="1">"c3027"</definedName>
    <definedName name="IQ_TR_ACQ_52_WK_LOW_PCT" hidden="1">"c2347"</definedName>
    <definedName name="Prj14Acc">#REF!</definedName>
    <definedName name="IQ_TR_ACQ_52_WK_HI_PCT" hidden="1">"c2348"</definedName>
    <definedName name="IQ_TR_ACCT_METHOD" hidden="1">"c2363"</definedName>
    <definedName name="IQ_TOTAL_WARRANTS_ISSUED" hidden="1">"c2720"</definedName>
    <definedName name="IQ_TOTAL_UNUSUAL" hidden="1">"c1508"</definedName>
    <definedName name="IQ_TOTAL_SUBS" hidden="1">"c2119"</definedName>
    <definedName name="IQ_TOTAL_SUB_DEBT_PCT" hidden="1">"c2529"</definedName>
    <definedName name="IQ_TOTAL_SUB_DEBT_EBITDA_CAPEX" hidden="1">"c2555"</definedName>
    <definedName name="IQ_TOTAL_SUB_DEBT_EBITDA" hidden="1">"c2554"</definedName>
    <definedName name="IQ_TOTAL_SUB_DEBT" hidden="1">"c2528"</definedName>
    <definedName name="IQ_TOTAL_ST_BORROW" hidden="1">"c1424"</definedName>
    <definedName name="IQ_TOTAL_SPECIAL" hidden="1">"c1618"</definedName>
    <definedName name="IQ_TOTAL_REVENUE" hidden="1">"c1436"</definedName>
    <definedName name="IQ_TOTAL_REV_UTI" hidden="1">"c1308"</definedName>
    <definedName name="IQ_TOTAL_REV_SHARE" hidden="1">"c1912"</definedName>
    <definedName name="IQ_TOTAL_REV_REIT" hidden="1">"c1307"</definedName>
    <definedName name="IQ_TOTAL_REV_INS" hidden="1">"c1306"</definedName>
    <definedName name="IQ_TOTAL_REV_FIN" hidden="1">"c1305"</definedName>
    <definedName name="zzz6">'[4]Page 26'!$B$6:$N$29</definedName>
    <definedName name="IQ_TOTAL_REV_EMPLOYEE" hidden="1">"c1304"</definedName>
    <definedName name="IQ_TOTAL_REV_BR" hidden="1">"c1303"</definedName>
    <definedName name="IQ_UNAMORT_DISC_PCT" hidden="1">"c2514"</definedName>
    <definedName name="IQ_TOTAL_REV_7YR_ANN_GROWTH" hidden="1">"c1300"</definedName>
    <definedName name="IQ_TOTAL_REV_5YR_ANN_GROWTH" hidden="1">"c1299"</definedName>
    <definedName name="IQ_TOTAL_REV_2YR_ANN_GROWTH" hidden="1">"c1297"</definedName>
    <definedName name="IQ_TOTAL_REV_10YR_ANN_GROWTH" hidden="1">"c1295"</definedName>
    <definedName name="IQ_TOTAL_REV" hidden="1">"c1294"</definedName>
    <definedName name="IQ_TOTAL_RECEIV" hidden="1">"c1293"</definedName>
    <definedName name="IQ_TOTAL_PROVED_RESERVES_OIL" hidden="1">"c2040"</definedName>
    <definedName name="IQ_TOTAL_PRINCIPAL_PCT" hidden="1">"c2510"</definedName>
    <definedName name="IQ_TOTAL_PRINCIPAL" hidden="1">"c2509"</definedName>
    <definedName name="IQ_TOTAL_PENSION_ASSETS_FOREIGN" hidden="1">"c2666"</definedName>
    <definedName name="IQ_TOTAL_PENSION_ASSETS_DOMESTIC" hidden="1">"c2658"</definedName>
    <definedName name="IQ_TOTAL_PENSION_ASSETS" hidden="1">"c1290"</definedName>
    <definedName name="IQ_TOTAL_OUTSTANDING_FILING_DATE" hidden="1">"c2107"</definedName>
    <definedName name="IQ_TOTAL_OUTSTANDING_BS_DATE" hidden="1">"c1022"</definedName>
    <definedName name="Prj9A">#REF!</definedName>
    <definedName name="IQ_TOTAL_OPTIONS_GRANTED" hidden="1">"c2694"</definedName>
    <definedName name="IQ_TOTAL_OPTIONS_EXERCISED" hidden="1">"c2695"</definedName>
    <definedName name="IQ_TOTAL_OPTIONS_END_OS" hidden="1">"c2697"</definedName>
    <definedName name="mafifol" hidden="1">{#N/A,#N/A,FALSE,"TRACAT1";#N/A,#N/A,FALSE,"PROJET"}</definedName>
    <definedName name="IQ_TOTAL_OPTIONS_CANCELLED" hidden="1">"c2696"</definedName>
    <definedName name="IQ_TOTAL_OPER_EXPEN" hidden="1">"c1445"</definedName>
    <definedName name="IQ_TOTAL_OPER_EXP_UTI" hidden="1">"c1288"</definedName>
    <definedName name="IQ_TOTAL_OPER_EXP_INS" hidden="1">"c1286"</definedName>
    <definedName name="Type_">#REF!</definedName>
    <definedName name="IQ_TOTAL_NON_REC" hidden="1">"c1444"</definedName>
    <definedName name="IQ_TOTAL_LONG_DEBT" hidden="1">"c1617"</definedName>
    <definedName name="MOD">#REF!</definedName>
    <definedName name="IQ_TOTAL_LIAB_TOTAL_ASSETS" hidden="1">"c1283"</definedName>
    <definedName name="IQ_TOTAL_LIAB_REIT" hidden="1">"c1282"</definedName>
    <definedName name="IQ_TOTAL_LIAB_INS" hidden="1">"c1281"</definedName>
    <definedName name="IQ_TOTAL_LIAB_FIN" hidden="1">"c1280"</definedName>
    <definedName name="IQ_TOTAL_LIAB_BR" hidden="1">"c1278"</definedName>
    <definedName name="IQ_TOTAL_EQUITY_ALLOWANCE_TOTAL_LOANS" hidden="1">"c1274"</definedName>
    <definedName name="IQ_TOTAL_EQUITY_7YR_ANN_GROWTH" hidden="1">"c1273"</definedName>
    <definedName name="IQ_TOTAL_EQUITY_3YR_ANN_GROWTH" hidden="1">"c1271"</definedName>
    <definedName name="IQ_TOTAL_EQUITY_1YR_ANN_GROWTH" hidden="1">"c1269"</definedName>
    <definedName name="IQ_TOTAL_DIV_PAID_CF" hidden="1">"c1266"</definedName>
    <definedName name="IQ_TOTAL_DEPOSITS" hidden="1">"c1265"</definedName>
    <definedName name="IQ_TOTAL_DEBT_REPAID_INS" hidden="1">"c1262"</definedName>
    <definedName name="IQ_TOTAL_DEBT_REPAID" hidden="1">"c1258"</definedName>
    <definedName name="wrn.Complet.2" hidden="1">{#N/A,#N/A,FALSE,"Key Performance Indicators";#N/A,#N/A,FALSE,"Glossary";#N/A,#N/A,FALSE,"Production Top 20";#N/A,#N/A,FALSE,"Non Prod. Top 20";#N/A,#N/A,FALSE,"MPI";#N/A,#N/A,FALSE,"GPI";#N/A,#N/A,FALSE,"Comments"}</definedName>
    <definedName name="IQ_TOTAL_DEBT_ISSUED_UTI" hidden="1">"c1256"</definedName>
    <definedName name="IQ_CL_OBLIGATION_IMMEDIATE" hidden="1">"c2253"</definedName>
    <definedName name="IQ_CL_DUE_AFTER_FIVE" hidden="1">"c167"</definedName>
    <definedName name="IQ_CHANGE_WORK_CAP" hidden="1">"c161"</definedName>
    <definedName name="IQ_OG_REVISIONS_OIL" hidden="1">"c2030"</definedName>
    <definedName name="Silke" hidden="1">{#N/A,#N/A,FALSE,"Key Performance Indicators";#N/A,#N/A,FALSE,"Glossary";#N/A,#N/A,FALSE,"Production Top 20";#N/A,#N/A,FALSE,"Non Prod. Top 20";#N/A,#N/A,FALSE,"MPI";#N/A,#N/A,FALSE,"GPI";#N/A,#N/A,FALSE,"Comments"}</definedName>
    <definedName name="IQ_CHANGE_OTHER_WORK_CAP_REIT" hidden="1">"c157"</definedName>
    <definedName name="IQ_CHANGE_OTHER_WORK_CAP_FIN" hidden="1">"c155"</definedName>
    <definedName name="IQ_CHANGE_INVENTORY" hidden="1">"c151"</definedName>
    <definedName name="__eat1" hidden="1">{#N/A,#N/A,FALSE,"Report";#N/A,#N/A,FALSE,"Credit Debit Notes";#N/A,#N/A,FALSE,"Explanations";#N/A,#N/A,FALSE,"Summary"}</definedName>
    <definedName name="IQ_CHANGE_INS_RES_LIAB" hidden="1">"c150"</definedName>
    <definedName name="CAPREVCTR1">#REF!</definedName>
    <definedName name="IQ_NI_MARGIN" hidden="1">"c794"</definedName>
    <definedName name="IQ_CHANGE_INC_TAX" hidden="1">"c149"</definedName>
    <definedName name="ASIA_Comments">'[8]FI-2D10 MAG ASIA'!$R$76:$U$184</definedName>
    <definedName name="IQ_CHANGE_DEPOSIT_ACCT" hidden="1">"c148"</definedName>
    <definedName name="IQ_TR_OFFER_DATE" hidden="1">"c2265"</definedName>
    <definedName name="IQ_CHANGE_AP_REIT" hidden="1">"c138"</definedName>
    <definedName name="IQ_DA_BR" hidden="1">"c248"</definedName>
    <definedName name="IQ_CFO_1YR_ANN_GROWTH" hidden="1">"c127"</definedName>
    <definedName name="ListePersonnel">#REF!</definedName>
    <definedName name="________________Prj14">#REF!</definedName>
    <definedName name="_____SE2">[2]Parametres!$D$36:$O$36</definedName>
    <definedName name="IQ_TR_TOTAL_DEBT" hidden="1">"c2317"</definedName>
    <definedName name="ge" hidden="1">{#N/A,#N/A,FALSE,"836082";#N/A,#N/A,FALSE,"PR836066 (2)";#N/A,#N/A,FALSE,"PR836066E";#N/A,#N/A,FALSE,"SilencF3RE";#N/A,#N/A,FALSE,"CamaraF3RE"}</definedName>
    <definedName name="site">[21]Donnees!$K$4</definedName>
    <definedName name="___FES1" hidden="1">{#N/A,#N/A,FALSE,"Report";#N/A,#N/A,FALSE,"Credit Debit Notes";#N/A,#N/A,FALSE,"Explanations";#N/A,#N/A,FALSE,"Summary"}</definedName>
    <definedName name="IQ_OTHER_UNUSUAL_SUPPL" hidden="1">"c1494"</definedName>
    <definedName name="IQ_CEDED_WRITTEN" hidden="1">"c2727"</definedName>
    <definedName name="_______FES1" hidden="1">{#N/A,#N/A,FALSE,"Report";#N/A,#N/A,FALSE,"Credit Debit Notes";#N/A,#N/A,FALSE,"Explanations";#N/A,#N/A,FALSE,"Summary"}</definedName>
    <definedName name="IQ_CEDED_PC_EARNED" hidden="1">"c2748"</definedName>
    <definedName name="koöasdasdfö">[1]Analysis!$D$1:$M$8</definedName>
    <definedName name="IQ_FIN_DIV_DEBT_LT" hidden="1">"c430"</definedName>
    <definedName name="IQ_CEDED_CLAIM_EXP_RES" hidden="1">"c2753"</definedName>
    <definedName name="IQ_INSIDER_SHARES" hidden="1">"c579"</definedName>
    <definedName name="IQ_UNDRAWN_TL" hidden="1">"c2519"</definedName>
    <definedName name="IQ_CEDED_CLAIM_EXP_PAID" hidden="1">"c2759"</definedName>
    <definedName name="IQ_TR_ACQ_STOCKYEARHIGH_1D" hidden="1">"c2343"</definedName>
    <definedName name="IQ_CEDED_AH_EARNED" hidden="1">"c2743"</definedName>
    <definedName name="IQ_CURRENT_PORT_DEBT_REIT" hidden="1">"c1570"</definedName>
    <definedName name="IQ_CASH_OPER" hidden="1">"c122"</definedName>
    <definedName name="IQ_OTHER_CURRENT_ASSETS" hidden="1">"c1403"</definedName>
    <definedName name="IQ_CASH_INTEREST" hidden="1">"c120"</definedName>
    <definedName name="IQ_CAPITALIZED_INTEREST" hidden="1">"c2076"</definedName>
    <definedName name="_1829711000">#REF!</definedName>
    <definedName name="Zprint_14">#REF!</definedName>
    <definedName name="IQ_OPER_INC_UTI" hidden="1">"c854"</definedName>
    <definedName name="IQ_SUB_LEASE_INC_CY" hidden="1">"c1208"</definedName>
    <definedName name="IQ_PC_EARNED" hidden="1">"c2749"</definedName>
    <definedName name="IQ_GROSS_LOANS_7YR_ANN_GROWTH" hidden="1">"c527"</definedName>
    <definedName name="IQ_TOTAL_DEBT_CAPITAL" hidden="1">"c1248"</definedName>
    <definedName name="IQ_CAPEX_5YR_ANN_GROWTH" hidden="1">"c108"</definedName>
    <definedName name="IQ_CAPEX_3YR_ANN_GROWTH" hidden="1">"c107"</definedName>
    <definedName name="S_VW_1">#REF!</definedName>
    <definedName name="IQ_CAPEX_2YR_ANN_GROWTH" hidden="1">"c106"</definedName>
    <definedName name="IQ_CAPEX" hidden="1">"c103"</definedName>
    <definedName name="IQ_TR_PIPE_PPS" hidden="1">"c2290"</definedName>
    <definedName name="IQ_CALL_DATE_SCHEDULE" hidden="1">"c2481"</definedName>
    <definedName name="IQ_CAL_Q" hidden="1">"c101"</definedName>
    <definedName name="IQ_CABLE_SUBS_TOTAL" hidden="1">"c2862"</definedName>
    <definedName name="IQ_CABLE_SUBS_DIG" hidden="1">"c2856"</definedName>
    <definedName name="IQ_CABLE_REV_COMMERCIAL" hidden="1">"c2881"</definedName>
    <definedName name="_________eat1" hidden="1">{#N/A,#N/A,FALSE,"Report";#N/A,#N/A,FALSE,"Credit Debit Notes";#N/A,#N/A,FALSE,"Explanations";#N/A,#N/A,FALSE,"Summary"}</definedName>
    <definedName name="IQ_CABLE_PROGRAMMING_COSTS" hidden="1">"c2884"</definedName>
    <definedName name="IQ_CABLE_HP_DIG" hidden="1">"c2844"</definedName>
    <definedName name="IQ_ALLOW_EQUITY_CONST" hidden="1">"c16"</definedName>
    <definedName name="reprev_11">[21]Donnees!#REF!</definedName>
    <definedName name="IQ_CABLE_CHURN_PHONE" hidden="1">"c2873"</definedName>
    <definedName name="IQ_CABLE_CHURN_BBAND" hidden="1">"c2872"</definedName>
    <definedName name="Plant_Regio">#REF!</definedName>
    <definedName name="IQ_CASH_INVEST" hidden="1">"c121"</definedName>
    <definedName name="IQ_CABLE_CHURN" hidden="1">"c2874"</definedName>
    <definedName name="IQ_TR_SELLER_ID" hidden="1">"c2406"</definedName>
    <definedName name="IQ_CABLE_BBAND_PENETRATION_THP" hidden="1">"c2851"</definedName>
    <definedName name="IQ_CABLE_BASIC_PENETRATION" hidden="1">"c2850"</definedName>
    <definedName name="IQ_CABLE_ARPU_DIG" hidden="1">"c2865"</definedName>
    <definedName name="ASIA_StdPnL">'[8]FI-2D10 MAG ASIA'!$B$71:$L$188</definedName>
    <definedName name="IQ_CASH_DUE_BANKS" hidden="1">"c1351"</definedName>
    <definedName name="Zprint26">'[51]Page 26'!$B$6:$N$29</definedName>
    <definedName name="IQ_CL_DUE_CY" hidden="1">"c168"</definedName>
    <definedName name="IQ_CABLE_ARPU" hidden="1">"c2869"</definedName>
    <definedName name="IQ_BUSINESS_DESCRIPTION" hidden="1">"c322"</definedName>
    <definedName name="IQ_BROK_COMISSION" hidden="1">"c98"</definedName>
    <definedName name="Zprint18S">#REF!</definedName>
    <definedName name="HYP">#REF!</definedName>
    <definedName name="IQ_COGS" hidden="1">"c175"</definedName>
    <definedName name="IQ_BOND_COUPON_TYPE" hidden="1">"c2184"</definedName>
    <definedName name="IQ_CASH_SHARE" hidden="1">"c1911"</definedName>
    <definedName name="__________Prj14">#REF!</definedName>
    <definedName name="IQ_BETA_2YR_RSQ" hidden="1">"c2131"</definedName>
    <definedName name="IQ_BETA_2YR" hidden="1">"c1965"</definedName>
    <definedName name="sv">32.3%</definedName>
    <definedName name="IQ_BETA_1YR" hidden="1">"c1966"</definedName>
    <definedName name="IQ_SP_LC_ACTION_ST" hidden="1">"c2620"</definedName>
    <definedName name="IQ_BENCHMARK_SPRD" hidden="1">"c2153"</definedName>
    <definedName name="IQ_CURRENT_PORT_DEBT" hidden="1">"c243"</definedName>
    <definedName name="IQ_BASIC_NORMAL_EPS" hidden="1">"c1592"</definedName>
    <definedName name="IQ_NPPE_7YR_ANN_GROWTH" hidden="1">"c835"</definedName>
    <definedName name="IQ_PROVISION_5YR_ANN_GROWTH" hidden="1">"c1081"</definedName>
    <definedName name="IQ_POSTPAID_CHURN" hidden="1">"c2121"</definedName>
    <definedName name="IQ_BASIC_EPS_INCL" hidden="1">"c86"</definedName>
    <definedName name="IQ_LONG_TERM_GROWTH" hidden="1">"c671"</definedName>
    <definedName name="________________Prj8">#REF!</definedName>
    <definedName name="IQ_DPAC_AMORT" hidden="1">"c2795"</definedName>
    <definedName name="Zprint21">#REF!</definedName>
    <definedName name="____________________TT1">#REF!</definedName>
    <definedName name="IQ_CAPEX_10YR_ANN_GROWTH" hidden="1">"c104"</definedName>
    <definedName name="IQ_BANK_DEBT" hidden="1">"c2544"</definedName>
    <definedName name="______________All2002">#REF!</definedName>
    <definedName name="IQ_AVG_INT_EARN_ASSETS_7YR_ANN_GROWTH" hidden="1">"c79"</definedName>
    <definedName name="IQ_AVG_INT_EARN_ASSETS_5YR_ANN_GROWTH" hidden="1">"c78"</definedName>
    <definedName name="feuille2">#REF!</definedName>
    <definedName name="IQ_AVG_INT_EARN_ASSETS_3YR_ANN_GROWTH" hidden="1">"c77"</definedName>
    <definedName name="_Prj4">#REF!</definedName>
    <definedName name="IQ_AVG_INT_EARN_ASSETS_2YR_ANN_GROWTH" hidden="1">"c76"</definedName>
    <definedName name="IQ_AVG_INT_EARN_ASSETS_1YR_ANN_GROWTH" hidden="1">"c75"</definedName>
    <definedName name="IQ_OTHER_LIAB_LT_REIT" hidden="1">"c940"</definedName>
    <definedName name="IQ_NI_7YR_ANN_GROWTH" hidden="1">"c787"</definedName>
    <definedName name="IQ_AVG_INT_BEAR_LIAB_3YR_ANN_GROWTH" hidden="1">"c70"</definedName>
    <definedName name="IQ_NI_10YR_ANN_GROWTH" hidden="1">"c782"</definedName>
    <definedName name="IQ_OTHER_CA_SUPPL_BR" hidden="1">"c871"</definedName>
    <definedName name="IQ_MAINT_REPAIR" hidden="1">"c2087"</definedName>
    <definedName name="IQ_AVG_BROKER_REC" hidden="1">"c63"</definedName>
    <definedName name="IQ_AVG_BANK_ASSETS" hidden="1">"c2072"</definedName>
    <definedName name="_____________Prj8">#REF!</definedName>
    <definedName name="IQ_TOTAL_COMMON" hidden="1">"c1411"</definedName>
    <definedName name="IQ_ASSUMED_WRITTEN" hidden="1">"c2725"</definedName>
    <definedName name="IQ_OTHER_EARNING" hidden="1">"c1609"</definedName>
    <definedName name="IQ_SAME_STORE" hidden="1">"c1149"</definedName>
    <definedName name="IQ_COST_REVENUE" hidden="1">"c1359"</definedName>
    <definedName name="IQ_INVENTORY" hidden="1">"c622"</definedName>
    <definedName name="IQ_TOTAL_REV_AS_REPORTED" hidden="1">"c1301"</definedName>
    <definedName name="IQ_ASSETS_CAP_LEASE_DEPR" hidden="1">"c2068"</definedName>
    <definedName name="IQ_OPTIONS_STRIKE_PRICE_GRANTED" hidden="1">"c2678"</definedName>
    <definedName name="IQ_ASSET_WRITEDOWN_REIT" hidden="1">"c60"</definedName>
    <definedName name="IQ_ASSET_WRITEDOWN_CF_FIN" hidden="1">"c54"</definedName>
    <definedName name="hj" hidden="1">{#N/A,#N/A,FALSE,"Report";#N/A,#N/A,FALSE,"Credit Debit Notes";#N/A,#N/A,FALSE,"Explanations";#N/A,#N/A,FALSE,"Summary";#N/A,#N/A,FALSE,"Budget";#N/A,#N/A,FALSE,"Actua"}</definedName>
    <definedName name="IQ_ASSET_WRITEDOWN_CF" hidden="1">"c51"</definedName>
    <definedName name="_________Prj1">#REF!</definedName>
    <definedName name="IQ_OTHER_INTAN_UTI" hidden="1">"c913"</definedName>
    <definedName name="IQ_US_GAAP_DILUT_EPS_EXCL" hidden="1">"c2985"</definedName>
    <definedName name="IQ_ASSET_WRITEDOWN" hidden="1">"c48"</definedName>
    <definedName name="IQ_DEF_BENEFIT_TOTAL_COST_FOREIGN" hidden="1">"c2663"</definedName>
    <definedName name="IQ_AP_FIN" hidden="1">"c35"</definedName>
    <definedName name="OPU">#REF!</definedName>
    <definedName name="IQ_SPECIAL_DIV_CF_BR" hidden="1">"c1171"</definedName>
    <definedName name="IQ_AP_BR" hidden="1">"c34"</definedName>
    <definedName name="IQ_AP_BNK" hidden="1">"c33"</definedName>
    <definedName name="IQ_ANNUITY_PAY" hidden="1">"c28"</definedName>
    <definedName name="IQ_ALLOWANCE_7YR_ANN_GROWTH" hidden="1">"c23"</definedName>
    <definedName name="IQ_ALLOWANCE_3YR_ANN_GROWTH" hidden="1">"c21"</definedName>
    <definedName name="IQ_ALLOWANCE_2YR_ANN_GROWTH" hidden="1">"c20"</definedName>
    <definedName name="IQ_ALLOWANCE_1YR_ANN_GROWTH" hidden="1">"c19"</definedName>
    <definedName name="IQ_BOARD_MEMBER" hidden="1">"c96"</definedName>
    <definedName name="IQ_GW_INTAN_AMORT_BNK" hidden="1">"c544"</definedName>
    <definedName name="IQ_AIR_RPK" hidden="1">"c2811"</definedName>
    <definedName name="IQ_AIR_REV_SCHEDULED_SERVICE" hidden="1">"c2830"</definedName>
    <definedName name="VARESOP3">#REF!</definedName>
    <definedName name="IQ_INC_EQUITY_FIN" hidden="1">"c552"</definedName>
    <definedName name="IQ_TR_ACQ_TOTAL_REV" hidden="1">"c2382"</definedName>
    <definedName name="IQ_AIR_PSGR_REV_YIELD_RPM" hidden="1">"c2814"</definedName>
    <definedName name="IQ_OG_OTHER_COSTS" hidden="1">"c1979"</definedName>
    <definedName name="IQ_AIR_PSGR_REV_YIELD_RPK" hidden="1">"c2815"</definedName>
    <definedName name="IQ_AMT_OUT" hidden="1">"c2145"</definedName>
    <definedName name="IQ_AIR_PSGR_REV_YIELD_ASM" hidden="1">"c2816"</definedName>
    <definedName name="IQ_CL_DUE_CY4" hidden="1">"c172"</definedName>
    <definedName name="IQ_OTHER_REV_UTI" hidden="1">"c1021"</definedName>
    <definedName name="IQ_AIR_PURCHASE_RIGHTS" hidden="1">"c2838"</definedName>
    <definedName name="IQ_AIR_OWNED" hidden="1">"c2832"</definedName>
    <definedName name="IQ_SP_ISSUE_ACTION" hidden="1">"c2644"</definedName>
    <definedName name="IQ_UNDRAWN_CP" hidden="1">"c2518"</definedName>
    <definedName name="IQ_AIR_ORDERS" hidden="1">"c2836"</definedName>
    <definedName name="IQ_AIR_OPER_REV_YIELD_ASK" hidden="1">"c2819"</definedName>
    <definedName name="____________________TAX2">#REF!</definedName>
    <definedName name="IQ_RETAIL_TOTAL_STORES" hidden="1">"c2061"</definedName>
    <definedName name="IQ_AIR_NEW_AIRPLANES" hidden="1">"c2839"</definedName>
    <definedName name="IQ_AIR_LEASED" hidden="1">"c2835"</definedName>
    <definedName name="CRSITE">#REF!</definedName>
    <definedName name="IQ_TR_TODATE_NUMBER_SHARES" hidden="1">"c2420"</definedName>
    <definedName name="IQ_AIR_FUEL_EXP_PERCENT" hidden="1">"c2805"</definedName>
    <definedName name="_________________TAX2">#REF!</definedName>
    <definedName name="IQ_AIR_FUEL_EXP" hidden="1">"c2802"</definedName>
    <definedName name="IQ_AIR_ENPLANED_PSGRS" hidden="1">"c2809"</definedName>
    <definedName name="IQ_AIR_COMPLETION_FACTOR" hidden="1">"c2824"</definedName>
    <definedName name="IQ_AIR_AIRPLANES_SUBLEASED" hidden="1">"c2841"</definedName>
    <definedName name="IQ_AH_POLICY_BENEFITS_EXP" hidden="1">"c2789"</definedName>
    <definedName name="IQ_LOANS_CF_INS" hidden="1">"c663"</definedName>
    <definedName name="Zprint23">'[51]Page 23'!$B$7:$N$22</definedName>
    <definedName name="IQ_AE_UTI" hidden="1">"c14"</definedName>
    <definedName name="IQ_SUB_LEASE_AFTER_FIVE" hidden="1">"c1207"</definedName>
    <definedName name="IQ_ADMIN_RATIO" hidden="1">"c2784"</definedName>
    <definedName name="IQ_GW" hidden="1">"c530"</definedName>
    <definedName name="IQ_ACCUMULATED_PENSION_OBLIGATION_FOREIGN" hidden="1">"c2665"</definedName>
    <definedName name="prev_10">[21]Donnees!$BF$4</definedName>
    <definedName name="IQ_TR_CLOSED_DATE" hidden="1">"c2283"</definedName>
    <definedName name="IQ_DEF_CHARGES_FIN" hidden="1">"c290"</definedName>
    <definedName name="IQ_AVG_BANK_LOANS" hidden="1">"c2073"</definedName>
    <definedName name="IQ_ACCUMULATED_PENSION_OBLIGATION" hidden="1">"c2244"</definedName>
    <definedName name="IQ_ANNUITY_POLICY_EXP" hidden="1">"c29"</definedName>
    <definedName name="IQ_AE" hidden="1">"c8"</definedName>
    <definedName name="IQ_ACCUM_DEP" hidden="1">"c1340"</definedName>
    <definedName name="IQ_ADVERTISING" hidden="1">"c2246"</definedName>
    <definedName name="_________AMB1">#REF!</definedName>
    <definedName name="Sem">#REF!</definedName>
    <definedName name="IQ_DEF_TAX_ASSET_LT_INS" hidden="1">"c306"</definedName>
    <definedName name="IQ_ACCT_RECV_3YR_ANN_GROWTH" hidden="1">"c1921"</definedName>
    <definedName name="__MB3">#REF!</definedName>
    <definedName name="IQ_ACCRUED_EXP" hidden="1">"c1341"</definedName>
    <definedName name="IQ_EBT_BNK" hidden="1">"c377"</definedName>
    <definedName name="IQ_ACCR_INT_PAY_CF" hidden="1">"c2"</definedName>
    <definedName name="IQ_TOTAL_ASSETS_2YR_ANN_GROWTH" hidden="1">"c1237"</definedName>
    <definedName name="Zprint23S">'[51]Page 23'!$B$25:$N$29</definedName>
    <definedName name="IOP_StdPnL">'[8]FI-2D10 MAG IOP'!$B$71:$L$188</definedName>
    <definedName name="IQ_TOTAL_EMPLOYEE" hidden="1">"c2141"</definedName>
    <definedName name="IOP_Comments">'[8]FI-2D10 MAG IOP'!$R$76:$U$184</definedName>
    <definedName name="______All2002">#REF!</definedName>
    <definedName name="IQ_CFO_CURRENT_LIAB" hidden="1">"c132"</definedName>
    <definedName name="IQ_AVG_INT_EARN_ASSETS" hidden="1">"c73"</definedName>
    <definedName name="INVENT">#REF!</definedName>
    <definedName name="punkt">#REF!</definedName>
    <definedName name="INDICEPA">#REF!</definedName>
    <definedName name="IQ_INV_BANKING_FEE" hidden="1">"c620"</definedName>
    <definedName name="IQ_INVEST_LOANS_CF_FIN" hidden="1">"c631"</definedName>
    <definedName name="IQ_SR_SUB_DEBT_PCT" hidden="1">"c2531"</definedName>
    <definedName name="IMPRESSION">#REF!</definedName>
    <definedName name="IQ_DEF_POLICY_ACQ_COSTS_CF" hidden="1">"c302"</definedName>
    <definedName name="ImpressD">#N/A</definedName>
    <definedName name="ICcode1">[22]Hypotheses!$E$14:$E$28</definedName>
    <definedName name="IQ_RESTATEMENT_CF" hidden="1">"c1644"</definedName>
    <definedName name="IQ_SR_DEBT_EBITDA" hidden="1">"c2552"</definedName>
    <definedName name="IQ_BOARD_MEMBER_TITLE" hidden="1">"c97"</definedName>
    <definedName name="IQ_FHLB_DUE_NEXT_FIVE" hidden="1">"c2085"</definedName>
    <definedName name="IQ_PC_STATUTORY_SURPLUS" hidden="1">"c2770"</definedName>
    <definedName name="IQ_US_GAAP_CASH_FINAN_ADJ" hidden="1">"c2941"</definedName>
    <definedName name="IQ_AIR_ASM" hidden="1">"c2812"</definedName>
    <definedName name="HE">#REF!</definedName>
    <definedName name="BusinessType">#REF!</definedName>
    <definedName name="_________AMB2">#REF!</definedName>
    <definedName name="IQ_TR_IMPLIED_EV_NI_LTM" hidden="1">"c2307"</definedName>
    <definedName name="gk" hidden="1">{#N/A,#N/A,FALSE,"Report";#N/A,#N/A,FALSE,"Credit Debit Notes";#N/A,#N/A,FALSE,"Explanations";#N/A,#N/A,FALSE,"Summary";#N/A,#N/A,FALSE,"Budget";#N/A,#N/A,FALSE,"Actua"}</definedName>
    <definedName name="IQ_NEXT_PUT_PRICE" hidden="1">"c2201"</definedName>
    <definedName name="ghyuk">'[10]Page 39'!$B$29:$M$34</definedName>
    <definedName name="______________TT1">#REF!</definedName>
    <definedName name="IQ_TEV" hidden="1">"c1219"</definedName>
    <definedName name="GGGG">#REF!</definedName>
    <definedName name="gestion">[21]Donnees!$Z$4</definedName>
    <definedName name="GBP">#REF!</definedName>
    <definedName name="IQ_AIR_FUEL_CONSUMED" hidden="1">"c2806"</definedName>
    <definedName name="IQ_TR_ACQ_CASH_ST_INVEST" hidden="1">"c2372"</definedName>
    <definedName name="________________RD2">#REF!</definedName>
    <definedName name="IQ_INT_DEPOSITS" hidden="1">"c584"</definedName>
    <definedName name="IQ_RETAIL_OPENED_FRANCHISE_STORES" hidden="1">"c2894"</definedName>
    <definedName name="fsg" hidden="1">{#N/A,#N/A,FALSE,"Key Performance Indicators";#N/A,#N/A,FALSE,"Glossary";#N/A,#N/A,FALSE,"Production Top 20";#N/A,#N/A,FALSE,"Non Prod. Top 20";#N/A,#N/A,FALSE,"MPI";#N/A,#N/A,FALSE,"GPI";#N/A,#N/A,FALSE,"Comments"}</definedName>
    <definedName name="IQ_PERIODDATE_CF" hidden="1">"c1033"</definedName>
    <definedName name="frrs">#REF!</definedName>
    <definedName name="IQ_TR_CHANGE_CONTROL" hidden="1">"c2365"</definedName>
    <definedName name="France">#REF!</definedName>
    <definedName name="_________________Prj8">#REF!</definedName>
    <definedName name="Result">#REF!</definedName>
    <definedName name="IQ_DISCOUNT_RATE_PENSION_DOMESTIC" hidden="1">"c327"</definedName>
    <definedName name="Formula_To_Values">#N/A</definedName>
    <definedName name="FLUX2">#REF!</definedName>
    <definedName name="IQ_CABLE_SUBS_BUNDLED" hidden="1">"c2861"</definedName>
    <definedName name="IQ_COMMON_REP" hidden="1">"c206"</definedName>
    <definedName name="IQ_CQ" hidden="1">5000</definedName>
    <definedName name="IQ_OG_STANDARDIZED_DCF_HEDGED_OIL" hidden="1">"c2011"</definedName>
    <definedName name="fhgfdhfh">#REF!</definedName>
    <definedName name="_Per1">#REF!</definedName>
    <definedName name="IQ_OG_REVISIONS_NGL" hidden="1">"c2913"</definedName>
    <definedName name="fghgfhj">#REF!</definedName>
    <definedName name="fdjfdj">#REF!</definedName>
    <definedName name="IQ_US_GAAP_CL_ADJ" hidden="1">"c2927"</definedName>
    <definedName name="aktKW">#REF!</definedName>
    <definedName name="IQ_FIRST_YEAR_PREM" hidden="1">"c2786"</definedName>
    <definedName name="fazeff">'[10]Page 31'!$B$6:$R$28</definedName>
    <definedName name="F">[26]IOP!$B$7:$J$17</definedName>
    <definedName name="____________STD2">[2]Parametres!$D$13:$O$13</definedName>
    <definedName name="IQ_DA_INS" hidden="1">"c257"</definedName>
    <definedName name="IQ_OTHER_UNUSUAL_BR" hidden="1">"c1561"</definedName>
    <definedName name="IQ_CLASSA_OPTIONS_CANCELLED" hidden="1">"c2682"</definedName>
    <definedName name="Explanations">#REF!</definedName>
    <definedName name="Prj4Acc">#REF!</definedName>
    <definedName name="IQ_PC_STAT_COMBINED_RATIO_EXCL_DIV" hidden="1">"c2777"</definedName>
    <definedName name="EXCEL">#REF!</definedName>
    <definedName name="__________________Prj5">#REF!</definedName>
    <definedName name="IQ_CABLE_HP_BBAND" hidden="1">"c2845"</definedName>
    <definedName name="IQ_SR_DEBT" hidden="1">"c2526"</definedName>
    <definedName name="Freq_Q1">#REF!</definedName>
    <definedName name="IQ_PE_EXCL_FWD" hidden="1">"c1030"</definedName>
    <definedName name="DEVISE">#REF!</definedName>
    <definedName name="IQ_NET_TO_GROSS_WRITTEN" hidden="1">"c2729"</definedName>
    <definedName name="__________________TT1">#REF!</definedName>
    <definedName name="euro">1.95583</definedName>
    <definedName name="IQ_GW_INTAN_AMORT_CF_INS" hidden="1">"c1475"</definedName>
    <definedName name="IQ_TOTAL_DEBT_EBITDA_CAPEX" hidden="1">"c2948"</definedName>
    <definedName name="____________________MB1">#REF!</definedName>
    <definedName name="ESPG_StdPnL">'[8]FI-2D10 MAG ESPG'!$B$71:$L$188</definedName>
    <definedName name="Feb_03">#REF!</definedName>
    <definedName name="hyp.8" hidden="1">{#N/A,#N/A,FALSE,"TRACAT1";#N/A,#N/A,FALSE,"PROJET"}</definedName>
    <definedName name="IQ_TAX_BENEFIT_OPTIONS" hidden="1">"c1215"</definedName>
    <definedName name="______________Per1">#REF!</definedName>
    <definedName name="erere" hidden="1">{#N/A,#N/A,FALSE,"Report";#N/A,#N/A,FALSE,"Credit Debit Notes";#N/A,#N/A,FALSE,"Explanations";#N/A,#N/A,FALSE,"Summary"}</definedName>
    <definedName name="IQ_ASSET_WRITEDOWN_CF_REIT" hidden="1">"c56"</definedName>
    <definedName name="IQ_OTHER_ASSETS_BR" hidden="1">"c862"</definedName>
    <definedName name="IQ_ASSET_MGMT_FEE" hidden="1">"c46"</definedName>
    <definedName name="IQ_CASH_ST_INVEST" hidden="1">"c124"</definedName>
    <definedName name="IQ_AIR_FUEL_CONSUMED_L" hidden="1">"c2807"</definedName>
    <definedName name="erat" hidden="1">{#N/A,#N/A,FALSE,"Report";#N/A,#N/A,FALSE,"Credit Debit Notes";#N/A,#N/A,FALSE,"Explanations";#N/A,#N/A,FALSE,"Summary";#N/A,#N/A,FALSE,"Budget";#N/A,#N/A,FALSE,"Actua"}</definedName>
    <definedName name="Jan_04">#REF!</definedName>
    <definedName name="_CRA2">#REF!</definedName>
    <definedName name="ETUDES">#REF!</definedName>
    <definedName name="Entities">[5]Parameters!$B$16:$B$33</definedName>
    <definedName name="End_Item">[14]LOV!$H$2:$H$3</definedName>
    <definedName name="IQ_BIG_INT_BEAR_CD" hidden="1">"c89"</definedName>
    <definedName name="Emp">#REF!</definedName>
    <definedName name="____________________Per1">#REF!</definedName>
    <definedName name="IQ_NET_INT_INC_5YR_ANN_GROWTH" hidden="1">"c762"</definedName>
    <definedName name="eg" hidden="1">{#N/A,#N/A,FALSE,"836082";#N/A,#N/A,FALSE,"PR836066 (2)";#N/A,#N/A,FALSE,"PR836066E";#N/A,#N/A,FALSE,"SilencF3RE";#N/A,#N/A,FALSE,"CamaraF3RE"}</definedName>
    <definedName name="eee">[3]Feuil1!$B$6:$R$32</definedName>
    <definedName name="EDITION">#REF!</definedName>
    <definedName name="ECARTSCS">#REF!</definedName>
    <definedName name="__Prj14">#REF!</definedName>
    <definedName name="e" hidden="1">{#N/A,#N/A,FALSE,"Report";#N/A,#N/A,FALSE,"Credit Debit Notes";#N/A,#N/A,FALSE,"Explanations";#N/A,#N/A,FALSE,"Summary";#N/A,#N/A,FALSE,"Budget";#N/A,#N/A,FALSE,"Actua"}</definedName>
    <definedName name="IQ_AIR_OPTIONS" hidden="1">"c2837"</definedName>
    <definedName name="Prj14A">#REF!</definedName>
    <definedName name="dsQSD" hidden="1">{#N/A,#N/A,FALSE,"Report";#N/A,#N/A,FALSE,"Credit Debit Notes";#N/A,#N/A,FALSE,"Explanations";#N/A,#N/A,FALSE,"Summary";#N/A,#N/A,FALSE,"Budget";#N/A,#N/A,FALSE,"Actua"}</definedName>
    <definedName name="IQ_TR_TARGET_NI" hidden="1">"c2331"</definedName>
    <definedName name="AccessDatabase" hidden="1">"C:\APPLI46\Gdf\FT.mdb"</definedName>
    <definedName name="____________________Prj14">#REF!</definedName>
    <definedName name="ds" hidden="1">{#N/A,#N/A,FALSE,"Key Performance Indicators";#N/A,#N/A,FALSE,"Glossary";#N/A,#N/A,FALSE,"Production Top 20";#N/A,#N/A,FALSE,"Non Prod. Top 20";#N/A,#N/A,FALSE,"MPI";#N/A,#N/A,FALSE,"GPI";#N/A,#N/A,FALSE,"Comments"}</definedName>
    <definedName name="IQ_OPTIONS_END_OS" hidden="1">"c1573"</definedName>
    <definedName name="IQ_COMMON_EQUITY_7YR_ANN_GROWTH" hidden="1">"c196"</definedName>
    <definedName name="IQ_INC_EQUITY_UTI" hidden="1">"c557"</definedName>
    <definedName name="HH">#REF!</definedName>
    <definedName name="_Prj1">#REF!</definedName>
    <definedName name="IQ_OTHER_OPER_ACT" hidden="1">"c983"</definedName>
    <definedName name="division">[21]Donnees!$C$4</definedName>
    <definedName name="IQ_AIR_LOAD_FACTOR" hidden="1">"c2823"</definedName>
    <definedName name="IQ_CASH_CONVERSION" hidden="1">"c117"</definedName>
    <definedName name="Depr">#REF!</definedName>
    <definedName name="Décembre">#REF!</definedName>
    <definedName name="IQ_EXTRA_ACC_ITEMS_BNK" hidden="1">"c411"</definedName>
    <definedName name="Dec_04">#REF!</definedName>
    <definedName name="IQ_TOTAL_AR_BR" hidden="1">"c1231"</definedName>
    <definedName name="Dec_03">#REF!</definedName>
    <definedName name="wrn.Complet." hidden="1">{#N/A,#N/A,FALSE,"Key Performance Indicators";#N/A,#N/A,FALSE,"Glossary";#N/A,#N/A,FALSE,"Production Top 20";#N/A,#N/A,FALSE,"Non Prod. Top 20";#N/A,#N/A,FALSE,"MPI";#N/A,#N/A,FALSE,"GPI";#N/A,#N/A,FALSE,"Comments"}</definedName>
    <definedName name="Dec_01">#REF!</definedName>
    <definedName name="dddd_1">#N/A</definedName>
    <definedName name="IQ_PREF_DIVID" hidden="1">"c1461"</definedName>
    <definedName name="FLASH">#REF!</definedName>
    <definedName name="ddd">[3]Feuil1!$B$33:$R$44</definedName>
    <definedName name="IQ_BETA_1YR_RSQ" hidden="1">"c2132"</definedName>
    <definedName name="FOREC1">#REF!</definedName>
    <definedName name="DB_FIB">#REF!</definedName>
    <definedName name="a0">'[4]Page 15'!$B$7:$J$17</definedName>
    <definedName name="dollar">#REF!</definedName>
    <definedName name="Datum">#REF!</definedName>
    <definedName name="Date_S1">#REF!</definedName>
    <definedName name="IQ_CL_DUE_NEXT_FIVE" hidden="1">"c173"</definedName>
    <definedName name="IQ_SALE_INTAN_CF_BR" hidden="1">"c1133"</definedName>
    <definedName name="IQ_OTHER_REV_SUPPL_FIN" hidden="1">"c1017"</definedName>
    <definedName name="hjhjhh" hidden="1">{#N/A,#N/A,FALSE,"Report";#N/A,#N/A,FALSE,"Credit Debit Notes";#N/A,#N/A,FALSE,"Explanations";#N/A,#N/A,FALSE,"Summary"}</definedName>
    <definedName name="_____Prj8">#REF!</definedName>
    <definedName name="DAPS">#REF!</definedName>
    <definedName name="QUEST6">#REF!</definedName>
    <definedName name="IQ_AIR_RETIRED_AIRPLANES" hidden="1">"c2840"</definedName>
    <definedName name="dadssd">#N/A</definedName>
    <definedName name="IQ_CASH_ST" hidden="1">"c1355"</definedName>
    <definedName name="IQ_SR_SUB_DEBT_EBITDA" hidden="1">"c2556"</definedName>
    <definedName name="dadssb">#N/A</definedName>
    <definedName name="IQ_LTD_DUE_CY3" hidden="1">"c708"</definedName>
    <definedName name="IQ_BASIC_WEIGHT" hidden="1">"c87"</definedName>
    <definedName name="Gender">'[17]Reference data'!$A$11:$A$12</definedName>
    <definedName name="__________TAX2">#REF!</definedName>
    <definedName name="IQ_OTHER_NON_INT_INC" hidden="1">"c955"</definedName>
    <definedName name="IQ_PUT_PRICE_SCHEDULE" hidden="1">"c2484"</definedName>
    <definedName name="ctrl_donnees_ref">#REF!</definedName>
    <definedName name="IQ_AE_BR" hidden="1">"c10"</definedName>
    <definedName name="__________________Prj9">#REF!</definedName>
    <definedName name="_1829332000">#REF!</definedName>
    <definedName name="IQ_NET_EARNED" hidden="1">"c2734"</definedName>
    <definedName name="IQ_ASSUMED_EARNED" hidden="1">"c2731"</definedName>
    <definedName name="Prj1A">#REF!</definedName>
    <definedName name="_________________Prj11">#REF!</definedName>
    <definedName name="RENTCAP">#REF!</definedName>
    <definedName name="criteria1">#REF!</definedName>
    <definedName name="_xlnm.Criteria">#REF!</definedName>
    <definedName name="IQ_OG_SALES_IN_PLACE_OIL" hidden="1">"c2034"</definedName>
    <definedName name="CREANCLI">#REF!</definedName>
    <definedName name="Divisionname">[22]Hypotheses!$A$15:$A$27</definedName>
    <definedName name="Contract2">'[17]Reference data'!$A$15:$A$21</definedName>
    <definedName name="IQ_CLASSA_WARRANTS_STRIKE_PRICE_ISSUED" hidden="1">"c2711"</definedName>
    <definedName name="IQ_TR_NET_PROCEEDS" hidden="1">"c2267"</definedName>
    <definedName name="IQ_INT_INV_INC_UTI" hidden="1">"c602"</definedName>
    <definedName name="IQ_OTHER_INVEST_ACT_SUPPL" hidden="1">"c922"</definedName>
    <definedName name="IQ_ALLOWANCE_NON_PERF_LOANS" hidden="1">"c25"</definedName>
    <definedName name="Color">[14]LOV!$I$2:$I$3</definedName>
    <definedName name="CACLI2">#REF!</definedName>
    <definedName name="______TT1">#REF!</definedName>
    <definedName name="NEIGE">'[7]Page 39'!$B$29:$M$34</definedName>
    <definedName name="IQ_COST_SERVICE" hidden="1">"c228"</definedName>
    <definedName name="IQ_WEIGHTED_AVG_PRICE" hidden="1">"c1334"</definedName>
    <definedName name="cmpSpoolPath">"C:\Programme\Symtrax\Compleo\Temp\00000000.txt"</definedName>
    <definedName name="IQ_AVG_INT_EARN_ASSETS_10YR_ANN_GROWTH" hidden="1">"c74"</definedName>
    <definedName name="chronotri">#REF!</definedName>
    <definedName name="______Prj14">#REF!</definedName>
    <definedName name="change">#REF!</definedName>
    <definedName name="IQ_NET_DEBT_ISSUED_UTI" hidden="1">"c757"</definedName>
    <definedName name="Cdep">#REF!</definedName>
    <definedName name="prev_08">[21]Donnees!$BD$4</definedName>
    <definedName name="IQ_OTHER_UNUSUAL_SUPPL_REIT" hidden="1">"c1499"</definedName>
    <definedName name="Category_2">[11]MASTER!$B$7</definedName>
    <definedName name="IQ_CALL_PRICE_SCHEDULE" hidden="1">"c2482"</definedName>
    <definedName name="____________________BFR2">#REF!</definedName>
    <definedName name="IQ_NET_DEBT_ISSUED_INS" hidden="1">"c755"</definedName>
    <definedName name="CAPREVCT3">#REF!</definedName>
    <definedName name="IQ_SAME_STORE_FRANCHISE" hidden="1">"c2900"</definedName>
    <definedName name="jh" hidden="1">{#N/A,#N/A,FALSE,"Report";#N/A,#N/A,FALSE,"Credit Debit Notes";#N/A,#N/A,FALSE,"Explanations";#N/A,#N/A,FALSE,"Summary";#N/A,#N/A,FALSE,"Budget";#N/A,#N/A,FALSE,"Actua"}</definedName>
    <definedName name="IQ_TR_DEAL_RESOLUTION" hidden="1">"c2391"</definedName>
    <definedName name="IQ_CHANGE_AP_BR" hidden="1">"c135"</definedName>
    <definedName name="IQ_TRUST_PREFERRED" hidden="1">"c3029"</definedName>
    <definedName name="IQ_CONV_EXP_DATE" hidden="1">"c3043"</definedName>
    <definedName name="IQ_INTEREST_EXP_SUPPL" hidden="1">"c1460"</definedName>
    <definedName name="CRACT">#REF!</definedName>
    <definedName name="capex_group">#REF!</definedName>
    <definedName name="CAPAYSDEST">#REF!</definedName>
    <definedName name="CADETCLIPF">#REF!</definedName>
    <definedName name="IQ_NON_PERFORMING_LOANS" hidden="1">"c827"</definedName>
    <definedName name="IQ_US_GAAP_OTHER_NON_OPER_ADJ" hidden="1">"c2955"</definedName>
    <definedName name="IQ_TR_NEGOTIATED_BUYBACK_PRICE" hidden="1">"c2414"</definedName>
    <definedName name="IQ_OG_10DISC" hidden="1">"c1998"</definedName>
    <definedName name="cadence">#REF!</definedName>
    <definedName name="CACLI">#REF!</definedName>
    <definedName name="zzzzz">#REF!</definedName>
    <definedName name="IQ_ASSET_TURNS" hidden="1">"c47"</definedName>
    <definedName name="cpteresult">#REF!</definedName>
    <definedName name="_________________Prj15">#REF!</definedName>
    <definedName name="IQ_OTHER_REV_SUPPL_BR" hidden="1">"c1016"</definedName>
    <definedName name="IQ_EV_OVER_LTM_EBITDA" hidden="1">"c1427"</definedName>
    <definedName name="ers" hidden="1">{#N/A,#N/A,FALSE,"TRACAT1";#N/A,#N/A,FALSE,"PROJET"}</definedName>
    <definedName name="Budget">#REF!</definedName>
    <definedName name="IOP">#REF!</definedName>
    <definedName name="IQ_OFFER_AMOUNT" hidden="1">"c2152"</definedName>
    <definedName name="zzz16">'[4]Page 42'!$B$6:$J$36</definedName>
    <definedName name="BP">#REF!</definedName>
    <definedName name="zzz4">'[4]Page 24'!$B$6:$I$30</definedName>
    <definedName name="IQ_SP_FIN_STRENGTH_LC_DATE_LT" hidden="1">"c2623"</definedName>
    <definedName name="bnbhn">#REF!</definedName>
    <definedName name="IQ_AVG_INT_BEAR_LIAB_2YR_ANN_GROWTH" hidden="1">"c69"</definedName>
    <definedName name="BN10.">#REF!</definedName>
    <definedName name="J">{#N/A,#N/A,FALSE,"Report";#N/A,#N/A,FALSE,"Credit Debit Notes";#N/A,#N/A,FALSE,"Explanations";#N/A,#N/A,FALSE,"Summary";#N/A,#N/A,FALSE,"Budget";#N/A,#N/A,FALSE,"Actua"}</definedName>
    <definedName name="bil_proforma">#REF!</definedName>
    <definedName name="criteria3">#REF!</definedName>
    <definedName name="bgbh">'[10]Page 39'!$B$6:$M$27</definedName>
    <definedName name="IQ_RETAIL_OPENED_STORES" hidden="1">"c2062"</definedName>
    <definedName name="Employee_profit_sharing">[3]Feuil1!#REF!</definedName>
    <definedName name="울산">#REF!</definedName>
    <definedName name="_BQ4.9" hidden="1">#REF!</definedName>
    <definedName name="___Prj12">#REF!</definedName>
    <definedName name="BFR">#REF!</definedName>
    <definedName name="IQ_NET_LOANS_TOTAL_DEPOSITS" hidden="1">"c779"</definedName>
    <definedName name="Real">#REF!</definedName>
    <definedName name="besoin">#REF!</definedName>
    <definedName name="IQ_ASSET_WRITEDOWN_INS" hidden="1">"c59"</definedName>
    <definedName name="ESPG_VarianceDetail">'[8]FI-2D10 MAG ESPG'!$V$74:$AB$184</definedName>
    <definedName name="__________________CRA1">#REF!</definedName>
    <definedName name="___________MB2">#REF!</definedName>
    <definedName name="IQ_NET_TO_GROSS_EARNED" hidden="1">"c2750"</definedName>
    <definedName name="IQ_TOTAL_LIAB_EQUITY" hidden="1">"c1279"</definedName>
    <definedName name="IQ_CHANGE_OTHER_WORK_CAP_UTI" hidden="1">"c158"</definedName>
    <definedName name="IQ_PREF_ISSUED_UTI" hidden="1">"c1051"</definedName>
    <definedName name="IQ_COMPANY_ZIP" hidden="1">"c221"</definedName>
    <definedName name="IQ_ACCT_RECV_2YR_ANN_GROWTH" hidden="1">"c1920"</definedName>
    <definedName name="exchange">#REF!</definedName>
    <definedName name="Comp">#REF!</definedName>
    <definedName name="IQ_ASSET_WRITEDOWN_BNK" hidden="1">"c49"</definedName>
    <definedName name="ezez" hidden="1">{#N/A,#N/A,FALSE,"Key Performance Indicators";#N/A,#N/A,FALSE,"Glossary";#N/A,#N/A,FALSE,"Production Top 20";#N/A,#N/A,FALSE,"Non Prod. Top 20";#N/A,#N/A,FALSE,"MPI";#N/A,#N/A,FALSE,"GPI";#N/A,#N/A,FALSE,"Comments"}</definedName>
    <definedName name="Base4">[9]development!$A$11:$AG$61</definedName>
    <definedName name="IQ_TR_SPECIAL_COMMITTEE" hidden="1">"c2362"</definedName>
    <definedName name="IQ_CASH_EQUIV" hidden="1">"c118"</definedName>
    <definedName name="__CRA1">#REF!</definedName>
    <definedName name="BASE2">#REF!</definedName>
    <definedName name="________Prj7">#REF!</definedName>
    <definedName name="IQ_OL_COMM_CY" hidden="1">"c842"</definedName>
    <definedName name="Base_Param2">#REF!</definedName>
    <definedName name="__RD2">#REF!</definedName>
    <definedName name="IQ_TOTAL_EQUITY_2YR_ANN_GROWTH" hidden="1">"c1270"</definedName>
    <definedName name="Base">#REF!</definedName>
    <definedName name="IQ_TOTAL_INVEST" hidden="1">"c1275"</definedName>
    <definedName name="____________All2002">#REF!</definedName>
    <definedName name="B">{#N/A,#N/A,FALSE,"Key Performance Indicators";#N/A,#N/A,FALSE,"Glossary";#N/A,#N/A,FALSE,"Production Top 20";#N/A,#N/A,FALSE,"Non Prod. Top 20";#N/A,#N/A,FALSE,"MPI";#N/A,#N/A,FALSE,"GPI";#N/A,#N/A,FALSE,"Comments"}</definedName>
    <definedName name="IQ_EARNING_ASSET_YIELD" hidden="1">"c343"</definedName>
    <definedName name="__________________AMB1">#REF!</definedName>
    <definedName name="avril">#REF!</definedName>
    <definedName name="____________Prj9">#REF!</definedName>
    <definedName name="ave" hidden="1">{#N/A,#N/A,FALSE,"Key Performance Indicators";#N/A,#N/A,FALSE,"Glossary";#N/A,#N/A,FALSE,"Production Top 20";#N/A,#N/A,FALSE,"Non Prod. Top 20";#N/A,#N/A,FALSE,"MPI";#N/A,#N/A,FALSE,"GPI";#N/A,#N/A,FALSE,"Comments"}</definedName>
    <definedName name="IQ_GAIN_INVEST_REV_REIT" hidden="1">"c499"</definedName>
    <definedName name="IQ_AR" hidden="1">"c40"</definedName>
    <definedName name="LT500proAcc">#REF!</definedName>
    <definedName name="auto" hidden="1">{#N/A,#N/A,FALSE,"836082";#N/A,#N/A,FALSE,"PR836066 (2)";#N/A,#N/A,FALSE,"PR836066E";#N/A,#N/A,FALSE,"SilencF3RE";#N/A,#N/A,FALSE,"CamaraF3RE"}</definedName>
    <definedName name="Aug_04">#REF!</definedName>
    <definedName name="IQ_INV_7YR_ANN_GROWTH" hidden="1">"c1929"</definedName>
    <definedName name="Oper_inc_loss_after_empl._profit_sharing">[3]Feuil1!#REF!</definedName>
    <definedName name="IQ_TRUST_INC" hidden="1">"c1319"</definedName>
    <definedName name="IQ_AIR_OPER_EXP_ASK" hidden="1">"c2821"</definedName>
    <definedName name="Function">'[17]Reference data'!$A$42:$A$54</definedName>
    <definedName name="pca">#REF!</definedName>
    <definedName name="IQ_PROV_BAD_DEBTS_CF" hidden="1">"c1076"</definedName>
    <definedName name="CACLI1">#REF!</definedName>
    <definedName name="IQ_OG_IMPROVED_RECOVERY_GAS" hidden="1">"c2044"</definedName>
    <definedName name="IQ_ASSETS_OPER_LEASE_GROSS" hidden="1">"c2071"</definedName>
    <definedName name="IQ_CAPITAL_LEASE" hidden="1">"c1350"</definedName>
    <definedName name="IQ_AP" hidden="1">"c32"</definedName>
    <definedName name="IQ_CLASSA_OUTSTANDING_FILING_DATE" hidden="1">"c1973"</definedName>
    <definedName name="IQ_INS_SETTLE" hidden="1">"c570"</definedName>
    <definedName name="ASBG_Product">#REF!</definedName>
    <definedName name="IQ_GROSS_LIFE_IN_FORCE" hidden="1">"c2767"</definedName>
    <definedName name="IQ_MERGER_RESTRUCTURE_FIN" hidden="1">"c722"</definedName>
    <definedName name="ASBG_Plant">#REF!</definedName>
    <definedName name="_BFR1">#REF!</definedName>
    <definedName name="IQ_YEARLOW_DATE" hidden="1">"c2251"</definedName>
    <definedName name="______RD2">#REF!</definedName>
    <definedName name="ASBG_Family">#REF!</definedName>
    <definedName name="IQ_SALE_REAL_ESTATE_CF_UTI" hidden="1">"c1148"</definedName>
    <definedName name="ASBG_Division">#REF!</definedName>
    <definedName name="IQ_OG_EQUITY_DCF" hidden="1">"c2002"</definedName>
    <definedName name="CAVEH">#REF!</definedName>
    <definedName name="_______Prj11">#REF!</definedName>
    <definedName name="_Prj10">#REF!</definedName>
    <definedName name="Apr_03">#REF!</definedName>
    <definedName name="Zprint2">#REF!</definedName>
    <definedName name="Apr_02">#REF!</definedName>
    <definedName name="IQ_SR_DEBT_EBITDA_CAPEX" hidden="1">"c2553"</definedName>
    <definedName name="IQ_TOTAL_EQUITY_10YR_ANN_GROWTH" hidden="1">"c1268"</definedName>
    <definedName name="Application">#REF!</definedName>
    <definedName name="valtm8">[37]Instrument!$P$66</definedName>
    <definedName name="IQ_PTBV_AVG" hidden="1">"c1085"</definedName>
    <definedName name="arielle" hidden="1">{#N/A,#N/A,FALSE,"Report";#N/A,#N/A,FALSE,"Credit Debit Notes";#N/A,#N/A,FALSE,"Explanations";#N/A,#N/A,FALSE,"Summary";#N/A,#N/A,FALSE,"Budget";#N/A,#N/A,FALSE,"Actua"}</definedName>
    <definedName name="Août">#REF!</definedName>
    <definedName name="wrn.ciao." hidden="1">{#N/A,#N/A,TRUE,"coll"}</definedName>
    <definedName name="IQ_NET_CLAIM_EXP_INCUR_CY" hidden="1">"c2761"</definedName>
    <definedName name="annie">'[7]Page 35'!$B$6:$R$28</definedName>
    <definedName name="______AMB1">#REF!</definedName>
    <definedName name="BOARD_Comments">'[8]FI-2D10 MAG TRANS'!$R$76:$U$184</definedName>
    <definedName name="_________RD2">#REF!</definedName>
    <definedName name="anita" hidden="1">{#N/A,#N/A,FALSE,"Key Performance Indicators";#N/A,#N/A,FALSE,"Glossary";#N/A,#N/A,FALSE,"Production Top 20";#N/A,#N/A,FALSE,"Non Prod. Top 20";#N/A,#N/A,FALSE,"MPI";#N/A,#N/A,FALSE,"GPI";#N/A,#N/A,FALSE,"Comments"}</definedName>
    <definedName name="IQ_ASSET_WRITEDOWN_CF_BNK" hidden="1">"c52"</definedName>
    <definedName name="_18D24841M0">#REF!</definedName>
    <definedName name="analysfret1">#REF!</definedName>
    <definedName name="AllPast">#REF!</definedName>
    <definedName name="Z" hidden="1">{#N/A,#N/A,FALSE,"Report";#N/A,#N/A,FALSE,"Credit Debit Notes";#N/A,#N/A,FALSE,"Explanations";#N/A,#N/A,FALSE,"Summary"}</definedName>
    <definedName name="IQ_DEF_CHARGES_LT_REIT" hidden="1">"c297"</definedName>
    <definedName name="AIS">#REF!</definedName>
    <definedName name="IQ_CHARGE_OFFS_GROSS" hidden="1">"c162"</definedName>
    <definedName name="_________________MB3">#REF!</definedName>
    <definedName name="IQ_OG_AVG_DAILY_PROD_OIL" hidden="1">"c2909"</definedName>
    <definedName name="IQ_CABLE_SUBS_PHONE" hidden="1">"c2859"</definedName>
    <definedName name="afsd" hidden="1">{#N/A,#N/A,FALSE,"Report";#N/A,#N/A,FALSE,"Credit Debit Notes";#N/A,#N/A,FALSE,"Explanations";#N/A,#N/A,FALSE,"Summary";#N/A,#N/A,FALSE,"Budget";#N/A,#N/A,FALSE,"Actua"}</definedName>
    <definedName name="LT500quaA">#REF!</definedName>
    <definedName name="IQ_DEFERRED_TAXES" hidden="1">"c1356"</definedName>
    <definedName name="____Prj6">#REF!</definedName>
    <definedName name="____Prj9">#REF!</definedName>
    <definedName name="IQ_CEDED_EARNED" hidden="1">"c2733"</definedName>
    <definedName name="IQ_EFFICIENCY_RATIO" hidden="1">"c391"</definedName>
    <definedName name="Actual">#REF!</definedName>
    <definedName name="_______________Prj2">#REF!</definedName>
    <definedName name="ACTUA">#REF!</definedName>
    <definedName name="___________Prj2">#REF!</definedName>
    <definedName name="ACTIVITE2">[6]PRESENTATION!$E$7</definedName>
    <definedName name="IQ_AVG_SHAREOUTSTANDING" hidden="1">"c83"</definedName>
    <definedName name="ACTIVITE">#REF!</definedName>
    <definedName name="IQ_FIN_DIV_INT_EXP" hidden="1">"c432"</definedName>
    <definedName name="CACLI3">#REF!</definedName>
    <definedName name="act">[5]Parameters!$B$41:$B$76</definedName>
    <definedName name="IQ_AMORTIZATION" hidden="1">"c1591"</definedName>
    <definedName name="aaaa">[3]Feuil1!$B$6:$Q$31</definedName>
    <definedName name="aaa" hidden="1">{#N/A,#N/A,FALSE,"Report";#N/A,#N/A,FALSE,"Credit Debit Notes";#N/A,#N/A,FALSE,"Explanations";#N/A,#N/A,FALSE,"Summary";#N/A,#N/A,FALSE,"Budget";#N/A,#N/A,FALSE,"Actua"}</definedName>
    <definedName name="aa" hidden="1">{#N/A,#N/A,FALSE,"Report";#N/A,#N/A,FALSE,"Credit Debit Notes";#N/A,#N/A,FALSE,"Explanations";#N/A,#N/A,FALSE,"Summary";#N/A,#N/A,FALSE,"Budget";#N/A,#N/A,FALSE,"Actua"}</definedName>
    <definedName name="IQ_EBIT_5YR_ANN_GROWTH" hidden="1">"c357"</definedName>
    <definedName name="IQ_AIR_FUEL_COST" hidden="1">"c2803"</definedName>
    <definedName name="_18G0407000">#REF!</definedName>
    <definedName name="a" hidden="1">{#N/A,#N/A,FALSE,"Report";#N/A,#N/A,FALSE,"Credit Debit Notes";#N/A,#N/A,FALSE,"Explanations";#N/A,#N/A,FALSE,"Summary";#N/A,#N/A,FALSE,"Budget";#N/A,#N/A,FALSE,"Actua"}</definedName>
    <definedName name="IQ_YEARHIGH" hidden="1">"c1337"</definedName>
    <definedName name="IQ_DEBT_EQUIV_NET_PBO" hidden="1">"c2938"</definedName>
    <definedName name="_TT1">#REF!</definedName>
    <definedName name="_TAX3">#REF!</definedName>
    <definedName name="IQ_AD" hidden="1">"c7"</definedName>
    <definedName name="IQ_ADVERTISING_MARKETING" hidden="1">"c1566"</definedName>
    <definedName name="IQ_OPTIONS_ISSUED" hidden="1">"c857"</definedName>
    <definedName name="IQ_CHANGE_UNEARN_REV" hidden="1">"c160"</definedName>
    <definedName name="ctrl_val">#REF!</definedName>
    <definedName name="IQ_ST_DEBT_BR" hidden="1">"c1178"</definedName>
    <definedName name="_Table2_In2" hidden="1">#REF!</definedName>
    <definedName name="COMMANDES">#REF!</definedName>
    <definedName name="_Sort" hidden="1">[3]Feuil1!$F$517:$V$521</definedName>
    <definedName name="_1829371000">#REF!</definedName>
    <definedName name="IQ_NI_NORM_3YR_ANN_GROWTH" hidden="1">"c1957"</definedName>
    <definedName name="IQ_US_GAAP_NCA_ADJ" hidden="1">"c2926"</definedName>
    <definedName name="IQ_ST_DEBT_PCT" hidden="1">"c2539"</definedName>
    <definedName name="IQ_TIER_ONE_RATIO" hidden="1">"c1229"</definedName>
    <definedName name="_SE1">[2]Parametres!$D$35:$O$35</definedName>
    <definedName name="IQ_EBITDA_OVER_TOTAL_IE" hidden="1">"c1371"</definedName>
    <definedName name="reel_05">[21]Donnees!$BP$4</definedName>
    <definedName name="_r">[1]SUMSCHED!$C$1:$O$55</definedName>
    <definedName name="IQ_ALLOWANCE_CHARGE_OFFS" hidden="1">"c24"</definedName>
    <definedName name="eat" hidden="1">{#N/A,#N/A,FALSE,"Report";#N/A,#N/A,FALSE,"Credit Debit Notes";#N/A,#N/A,FALSE,"Explanations";#N/A,#N/A,FALSE,"Summary"}</definedName>
    <definedName name="IQ_COMMON_APIC_BNK" hidden="1">"c184"</definedName>
    <definedName name="IQ_TR_OTHER_CONSID" hidden="1">"c3022"</definedName>
    <definedName name="_Prj6">#REF!</definedName>
    <definedName name="IQ_FUEL" hidden="1">"c449"</definedName>
    <definedName name="IQ_COMPANY_NAME_LONG" hidden="1">"c1585"</definedName>
    <definedName name="IQ_OTHER_LONG_TERM" hidden="1">"c1409"</definedName>
    <definedName name="IQ_ADJ_AVG_BANK_ASSETS" hidden="1">"c2671"</definedName>
    <definedName name="________________Prj5">#REF!</definedName>
    <definedName name="IQ_ACCOUNTS_PAY" hidden="1">"c1343"</definedName>
    <definedName name="__________________Prj10">#REF!</definedName>
    <definedName name="________________BFR1">#REF!</definedName>
    <definedName name="_Order1" hidden="1">0</definedName>
    <definedName name="Prj15Apast">#REF!</definedName>
    <definedName name="dadssb_1">#N/A</definedName>
    <definedName name="ordensupplier">#REF!</definedName>
    <definedName name="Oct_04">#REF!</definedName>
    <definedName name="bilan">#REF!</definedName>
    <definedName name="IQ_COMMISSION_DEF" hidden="1">"c181"</definedName>
    <definedName name="IQ_GAIN_ASSETS_REV_BR" hidden="1">"c474"</definedName>
    <definedName name="asfasf">#REF!</definedName>
    <definedName name="IQ_RETAIL_AVG_STORE_SIZE_NET" hidden="1">"c2067"</definedName>
    <definedName name="_Fill" hidden="1">#REF!</definedName>
    <definedName name="________________Prj6">#REF!</definedName>
    <definedName name="_eat1" hidden="1">{#N/A,#N/A,FALSE,"Report";#N/A,#N/A,FALSE,"Credit Debit Notes";#N/A,#N/A,FALSE,"Explanations";#N/A,#N/A,FALSE,"Summary"}</definedName>
    <definedName name="_BQ4.5" hidden="1">#REF!</definedName>
    <definedName name="_BFR2">#REF!</definedName>
    <definedName name="IQ_GAIN_ASSETS_CF_FIN" hidden="1">"c458"</definedName>
    <definedName name="IQ_LT_DEBT_ISSUED_INS" hidden="1">"c685"</definedName>
    <definedName name="IQ_OTHER_WARRANTS_CANCELLED" hidden="1">"c2715"</definedName>
    <definedName name="_AMB2">#REF!</definedName>
    <definedName name="IQ_INVEST_SECURITY_CF_REIT" hidden="1">"c642"</definedName>
    <definedName name="_18G0360000">#REF!</definedName>
    <definedName name="IQ_TR_CANCELLED_DATE" hidden="1">"c2284"</definedName>
    <definedName name="IQ_NET_INTEREST_INC_AFTER_LL" hidden="1">"c1604"</definedName>
    <definedName name="IQ_BOND_COUPON" hidden="1">"c2183"</definedName>
    <definedName name="IQ_OTHER_INVEST_ACT_BR" hidden="1">"c918"</definedName>
    <definedName name="_18G0233000">#REF!</definedName>
    <definedName name="__Prj4">#REF!</definedName>
    <definedName name="IQ_COMMON_REP_FIN" hidden="1">"c209"</definedName>
    <definedName name="_18G0163000">#REF!</definedName>
    <definedName name="IQ_EXERCISE_PRICE" hidden="1">"c1897"</definedName>
    <definedName name="azer">[3]Feuil1!$B$40:$L$58</definedName>
    <definedName name="Zprint31S">'[51]Page 31'!$B$30:$R$35</definedName>
    <definedName name="_18D24845M0">#REF!</definedName>
    <definedName name="IQ_BOARD_MEMBER_BACKGROUND" hidden="1">"c2101"</definedName>
    <definedName name="IQ_PE_EXCL_AVG" hidden="1">"c1029"</definedName>
    <definedName name="IQ_DIVIDEND_YIELD" hidden="1">"c332"</definedName>
    <definedName name="IQ_CABLE_OTHER_REV" hidden="1">"c2882"</definedName>
    <definedName name="IQ_DEF_POLICY_AMORT" hidden="1">"c303"</definedName>
    <definedName name="IQ_GAIN_ASSETS_REV_UTI" hidden="1">"c478"</definedName>
    <definedName name="IQ_SAME_STORE_TOTAL" hidden="1">"c2892"</definedName>
    <definedName name="CAACT2">#REF!</definedName>
    <definedName name="IQ_OTHER_NET" hidden="1">"c1453"</definedName>
    <definedName name="_18D24840M0">#REF!</definedName>
    <definedName name="IQ_GP" hidden="1">"c511"</definedName>
    <definedName name="Prj8Acc">#REF!</definedName>
    <definedName name="IQ_MC_RATIO" hidden="1">"c2783"</definedName>
    <definedName name="_18G0223000">#REF!</definedName>
    <definedName name="xxx" hidden="1">{#N/A,#N/A,FALSE,"Report";#N/A,#N/A,FALSE,"Credit Debit Notes";#N/A,#N/A,FALSE,"Explanations";#N/A,#N/A,FALSE,"Summary"}</definedName>
    <definedName name="_1829986000">#REF!</definedName>
    <definedName name="_1829920000">#REF!</definedName>
    <definedName name="dol">[23]constante!$B$13</definedName>
    <definedName name="___eat1" hidden="1">{#N/A,#N/A,FALSE,"Report";#N/A,#N/A,FALSE,"Credit Debit Notes";#N/A,#N/A,FALSE,"Explanations";#N/A,#N/A,FALSE,"Summary"}</definedName>
    <definedName name="IQ_LT_DEBT_REPAID_UTI" hidden="1">"c695"</definedName>
    <definedName name="IQ_WARRANTS_CANCELLED" hidden="1">"c2701"</definedName>
    <definedName name="_Table2_In1" hidden="1">#REF!</definedName>
    <definedName name="IQ_OTHER_CL_SUPPL" hidden="1">"c878"</definedName>
    <definedName name="_1829372000">#REF!</definedName>
    <definedName name="_1829341000">#REF!</definedName>
    <definedName name="IQ_MORTGAGE_SERV_RIGHTS" hidden="1">"c2242"</definedName>
    <definedName name="IQ_FFO" hidden="1">"c1574"</definedName>
    <definedName name="_1829331000">#REF!</definedName>
    <definedName name="_____CRA2">#REF!</definedName>
    <definedName name="CAPREVCT">#REF!</definedName>
    <definedName name="IQ_NET_CLAIM_EXP_RES" hidden="1">"c2754"</definedName>
    <definedName name="_1829257000">#REF!</definedName>
    <definedName name="IQ_CABLE_REV_BBAND" hidden="1">"c2878"</definedName>
    <definedName name="IQ_CHANGE_AR" hidden="1">"c140"</definedName>
    <definedName name="__TAX2">#REF!</definedName>
    <definedName name="IQ_GROSS_LIFE_EARNED" hidden="1">"c2737"</definedName>
    <definedName name="__r">[1]SUMSCHED!$C$1:$O$55</definedName>
    <definedName name="IQ_CL_DUE_CY3" hidden="1">"c171"</definedName>
    <definedName name="IQ_CHANGE_AR_REIT" hidden="1">"c145"</definedName>
    <definedName name="__Prj8">#REF!</definedName>
    <definedName name="IQ_NET_LIFE_INS_IN_FORCE" hidden="1">"c2769"</definedName>
    <definedName name="CAVEHIC">#REF!</definedName>
    <definedName name="fg">#REF!</definedName>
    <definedName name="IQ_BUILDINGS" hidden="1">"c99"</definedName>
    <definedName name="__Prj6">#REF!</definedName>
    <definedName name="__Prj5">#REF!</definedName>
    <definedName name="_18D0191000">#REF!</definedName>
    <definedName name="_____________CRA2">#REF!</definedName>
    <definedName name="_______________MB1">#REF!</definedName>
    <definedName name="_______________BFR2">#REF!</definedName>
    <definedName name="IQ_SPECIAL_DIV_SHARE" hidden="1">"c3007"</definedName>
    <definedName name="____________SE2">[2]Parametres!$D$36:$O$36</definedName>
    <definedName name="prev_06">[21]Donnees!$BB$4</definedName>
    <definedName name="IQ_CHANGE_AP" hidden="1">"c133"</definedName>
    <definedName name="____________Prj14">#REF!</definedName>
    <definedName name="__________FES1" hidden="1">{#N/A,#N/A,FALSE,"Report";#N/A,#N/A,FALSE,"Credit Debit Notes";#N/A,#N/A,FALSE,"Explanations";#N/A,#N/A,FALSE,"Summary"}</definedName>
    <definedName name="IQ_DEF_TAX_ASSET_LT_UTI" hidden="1">"c308"</definedName>
    <definedName name="htrzht" hidden="1">{#N/A,#N/A,FALSE,"Report";#N/A,#N/A,FALSE,"Credit Debit Notes";#N/A,#N/A,FALSE,"Explanations";#N/A,#N/A,FALSE,"Summary"}</definedName>
    <definedName name="IQ_AIR_RPM" hidden="1">"c2810"</definedName>
    <definedName name="____________MB2">#REF!</definedName>
    <definedName name="______TAX2">#REF!</definedName>
    <definedName name="IQ_TOTAL_AVG_CE_TOTAL_AVG_ASSETS" hidden="1">"c1241"</definedName>
    <definedName name="____________BFR1">#REF!</definedName>
    <definedName name="SYNTH">#REF!</definedName>
    <definedName name="IQ_CABLE_ARPU_PHONE" hidden="1">"c2868"</definedName>
    <definedName name="____________MB3">#REF!</definedName>
    <definedName name="Zprint31">'[51]Page 31'!$B$6:$R$28</definedName>
    <definedName name="_____________TAX1">#REF!</definedName>
    <definedName name="IQ_GAIN_ASSETS_REV_BNK" hidden="1">"c473"</definedName>
    <definedName name="IQ_CLASSA_WARRANTS_ISSUED" hidden="1">"c2706"</definedName>
    <definedName name="IQ_CHANGE_OTHER_WORK_CAP_INS" hidden="1">"c156"</definedName>
    <definedName name="____MB1">#REF!</definedName>
    <definedName name="____SE1">[2]Parametres!$D$35:$O$35</definedName>
    <definedName name="_____________Prj9">#REF!</definedName>
    <definedName name="INVESTIS">#REF!</definedName>
    <definedName name="Zprint13">#REF!</definedName>
    <definedName name="IQ_ANNUALIZED_DIVIDEND" hidden="1">"c1579"</definedName>
    <definedName name="IQ_AP_UTI" hidden="1">"c38"</definedName>
    <definedName name="IQ_EBITA_3YR_ANN_GROWTH" hidden="1">"c1951"</definedName>
    <definedName name="entity2">[24]Entity!$A$4</definedName>
    <definedName name="IQ_EBT_FIN" hidden="1">"c386"</definedName>
    <definedName name="IQ_TBV_2YR_ANN_GROWTH" hidden="1">"c1932"</definedName>
    <definedName name="______________eat1" hidden="1">{#N/A,#N/A,FALSE,"Report";#N/A,#N/A,FALSE,"Credit Debit Notes";#N/A,#N/A,FALSE,"Explanations";#N/A,#N/A,FALSE,"Summary"}</definedName>
    <definedName name="IQ_ACQ_COSTS_CAPITALIZED" hidden="1">"c5"</definedName>
    <definedName name="IQ_SHARESOUTSTANDING" hidden="1">"c1164"</definedName>
    <definedName name="_____________Prj5">#REF!</definedName>
    <definedName name="_______________Prj9">#REF!</definedName>
    <definedName name="valintM4">'[50]31.12.03'!$N$50</definedName>
    <definedName name="IQ_SP_FIN_ENHANCE_FX_ACTION" hidden="1">"c2630"</definedName>
    <definedName name="_____________Prj2">#REF!</definedName>
    <definedName name="______________Prj13">#REF!</definedName>
    <definedName name="IQ_OTHER_BENEFITS_OBLIGATION" hidden="1">"c867"</definedName>
    <definedName name="IQ_CL_DUE_CY2" hidden="1">"c170"</definedName>
    <definedName name="_____________Prj1">#REF!</definedName>
    <definedName name="s_1">#N/A</definedName>
    <definedName name="___________Prj3">#REF!</definedName>
    <definedName name="IQ_FWD_CY1" hidden="1">10002</definedName>
    <definedName name="IQ_SALE_PPE_CF_BR" hidden="1">"c1139"</definedName>
    <definedName name="___________________FES1" hidden="1">{#N/A,#N/A,FALSE,"Report";#N/A,#N/A,FALSE,"Credit Debit Notes";#N/A,#N/A,FALSE,"Explanations";#N/A,#N/A,FALSE,"Summary"}</definedName>
    <definedName name="_____Prj11">#REF!</definedName>
    <definedName name="_Prj11">#REF!</definedName>
    <definedName name="IQ_AIR_REV_PSGRS_CARRIED" hidden="1">"c2808"</definedName>
    <definedName name="erzr" hidden="1">{#N/A,#N/A,FALSE,"Key Performance Indicators";#N/A,#N/A,FALSE,"Glossary";#N/A,#N/A,FALSE,"Production Top 20";#N/A,#N/A,FALSE,"Non Prod. Top 20";#N/A,#N/A,FALSE,"MPI";#N/A,#N/A,FALSE,"GPI";#N/A,#N/A,FALSE,"Comments"}</definedName>
    <definedName name="Feb_01">#REF!</definedName>
    <definedName name="IQ_RETURN_EQUITY_BANK" hidden="1">"c1119"</definedName>
    <definedName name="_____________MB1">#REF!</definedName>
    <definedName name="IQ_ASSET_WRITEDOWN_CF_UTI" hidden="1">"c57"</definedName>
    <definedName name="nbjan">#REF!</definedName>
    <definedName name="_1829889000">#REF!</definedName>
    <definedName name="____________AMB1">#REF!</definedName>
    <definedName name="CASH">#REF!</definedName>
    <definedName name="IQ_EBT_EXCL_BNK" hidden="1">"c380"</definedName>
    <definedName name="_____________eat1" hidden="1">{#N/A,#N/A,FALSE,"Report";#N/A,#N/A,FALSE,"Credit Debit Notes";#N/A,#N/A,FALSE,"Explanations";#N/A,#N/A,FALSE,"Summary"}</definedName>
    <definedName name="IQ_GPPE" hidden="1">"c518"</definedName>
    <definedName name="IQ_OTHER_LT_ASSETS_BR" hidden="1">"c948"</definedName>
    <definedName name="All">#REF!</definedName>
    <definedName name="_____________TAX2">#REF!</definedName>
    <definedName name="IQ_OG_ACQ_COST_PROVED_GAS" hidden="1">"c1987"</definedName>
    <definedName name="_____________AMB2">#REF!</definedName>
    <definedName name="_Prj8">#REF!</definedName>
    <definedName name="IQ_GAIN_INVEST_UTI" hidden="1">"c1468"</definedName>
    <definedName name="______________TAX3">#REF!</definedName>
    <definedName name="______________TAX2">#REF!</definedName>
    <definedName name="_SE2">[2]Parametres!$D$36:$O$36</definedName>
    <definedName name="IQ_TAX_EQUIV_NET_INT_INC" hidden="1">"c1216"</definedName>
    <definedName name="IQ_NET_INTEREST_EXP_UTI" hidden="1">"c771"</definedName>
    <definedName name="______________RD2">#REF!</definedName>
    <definedName name="IQ_PREPAID_SUBS" hidden="1">"c2117"</definedName>
    <definedName name="__________________Prj14">#REF!</definedName>
    <definedName name="____eat1" hidden="1">{#N/A,#N/A,FALSE,"Report";#N/A,#N/A,FALSE,"Credit Debit Notes";#N/A,#N/A,FALSE,"Explanations";#N/A,#N/A,FALSE,"Summary"}</definedName>
    <definedName name="Freq_Q2">#REF!</definedName>
    <definedName name="IQ_COMMON_DIV" hidden="1">"c3006"</definedName>
    <definedName name="___________TT1">#REF!</definedName>
    <definedName name="IQ_EXTRA_ACC_ITEMS_INS" hidden="1">"c414"</definedName>
    <definedName name="__Prj3">#REF!</definedName>
    <definedName name="Année">#REF!</definedName>
    <definedName name="IQ_RETAIL_STORES_BEG" hidden="1">"c2885"</definedName>
    <definedName name="______TAX3">#REF!</definedName>
    <definedName name="___________Prj1">#REF!</definedName>
    <definedName name="IQ_COMMON_APIC_FIN" hidden="1">"c186"</definedName>
    <definedName name="linha" hidden="1">{#N/A,#N/A,FALSE,"TRACAT1";#N/A,#N/A,FALSE,"PROJET"}</definedName>
    <definedName name="______________Prj12">#REF!</definedName>
    <definedName name="IQ_SP_FX_LT" hidden="1">"c2615"</definedName>
    <definedName name="numero">[21]Donnees!$A$4</definedName>
    <definedName name="______________MB2">#REF!</definedName>
    <definedName name="______________MB1">#REF!</definedName>
    <definedName name="______________FES1" hidden="1">{#N/A,#N/A,FALSE,"Report";#N/A,#N/A,FALSE,"Credit Debit Notes";#N/A,#N/A,FALSE,"Explanations";#N/A,#N/A,FALSE,"Summary"}</definedName>
    <definedName name="IQ_DO_ASSETS_CURRENT" hidden="1">"c334"</definedName>
    <definedName name="IQ_FHLB_DUE_CY2" hidden="1">"c2082"</definedName>
    <definedName name="IQ_OTHER_FINANCE_ACT_SUPPL_FIN" hidden="1">"c902"</definedName>
    <definedName name="check_value">#REF!</definedName>
    <definedName name="IQ_DEFERRED_INC_TAX" hidden="1">"c1447"</definedName>
    <definedName name="IQ_OG_FUTURE_DEVELOPMENT_COSTS_GAS" hidden="1">"c2015"</definedName>
    <definedName name="IQ_GAIN_ASSETS_FIN" hidden="1">"c462"</definedName>
    <definedName name="entete">#REF!</definedName>
    <definedName name="CODENTITE">[13]PRESENTATION!$E$16</definedName>
    <definedName name="____________Prj13">#REF!</definedName>
    <definedName name="IQ_INVEST_LOANS_CF" hidden="1">"c628"</definedName>
    <definedName name="IQ_NET_INT_INC_1YR_ANN_GROWTH" hidden="1">"c759"</definedName>
    <definedName name="_Prj3">#REF!</definedName>
    <definedName name="________________TT1">#REF!</definedName>
    <definedName name="IQ_GAIN_ASSETS_BNK" hidden="1">"c453"</definedName>
    <definedName name="_________________r">[1]SUMSCHED!$C$1:$O$55</definedName>
    <definedName name="______________TAX1">#REF!</definedName>
    <definedName name="_______CRA1">#REF!</definedName>
    <definedName name="ASBG_Customer">#REF!</definedName>
    <definedName name="IQ_NI_5YR_ANN_GROWTH" hidden="1">"c786"</definedName>
    <definedName name="IQ_POISON_PUT_EFFECT_DATE" hidden="1">"c2486"</definedName>
    <definedName name="_______________SE2">[2]Parametres!$D$36:$O$36</definedName>
    <definedName name="IQ_NON_INS_REV" hidden="1">"c799"</definedName>
    <definedName name="___________________Prj15">#REF!</definedName>
    <definedName name="IQ_NUMBER_ADRHOLDERS" hidden="1">"c1970"</definedName>
    <definedName name="_Prj2">#REF!</definedName>
    <definedName name="IQ_DEF_TAX_LIAB_LT_BNK" hidden="1">"c314"</definedName>
    <definedName name="Elimination">#REF!</definedName>
    <definedName name="IQ_CAPITAL_LEASES_TOTAL_PCT" hidden="1">"c2506"</definedName>
    <definedName name="______________CRA1">#REF!</definedName>
    <definedName name="IQ_CHANGE_DEF_TAX" hidden="1">"c147"</definedName>
    <definedName name="IQ_DEBT_EQUIV_OPER_LEASE" hidden="1">"c2935"</definedName>
    <definedName name="IQ_FIN_DIV_DEBT_CURRENT" hidden="1">"c429"</definedName>
    <definedName name="______________SE2">[2]Parametres!$D$36:$O$36</definedName>
    <definedName name="IQ_TOTAL_LIAB_BNK" hidden="1">"c1277"</definedName>
    <definedName name="_______________Prj6">#REF!</definedName>
    <definedName name="___________________STD2">[2]Parametres!$D$13:$O$13</definedName>
    <definedName name="________________AMB2">#REF!</definedName>
    <definedName name="_______STD2">[2]Parametres!$D$13:$O$13</definedName>
    <definedName name="IQ_DEF_BENEFIT_INTEREST_COST_FOREIGN" hidden="1">"c2660"</definedName>
    <definedName name="_____________OPU1">#REF!</definedName>
    <definedName name="_key9" hidden="1">#REF!</definedName>
    <definedName name="_______________Prj3">#REF!</definedName>
    <definedName name="IQ_AIR_BREAK_EVEN_FACTOR" hidden="1">"c2822"</definedName>
    <definedName name="IQ_GP_2YR_ANN_GROWTH" hidden="1">"c514"</definedName>
    <definedName name="_______________Prj11">#REF!</definedName>
    <definedName name="______________AMB2">#REF!</definedName>
    <definedName name="____________________r">[1]SUMSCHED!$C$1:$O$55</definedName>
    <definedName name="IQ_OTHER_EQUITY" hidden="1">"c886"</definedName>
    <definedName name="_______________Prj10">#REF!</definedName>
    <definedName name="_______AMB2">#REF!</definedName>
    <definedName name="zzz11">'[4]Non quality costs'!$B$30:$R$35</definedName>
    <definedName name="ert">[3]Feuil1!$B$32:$Q$50</definedName>
    <definedName name="______________Prj7">#REF!</definedName>
    <definedName name="IQ_EBT_UTI" hidden="1">"c390"</definedName>
    <definedName name="_______________MB3">#REF!</definedName>
    <definedName name="_________________SE2">[2]Parametres!$D$36:$O$36</definedName>
    <definedName name="IQ_ASSUMED_AH_EARNED" hidden="1">"c2741"</definedName>
    <definedName name="IQ_OG_10DISC_GAS" hidden="1">"c2018"</definedName>
    <definedName name="IQ_TIME_DEP" hidden="1">"c1230"</definedName>
    <definedName name="IQ_ASSUMED_LIFE_EARNED" hidden="1">"c2736"</definedName>
    <definedName name="__SE2">[2]Parametres!$D$36:$O$36</definedName>
    <definedName name="QUEST2">#REF!</definedName>
    <definedName name="_______________eat1" hidden="1">{#N/A,#N/A,FALSE,"Report";#N/A,#N/A,FALSE,"Credit Debit Notes";#N/A,#N/A,FALSE,"Explanations";#N/A,#N/A,FALSE,"Summary"}</definedName>
    <definedName name="aaaaa">[1]SALESCUST!$D$1:$R$61</definedName>
    <definedName name="_1829786000">#REF!</definedName>
    <definedName name="__AMB2">#REF!</definedName>
    <definedName name="IQ_INT_BORROW" hidden="1">"c583"</definedName>
    <definedName name="______________Prj6">#REF!</definedName>
    <definedName name="_______________BFR1">#REF!</definedName>
    <definedName name="IQ_SALE_INTAN_CF_INS" hidden="1">"c1135"</definedName>
    <definedName name="______________Prj9">#REF!</definedName>
    <definedName name="IQ_TOTAL_DEBT_OVER_EBITDA" hidden="1">"c1433"</definedName>
    <definedName name="___AMB2">#REF!</definedName>
    <definedName name="MesFonctions">[31]Fonctions!$B$3:$B$13</definedName>
    <definedName name="_______________AMB1">#REF!</definedName>
    <definedName name="_________________Prj5">#REF!</definedName>
    <definedName name="____________________BFR1">#REF!</definedName>
    <definedName name="______________BFR2">#REF!</definedName>
    <definedName name="ForM1">#REF!</definedName>
    <definedName name="fees">#REF!</definedName>
    <definedName name="May_04">#REF!</definedName>
    <definedName name="IQ_BOND_PRICE" hidden="1">"c2162"</definedName>
    <definedName name="IQ_CABLE_TOTAL_REV" hidden="1">"c2883"</definedName>
    <definedName name="IQ_DIVEST_CF" hidden="1">"c331"</definedName>
    <definedName name="_________BFR2">#REF!</definedName>
    <definedName name="IQ_OTHER_OPTIONS_CANCELLED" hidden="1">"c2689"</definedName>
    <definedName name="___________________Prj12">#REF!</definedName>
    <definedName name="IQ_DEF_CHARGES_LT_INS" hidden="1">"c296"</definedName>
    <definedName name="________________BFR2">#REF!</definedName>
    <definedName name="Zprint27">#REF!</definedName>
    <definedName name="SYNTHGEN">#REF!</definedName>
    <definedName name="IQ_TRADING_CURRENCY" hidden="1">"c2212"</definedName>
    <definedName name="_____CRA1">#REF!</definedName>
    <definedName name="___________Prj10">#REF!</definedName>
    <definedName name="___TAX3">#REF!</definedName>
    <definedName name="D" hidden="1">{#N/A,#N/A,FALSE,"Key Performance Indicators";#N/A,#N/A,FALSE,"Glossary";#N/A,#N/A,FALSE,"Production Top 20";#N/A,#N/A,FALSE,"Non Prod. Top 20";#N/A,#N/A,FALSE,"MPI";#N/A,#N/A,FALSE,"GPI";#N/A,#N/A,FALSE,"Comments"}</definedName>
    <definedName name="________Prj8">#REF!</definedName>
    <definedName name="IQ_DEF_BENEFIT_ROA_DOMESTIC" hidden="1">"c2653"</definedName>
    <definedName name="IQ_GAIN_ASSETS_UTI" hidden="1">"c479"</definedName>
    <definedName name="_______SE1">[2]Parametres!$D$35:$O$35</definedName>
    <definedName name="IQ_FQ" hidden="1">500</definedName>
    <definedName name="_____FES1" hidden="1">{#N/A,#N/A,FALSE,"Report";#N/A,#N/A,FALSE,"Credit Debit Notes";#N/A,#N/A,FALSE,"Explanations";#N/A,#N/A,FALSE,"Summary"}</definedName>
    <definedName name="__Prj9">#REF!</definedName>
    <definedName name="IQ_FIXED_ASSET_TURNS" hidden="1">"c445"</definedName>
    <definedName name="IN">'[17]Reference data'!$A$57:$A$59</definedName>
    <definedName name="IQ_MORT_SECURITY" hidden="1">"c748"</definedName>
    <definedName name="IQ_TERM_LOANS" hidden="1">"c2499"</definedName>
    <definedName name="____________Prj1">#REF!</definedName>
    <definedName name="NAO_StdPnL">'[8]FI-2D10 MAG NAO'!$B$71:$L$188</definedName>
    <definedName name="eazr" hidden="1">{#N/A,#N/A,FALSE,"Report";#N/A,#N/A,FALSE,"Credit Debit Notes";#N/A,#N/A,FALSE,"Explanations";#N/A,#N/A,FALSE,"Summary";#N/A,#N/A,FALSE,"Budget";#N/A,#N/A,FALSE,"Actua"}</definedName>
    <definedName name="IQ_OG_AVG_DAILY_PROD_NGL" hidden="1">"c2911"</definedName>
    <definedName name="IQ_CABLE_CHURN_BASIC" hidden="1">"c2871"</definedName>
    <definedName name="_____________r">[1]SUMSCHED!$C$1:$O$55</definedName>
    <definedName name="g_1">#N/A</definedName>
    <definedName name="IQ_OUTSTANDING_FILING_DATE" hidden="1">"c1023"</definedName>
    <definedName name="aze" hidden="1">{#N/A,#N/A,FALSE,"Key Performance Indicators";#N/A,#N/A,FALSE,"Glossary";#N/A,#N/A,FALSE,"Production Top 20";#N/A,#N/A,FALSE,"Non Prod. Top 20";#N/A,#N/A,FALSE,"MPI";#N/A,#N/A,FALSE,"GPI";#N/A,#N/A,FALSE,"Comments"}</definedName>
    <definedName name="___________BFR2">#REF!</definedName>
    <definedName name="______Prj10">#REF!</definedName>
    <definedName name="IQ_PREF_ISSUED_FIN" hidden="1">"c1048"</definedName>
    <definedName name="IQ_LEVERED_FCF" hidden="1">"c1907"</definedName>
    <definedName name="______________SE1">[2]Parametres!$D$35:$O$35</definedName>
    <definedName name="__________MB3">#REF!</definedName>
    <definedName name="IQ_MERGER_FIN" hidden="1">"c716"</definedName>
    <definedName name="IQ_ALLOWANCE_10YR_ANN_GROWTH" hidden="1">"c18"</definedName>
    <definedName name="_____________BFR2">#REF!</definedName>
    <definedName name="______________Prj4">#REF!</definedName>
    <definedName name="________________Prj1">#REF!</definedName>
    <definedName name="IQ_BENCHMARK_SECURITY" hidden="1">"c2154"</definedName>
    <definedName name="IQ_TOTAL_CURRENT_LIAB" hidden="1">"c1431"</definedName>
    <definedName name="BILAN1">#REF!</definedName>
    <definedName name="________________OPU1">#REF!</definedName>
    <definedName name="IQ_ASSET_WRITEDOWN_CF_INS" hidden="1">"c55"</definedName>
    <definedName name="IQ_APIC" hidden="1">"c39"</definedName>
    <definedName name="INVEST4">#REF!</definedName>
    <definedName name="IQ_UTIL_PPE_NET" hidden="1">"c1620"</definedName>
    <definedName name="IQ_DEPRE_DEPLE" hidden="1">"c1361"</definedName>
    <definedName name="IQ_COMMON_EQUITY_5YR_ANN_GROWTH" hidden="1">"c195"</definedName>
    <definedName name="___________________r">[1]SUMSCHED!$C$1:$O$55</definedName>
    <definedName name="____Per1">#REF!</definedName>
    <definedName name="_______________RD2">#REF!</definedName>
    <definedName name="_____________BFR1">#REF!</definedName>
    <definedName name="IQ_GROSS_LOANS_2YR_ANN_GROWTH" hidden="1">"c524"</definedName>
    <definedName name="reel_08">[21]Donnees!$BS$4</definedName>
    <definedName name="IQ_INVEST_SECURITY_CF_FIN" hidden="1">"c640"</definedName>
    <definedName name="fff" hidden="1">{#N/A,#N/A,FALSE,"836082";#N/A,#N/A,FALSE,"PR836066 (2)";#N/A,#N/A,FALSE,"PR836066E";#N/A,#N/A,FALSE,"SilencF3RE";#N/A,#N/A,FALSE,"CamaraF3RE"}</definedName>
    <definedName name="_________________CRA2">#REF!</definedName>
    <definedName name="ztr" hidden="1">{#N/A,#N/A,FALSE,"Key Performance Indicators";#N/A,#N/A,FALSE,"Glossary";#N/A,#N/A,FALSE,"Production Top 20";#N/A,#N/A,FALSE,"Non Prod. Top 20";#N/A,#N/A,FALSE,"MPI";#N/A,#N/A,FALSE,"GPI";#N/A,#N/A,FALSE,"Comments"}</definedName>
    <definedName name="________Prj11">#REF!</definedName>
    <definedName name="IQ_EST_EPS_GROWTH_Q_1YR" hidden="1">"c1641"</definedName>
    <definedName name="IQ_OL_COMM_CY2" hidden="1">"c844"</definedName>
    <definedName name="IQ_MACHINERY" hidden="1">"c711"</definedName>
    <definedName name="IQ_EBITA_MARGIN" hidden="1">"c1963"</definedName>
    <definedName name="IQ_CASH_SEGREG" hidden="1">"c123"</definedName>
    <definedName name="___________Prj13">#REF!</definedName>
    <definedName name="ECARTDEM">#REF!</definedName>
    <definedName name="_______RD2">#REF!</definedName>
    <definedName name="___________All2002">#REF!</definedName>
    <definedName name="_1829522000">#REF!</definedName>
    <definedName name="__________Per1">#REF!</definedName>
    <definedName name="Category">#REF!</definedName>
    <definedName name="IQ_OTHER_REV_SUPPL_INS" hidden="1">"c1018"</definedName>
    <definedName name="______MB2">#REF!</definedName>
    <definedName name="IQ_FIRST_YEAR_LIFE" hidden="1">"c439"</definedName>
    <definedName name="IQ_OG_TOTAL_COSTS_GAS" hidden="1">"c1992"</definedName>
    <definedName name="IQ_MINORITY_INTEREST_REIT" hidden="1">"c734"</definedName>
    <definedName name="IQ_ASSET_WRITEDOWN_UTI" hidden="1">"c61"</definedName>
    <definedName name="_1829337000">#REF!</definedName>
    <definedName name="__________________AMB2">#REF!</definedName>
    <definedName name="IQ_RESTRUCTURE_BR" hidden="1">"c1106"</definedName>
    <definedName name="IQ_COUNTRY_NAME" hidden="1">"c230"</definedName>
    <definedName name="___TAX2">#REF!</definedName>
    <definedName name="IQ_ALLOWANCE_5YR_ANN_GROWTH" hidden="1">"c22"</definedName>
    <definedName name="___________________Prj5">#REF!</definedName>
    <definedName name="IQ_NPPE_1YR_ANN_GROWTH" hidden="1">"c831"</definedName>
    <definedName name="________________TAX3">#REF!</definedName>
    <definedName name="IQ_NPPE_5YR_ANN_GROWTH" hidden="1">"c834"</definedName>
    <definedName name="___________________Prj8">#REF!</definedName>
    <definedName name="IQ_COMPANY_TICKER" hidden="1">"c219"</definedName>
    <definedName name="IQ_FIN_DIV_LOANS_CURRENT" hidden="1">"c435"</definedName>
    <definedName name="IQ_DEF_AMORT_FIN" hidden="1">"c279"</definedName>
    <definedName name="IQ_ARPU" hidden="1">"c2126"</definedName>
    <definedName name="IQ_NI_3YR_ANN_GROWTH" hidden="1">"c785"</definedName>
    <definedName name="___________________Prj14">#REF!</definedName>
    <definedName name="IQ_PREPAID_EXPEN" hidden="1">"c1418"</definedName>
    <definedName name="reel_10">[21]Donnees!$BU$4</definedName>
    <definedName name="IQ_OTHER_OUTSTANDING_BS_DATE" hidden="1">"c1972"</definedName>
    <definedName name="____________Prj8">#REF!</definedName>
    <definedName name="IQ_TEV_UFCF" hidden="1">"c2208"</definedName>
    <definedName name="IQ_ACCT_RECV_5YR_ANN_GROWTH" hidden="1">"c1922"</definedName>
    <definedName name="___________________Prj11">#REF!</definedName>
    <definedName name="____All2002">#REF!</definedName>
    <definedName name="___MB2">#REF!</definedName>
    <definedName name="_______Prj1">#REF!</definedName>
    <definedName name="_________Prj9">#REF!</definedName>
    <definedName name="IQ_LOAN_LOSS" hidden="1">"c1386"</definedName>
    <definedName name="___________________Per1">#REF!</definedName>
    <definedName name="IQ_DISTR_EXCESS_EARN" hidden="1">"c329"</definedName>
    <definedName name="____________________AMB1">#REF!</definedName>
    <definedName name="Date_Q2">#REF!</definedName>
    <definedName name="IQ_TOTAL_OPTIONS_BEG_OS" hidden="1">"c2693"</definedName>
    <definedName name="IQ_CONV_PREMIUM" hidden="1">"c2195"</definedName>
    <definedName name="IQ_OG_ACQ_COST_UNPROVED_GAS" hidden="1">"c1988"</definedName>
    <definedName name="IQ_CLASSA_OPTIONS_EXERCISED" hidden="1">"c2681"</definedName>
    <definedName name="_________________Prj13">#REF!</definedName>
    <definedName name="IQ_TR_OFFER_PER_SHARE" hidden="1">"c3017"</definedName>
    <definedName name="IQ_FIN_DIV_EXP" hidden="1">"c431"</definedName>
    <definedName name="____________________Prj10">#REF!</definedName>
    <definedName name="___MB1">#REF!</definedName>
    <definedName name="IQ_PC_GAAP_COMBINED_RATIO_EXCL_CL" hidden="1">"c2782"</definedName>
    <definedName name="IQ_PRINCIPAL_AMT" hidden="1">"c2157"</definedName>
    <definedName name="IQ_CASH_FINAN" hidden="1">"c119"</definedName>
    <definedName name="IQ_NET_CHANGE" hidden="1">"c749"</definedName>
    <definedName name="___________________BFR2">#REF!</definedName>
    <definedName name="___TT1">#REF!</definedName>
    <definedName name="_____________Prj15">#REF!</definedName>
    <definedName name="IQ_ACQUISITION_RE_ASSETS" hidden="1">"c1628"</definedName>
    <definedName name="IQ_GP_3YR_ANN_GROWTH" hidden="1">"c515"</definedName>
    <definedName name="IQ_NI_1YR_ANN_GROWTH" hidden="1">"c783"</definedName>
    <definedName name="__Prj2">#REF!</definedName>
    <definedName name="IQ_EBITA_1YR_ANN_GROWTH" hidden="1">"c1949"</definedName>
    <definedName name="IQ_CURRENT_PORT_DEBT_BR" hidden="1">"c1567"</definedName>
    <definedName name="INDLAB">#REF!</definedName>
    <definedName name="IQ_CABLE_SUBS_BBAND" hidden="1">"c2858"</definedName>
    <definedName name="_1829891000">#REF!</definedName>
    <definedName name="____________________Prj3">#REF!</definedName>
    <definedName name="IQ_AVG_INT_BEAR_LIAB_10YR_ANN_GROWTH" hidden="1">"c67"</definedName>
    <definedName name="_____________Prj14">#REF!</definedName>
    <definedName name="__________________SE2">[2]Parametres!$D$36:$O$36</definedName>
    <definedName name="IQ_TOTAL_CASH_DIVID" hidden="1">"c1455"</definedName>
    <definedName name="___________________BFR1">#REF!</definedName>
    <definedName name="hjhjh" hidden="1">{#N/A,#N/A,FALSE,"Report";#N/A,#N/A,FALSE,"Credit Debit Notes";#N/A,#N/A,FALSE,"Explanations";#N/A,#N/A,FALSE,"Summary";#N/A,#N/A,FALSE,"Budget";#N/A,#N/A,FALSE,"Actua"}</definedName>
    <definedName name="_TAX2">#REF!</definedName>
    <definedName name="IQ_TOTAL_OPER_EXP_BR" hidden="1">"c1284"</definedName>
    <definedName name="___________BFR1">#REF!</definedName>
    <definedName name="_____Per1">#REF!</definedName>
    <definedName name="IQ_NI_AVAIL_EXCL_MARGIN" hidden="1">"c790"</definedName>
    <definedName name="CAPREVCT1">#REF!</definedName>
    <definedName name="IQ_SECURITY_NOTES" hidden="1">"c2202"</definedName>
    <definedName name="IQ_DEF_TAX_LIAB_LT_INS" hidden="1">"c317"</definedName>
    <definedName name="__________________OPU1">#REF!</definedName>
    <definedName name="IQ_CHANGE_TRADING_ASSETS" hidden="1">"c159"</definedName>
    <definedName name="Aug_02">#REF!</definedName>
    <definedName name="___________Prj8">#REF!</definedName>
    <definedName name="IQ_CHANGE_AR_BNK" hidden="1">"c141"</definedName>
    <definedName name="Mabase">#REF!</definedName>
    <definedName name="IQ_OTHER_OPER_ACT_UTI" hidden="1">"c989"</definedName>
    <definedName name="____________________TAX3">#REF!</definedName>
    <definedName name="VARESCOU2">#REF!</definedName>
    <definedName name="ctd">#REF!</definedName>
    <definedName name="IQ_RETAIL_AVG_WK_SALES_FRANCHISE" hidden="1">"c2899"</definedName>
    <definedName name="ANALYSFRET">#REF!</definedName>
    <definedName name="IQ_GAIN_INVEST_CF" hidden="1">"c480"</definedName>
    <definedName name="IQ_OTHER_RECEIV" hidden="1">"c1008"</definedName>
    <definedName name="__________________Prj3">#REF!</definedName>
    <definedName name="IQ_DA_SUPPL" hidden="1">"c259"</definedName>
    <definedName name="zzz10">'[4]Non quality costs'!$B$6:$R$28</definedName>
    <definedName name="___________________Prj2">#REF!</definedName>
    <definedName name="Site1">#REF!</definedName>
    <definedName name="IQ_HIGH_TARGET_PRICE" hidden="1">"c1651"</definedName>
    <definedName name="_____________Prj3">#REF!</definedName>
    <definedName name="__________________Prj12">#REF!</definedName>
    <definedName name="IQ_INS_REV" hidden="1">"c569"</definedName>
    <definedName name="_________________STD2">[2]Parametres!$D$13:$O$13</definedName>
    <definedName name="___SE2">[2]Parametres!$D$36:$O$36</definedName>
    <definedName name="IQ_ASSUMED_PC_EARNED" hidden="1">"c2746"</definedName>
    <definedName name="______________Prj3">#REF!</definedName>
    <definedName name="________Prj10">#REF!</definedName>
    <definedName name="IQ_EST_EPS_GROWTH_1YR" hidden="1">"c1636"</definedName>
    <definedName name="FT_Rapport_Liste">#REF!</definedName>
    <definedName name="IQ_ALLOW_CONST" hidden="1">"c1342"</definedName>
    <definedName name="__________STD2">[2]Parametres!$D$13:$O$13</definedName>
    <definedName name="_______Prj2">#REF!</definedName>
    <definedName name="IQ_LTM" hidden="1">2000</definedName>
    <definedName name="________SE1">[2]Parametres!$D$35:$O$35</definedName>
    <definedName name="IQ_OG_EXT_DISC_GAS" hidden="1">"c2043"</definedName>
    <definedName name="_1829742000">#REF!</definedName>
    <definedName name="_________________Prj10">#REF!</definedName>
    <definedName name="cd" hidden="1">{#N/A,#N/A,FALSE,"Key Performance Indicators";#N/A,#N/A,FALSE,"Glossary";#N/A,#N/A,FALSE,"Production Top 20";#N/A,#N/A,FALSE,"Non Prod. Top 20";#N/A,#N/A,FALSE,"MPI";#N/A,#N/A,FALSE,"GPI";#N/A,#N/A,FALSE,"Comments"}</definedName>
    <definedName name="IQ_LFCF_10YR_ANN_GROWTH" hidden="1">"c1942"</definedName>
    <definedName name="IQ_COMMON_ISSUED_INS" hidden="1">"c201"</definedName>
    <definedName name="IQ_OTHER_LIAB_LT_BR" hidden="1">"c937"</definedName>
    <definedName name="______TAX1">#REF!</definedName>
    <definedName name="___________________SE1">[2]Parametres!$D$35:$O$35</definedName>
    <definedName name="LLLLL">#REF!</definedName>
    <definedName name="IQ_TR_TRANSACTION_TYPE" hidden="1">"c2398"</definedName>
    <definedName name="__________________BFR1">#REF!</definedName>
    <definedName name="__________________Prj6">#REF!</definedName>
    <definedName name="V">#N/A</definedName>
    <definedName name="______CRA1">#REF!</definedName>
    <definedName name="IQ_MINORITY_INTEREST_UTI" hidden="1">"c735"</definedName>
    <definedName name="IQ_AR_UTI" hidden="1">"c45"</definedName>
    <definedName name="____________Prj15">#REF!</definedName>
    <definedName name="IQ_NET_DEBT_ISSUED" hidden="1">"c751"</definedName>
    <definedName name="IQ_ACCT_RECV_7YR_ANN_GROWTH" hidden="1">"c1923"</definedName>
    <definedName name="__________________All2002">#REF!</definedName>
    <definedName name="\z">#REF!</definedName>
    <definedName name="IQ_SP_FIN_STRENGTH_LC_ACTION_LT" hidden="1">"c2625"</definedName>
    <definedName name="__________________Prj2">#REF!</definedName>
    <definedName name="__________________Prj13">#REF!</definedName>
    <definedName name="____Prj15">#REF!</definedName>
    <definedName name="Updated">#REF!</definedName>
    <definedName name="____________________Prj13">#REF!</definedName>
    <definedName name="IQ_LATESTK" hidden="1">1000</definedName>
    <definedName name="IQ_AVG_INT_BEAR_LIAB" hidden="1">"c66"</definedName>
    <definedName name="____Prj7">#REF!</definedName>
    <definedName name="Purchase">"ComboBox1"</definedName>
    <definedName name="IQ_AIR_FUEL_COST_L" hidden="1">"c2804"</definedName>
    <definedName name="___________________TAX3">#REF!</definedName>
    <definedName name="________Prj4">#REF!</definedName>
    <definedName name="_________________Prj4">#REF!</definedName>
    <definedName name="___Prj8">#REF!</definedName>
    <definedName name="IQ_UFCF_MARGIN" hidden="1">"c1962"</definedName>
    <definedName name="IQ_CABLE_ARPU_ANALOG" hidden="1">"c2864"</definedName>
    <definedName name="IQ_OG_SALES_IN_PLACE_GAS" hidden="1">"c2046"</definedName>
    <definedName name="___________________Prj9">#REF!</definedName>
    <definedName name="IQ_NI_NORM_10YR_ANN_GROWTH" hidden="1">"c1960"</definedName>
    <definedName name="________________Prj11">#REF!</definedName>
    <definedName name="____________________MB2">#REF!</definedName>
    <definedName name="___Prj11">#REF!</definedName>
    <definedName name="______FES1" hidden="1">{#N/A,#N/A,FALSE,"Report";#N/A,#N/A,FALSE,"Credit Debit Notes";#N/A,#N/A,FALSE,"Explanations";#N/A,#N/A,FALSE,"Summary"}</definedName>
    <definedName name="EtudPV">[25]Etudes!$B$17</definedName>
    <definedName name="First_Time_Capability">[3]Feuil1!$A$1:$U$79</definedName>
    <definedName name="________________AMB1">#REF!</definedName>
    <definedName name="____________________MB3">#REF!</definedName>
    <definedName name="IQ_NON_CASH_ITEMS" hidden="1">"c797"</definedName>
    <definedName name="_________________CRA1">#REF!</definedName>
    <definedName name="IQ_TR_TOTAL_UW_COMP" hidden="1">"c2280"</definedName>
    <definedName name="________________SE1">[2]Parametres!$D$35:$O$35</definedName>
    <definedName name="____________________Prj4">#REF!</definedName>
    <definedName name="ctrl_intra_fichier">#REF!</definedName>
    <definedName name="________MB2">#REF!</definedName>
    <definedName name="IQ_EBITDA_10YR_ANN_GROWTH" hidden="1">"c362"</definedName>
    <definedName name="IQ_OTHER_LT_ASSETS_BNK" hidden="1">"c947"</definedName>
    <definedName name="___Prj4">#REF!</definedName>
    <definedName name="___________Prj5">#REF!</definedName>
    <definedName name="____________MB1">#REF!</definedName>
    <definedName name="IQ_OTHER_CL_SUPPL_BR" hidden="1">"c880"</definedName>
    <definedName name="_______Prj10">#REF!</definedName>
    <definedName name="IQ_FOREIGN_DEP_NON_IB" hidden="1">"c447"</definedName>
    <definedName name="IQ_ACCUMULATED_PENSION_OBLIGATION_DOMESTIC" hidden="1">"c2657"</definedName>
    <definedName name="_______________Prj4">#REF!</definedName>
    <definedName name="IQ_TBV_3YR_ANN_GROWTH" hidden="1">"c1933"</definedName>
    <definedName name="____________________SE2">[2]Parametres!$D$36:$O$36</definedName>
    <definedName name="_____________STD2">[2]Parametres!$D$13:$O$13</definedName>
    <definedName name="_________________TAX1">#REF!</definedName>
    <definedName name="____________________AMB2">#REF!</definedName>
    <definedName name="IQ_OTHER_BEARING_LIAB" hidden="1">"c1608"</definedName>
    <definedName name="__________________CRA2">#REF!</definedName>
    <definedName name="_____________Prj13">#REF!</definedName>
    <definedName name="_________SE1">[2]Parametres!$D$35:$O$35</definedName>
    <definedName name="IQ_SR_BONDS_NOTES_PCT" hidden="1">"c2502"</definedName>
    <definedName name="IQ_ALLOW_DOUBT_ACCT" hidden="1">"c2092"</definedName>
    <definedName name="IQ_TBV_10YR_ANN_GROWTH" hidden="1">"c1936"</definedName>
    <definedName name="FOREC2">#REF!</definedName>
    <definedName name="_________Prj7">#REF!</definedName>
    <definedName name="___________________OPU1">#REF!</definedName>
    <definedName name="_________CRA2">#REF!</definedName>
    <definedName name="IQ_CABLE_REV_ANALOG" hidden="1">"c2875"</definedName>
    <definedName name="___________________All2002">#REF!</definedName>
    <definedName name="löööö">#REF!</definedName>
    <definedName name="IQ_EBITDA_CAPEX_INT" hidden="1">"c368"</definedName>
    <definedName name="_18D26220U0">#REF!</definedName>
    <definedName name="IQ_ALLOW_BORROW_CONST" hidden="1">"c15"</definedName>
    <definedName name="____TT1">#REF!</definedName>
    <definedName name="RECONCIL">#REF!</definedName>
    <definedName name="IQ_STOCK_BASED_TOTAL" hidden="1">"c3040"</definedName>
    <definedName name="IQ_CABLE_HP_PHONE" hidden="1">"c2846"</definedName>
    <definedName name="_____TT1">#REF!</definedName>
    <definedName name="Base5">[9]investment!$A$12:$W$32</definedName>
    <definedName name="IQ_NUKE_CF" hidden="1">"c837"</definedName>
    <definedName name="___________________MB3">#REF!</definedName>
    <definedName name="_____________SE2">[2]Parametres!$D$36:$O$36</definedName>
    <definedName name="IQ_TOTAL_CHURN" hidden="1">"c2122"</definedName>
    <definedName name="________________r">[1]SUMSCHED!$C$1:$O$55</definedName>
    <definedName name="____________Per1">#REF!</definedName>
    <definedName name="_________Prj8">#REF!</definedName>
    <definedName name="____________________Prj11">#REF!</definedName>
    <definedName name="______________Prj10">#REF!</definedName>
    <definedName name="IQ_RETURN_EQUITY" hidden="1">"c1118"</definedName>
    <definedName name="__Prj10">#REF!</definedName>
    <definedName name="IQ_GAIN_INVEST_REV_UTI" hidden="1">"c500"</definedName>
    <definedName name="IQ_AE_REIT" hidden="1">"c13"</definedName>
    <definedName name="IQ_AIR_OPER_LEASE" hidden="1">"c2834"</definedName>
    <definedName name="___BFR2">#REF!</definedName>
    <definedName name="BUDGET_2002">#REF!</definedName>
    <definedName name="____________________Prj12">#REF!</definedName>
    <definedName name="abc" hidden="1">{#N/A,#N/A,FALSE,"Report";#N/A,#N/A,FALSE,"Credit Debit Notes";#N/A,#N/A,FALSE,"Explanations";#N/A,#N/A,FALSE,"Summary"}</definedName>
    <definedName name="Currency">[5]Parameters!$B$35:$B$38</definedName>
    <definedName name="___________Prj11">#REF!</definedName>
    <definedName name="IQ_COMMON_STOCK" hidden="1">"c1358"</definedName>
    <definedName name="sssssssssss">#REF!</definedName>
    <definedName name="________Prj6">#REF!</definedName>
    <definedName name="IQ_EBT_EXCL_INS" hidden="1">"c383"</definedName>
    <definedName name="IQ_CFO_7YR_ANN_GROWTH" hidden="1">"c131"</definedName>
    <definedName name="Internal_Audit">[3]Feuil1!$A$1:$S$59</definedName>
    <definedName name="prev_05">[21]Donnees!$BA$4</definedName>
    <definedName name="IQ_OTHER_INVEST_ACT_SUPPL_BR" hidden="1">"c924"</definedName>
    <definedName name="____________________Prj8">#REF!</definedName>
    <definedName name="IQ_RETAIL_SALES_SQFT_OWNED_GROSS" hidden="1">"c2134"</definedName>
    <definedName name="____________________OPU1">#REF!</definedName>
    <definedName name="IQ_TOTAL_REV_1YR_ANN_GROWTH" hidden="1">"c1296"</definedName>
    <definedName name="DB_NAO">#REF!</definedName>
    <definedName name="CADETCLI">#REF!</definedName>
    <definedName name="______Prj8">#REF!</definedName>
    <definedName name="IQ_CABLE_TOTAL_PENETRATION" hidden="1">"c2854"</definedName>
    <definedName name="IQ_LIFOR" hidden="1">"c655"</definedName>
    <definedName name="IQ_TOTAL_WARRANTS_END_OS" hidden="1">"c2723"</definedName>
    <definedName name="___________________CRA2">#REF!</definedName>
    <definedName name="___________CRA1">#REF!</definedName>
    <definedName name="IQ_EBT_REIT" hidden="1">"c389"</definedName>
    <definedName name="____Prj5">#REF!</definedName>
    <definedName name="IQ_TOTAL_OTHER_OPER" hidden="1">"c1289"</definedName>
    <definedName name="___________________TAX1">#REF!</definedName>
    <definedName name="Stand">#REF!</definedName>
    <definedName name="__________Prj12">#REF!</definedName>
    <definedName name="jf" hidden="1">{#N/A,#N/A,FALSE,"Report";#N/A,#N/A,FALSE,"Credit Debit Notes";#N/A,#N/A,FALSE,"Explanations";#N/A,#N/A,FALSE,"Summary";#N/A,#N/A,FALSE,"Budget";#N/A,#N/A,FALSE,"Actua"}</definedName>
    <definedName name="_________Per1">#REF!</definedName>
    <definedName name="_______________TT1">#REF!</definedName>
    <definedName name="______MB3">#REF!</definedName>
    <definedName name="criteria2">#REF!</definedName>
    <definedName name="_________________TT1">#REF!</definedName>
    <definedName name="Prj15A">#REF!</definedName>
    <definedName name="ETUPROTO">#REF!</definedName>
    <definedName name="___________________AMB2">#REF!</definedName>
    <definedName name="IQ_OTHER_INVEST_ACT_FIN" hidden="1">"c919"</definedName>
    <definedName name="____________________Prj5">#REF!</definedName>
    <definedName name="___Prj15">#REF!</definedName>
    <definedName name="pcm">[38]constante!$B$2</definedName>
    <definedName name="IQ_CHANGE_AP_FIN" hidden="1">"c136"</definedName>
    <definedName name="________________Prj7">#REF!</definedName>
    <definedName name="ps" hidden="1">{#N/A,#N/A,FALSE,"TRACAT1";#N/A,#N/A,FALSE,"PROJET"}</definedName>
    <definedName name="_________________Prj6">#REF!</definedName>
    <definedName name="_______________SE1">[2]Parametres!$D$35:$O$35</definedName>
    <definedName name="IQ_ANNU_DISTRIBUTION_UNIT" hidden="1">"c3004"</definedName>
    <definedName name="Zprint39S">'[51]Page 39'!$B$29:$M$34</definedName>
    <definedName name="IQ_NUM_BRANCHES" hidden="1">"c2088"</definedName>
    <definedName name="IQ_AIR_STAGE_LENGTH" hidden="1">"c2828"</definedName>
    <definedName name="__________________Prj8">#REF!</definedName>
    <definedName name="___________________AMB1">#REF!</definedName>
    <definedName name="IQ_TR_ACQ_FILING_CURRENCY" hidden="1">"c3033"</definedName>
    <definedName name="_____Prj9">#REF!</definedName>
    <definedName name="__MB2">#REF!</definedName>
    <definedName name="IQ_DA_SUPPL_CF_INS" hidden="1">"c265"</definedName>
    <definedName name="IQ_OG_TOTAL_COSTS_OIL" hidden="1">"c1986"</definedName>
    <definedName name="_________________OPU1">#REF!</definedName>
    <definedName name="IQ_CFO_5YR_ANN_GROWTH" hidden="1">"c130"</definedName>
    <definedName name="_______TAX3">#REF!</definedName>
    <definedName name="________________Prj12">#REF!</definedName>
    <definedName name="Complexe">[16]Foamage!$A$16:$D$31</definedName>
    <definedName name="__________Prj15">#REF!</definedName>
    <definedName name="_____MB1">#REF!</definedName>
    <definedName name="IQ_SP_FX_ACTION_LT" hidden="1">"c2613"</definedName>
    <definedName name="IQ_FIVEPERCENT_SHARES" hidden="1">"c444"</definedName>
    <definedName name="Contract">#REF!</definedName>
    <definedName name="VARMAT">#REF!</definedName>
    <definedName name="IQ_LEGAL_SETTLE" hidden="1">"c647"</definedName>
    <definedName name="IQ_TEV_TOTAL_REV_AVG" hidden="1">"c1227"</definedName>
    <definedName name="_____r">[1]SUMSCHED!$C$1:$O$55</definedName>
    <definedName name="___________eat1" hidden="1">{#N/A,#N/A,FALSE,"Report";#N/A,#N/A,FALSE,"Credit Debit Notes";#N/A,#N/A,FALSE,"Explanations";#N/A,#N/A,FALSE,"Summary"}</definedName>
    <definedName name="_______r">[1]SUMSCHED!$C$1:$O$55</definedName>
    <definedName name="__________Prj4">#REF!</definedName>
    <definedName name="________________CRA2">#REF!</definedName>
    <definedName name="_______________STD2">[2]Parametres!$D$13:$O$13</definedName>
    <definedName name="Table_PRF">[48]PRF!$A$4:$D$2113</definedName>
    <definedName name="Prj12Acc">#REF!</definedName>
    <definedName name="______________Prj2">#REF!</definedName>
    <definedName name="_________________FES1" hidden="1">{#N/A,#N/A,FALSE,"Report";#N/A,#N/A,FALSE,"Credit Debit Notes";#N/A,#N/A,FALSE,"Explanations";#N/A,#N/A,FALSE,"Summary"}</definedName>
    <definedName name="___________________MB1">#REF!</definedName>
    <definedName name="nom">[21]Donnees!$F$4</definedName>
    <definedName name="IQ_OTHER_DEBT_PCT" hidden="1">"c2508"</definedName>
    <definedName name="IQ_AUDITOR_NAME" hidden="1">"c1539"</definedName>
    <definedName name="IQ_AVG_INT_BEAR_LIAB_1YR_ANN_GROWTH" hidden="1">"c68"</definedName>
    <definedName name="IQ_OTHER_UNUSUAL_SUPPL_UTI" hidden="1">"c1500"</definedName>
    <definedName name="_____AMB1">#REF!</definedName>
    <definedName name="IQ_OTHER_UNUSUAL_REIT" hidden="1">"c1564"</definedName>
    <definedName name="IQ_TR_DEAL_ATTITUDE" hidden="1">"c2364"</definedName>
    <definedName name="IQ_OTHER_INTAN" hidden="1">"c907"</definedName>
    <definedName name="IQ_DEPRE_AMORT" hidden="1">"c1360"</definedName>
    <definedName name="____Prj3">#REF!</definedName>
    <definedName name="IQ_IMPUT_OPER_LEASE_DEPR" hidden="1">"c2987"</definedName>
    <definedName name="__________MB1">#REF!</definedName>
    <definedName name="____________Prj12">#REF!</definedName>
    <definedName name="__________________eat1" hidden="1">{#N/A,#N/A,FALSE,"Report";#N/A,#N/A,FALSE,"Credit Debit Notes";#N/A,#N/A,FALSE,"Explanations";#N/A,#N/A,FALSE,"Summary"}</definedName>
    <definedName name="________Prj1">#REF!</definedName>
    <definedName name="IQ_ASSET_WRITEDOWN_CF_BR" hidden="1">"c53"</definedName>
    <definedName name="IQ_EARNING_CO_3YR_ANN_GROWTH" hidden="1">"c348"</definedName>
    <definedName name="IQ_GW_INTAN_AMORT_INS" hidden="1">"c1479"</definedName>
    <definedName name="IQ_US_GAAP_TOTAL_ASSETS" hidden="1">"c2931"</definedName>
    <definedName name="IQ_STOCK_BASED" hidden="1">"c1202"</definedName>
    <definedName name="FixumPraemie">[3]Feuil1!$G$7</definedName>
    <definedName name="_______________Prj5">#REF!</definedName>
    <definedName name="__________________TAX2">#REF!</definedName>
    <definedName name="IQ_PREF_ISSUED_REIT" hidden="1">"c1050"</definedName>
    <definedName name="__________________MB1">#REF!</definedName>
    <definedName name="IQ_OTHER_OPER_INS" hidden="1">"c992"</definedName>
    <definedName name="IQ_GW_AMORT_BR" hidden="1">"c532"</definedName>
    <definedName name="___________TAX1">#REF!</definedName>
    <definedName name="____________________FES1" hidden="1">{#N/A,#N/A,FALSE,"Report";#N/A,#N/A,FALSE,"Credit Debit Notes";#N/A,#N/A,FALSE,"Explanations";#N/A,#N/A,FALSE,"Summary"}</definedName>
    <definedName name="D_E_Results_per_Year">[18]Dashboard!D&amp;[19]Temp!$AT$1:$CB$9</definedName>
    <definedName name="_______________CRA2">#REF!</definedName>
    <definedName name="IQ_AVG_TEV" hidden="1">"c84"</definedName>
    <definedName name="____r">[1]SUMSCHED!$C$1:$O$55</definedName>
    <definedName name="IQ_LONG_TERM_DEBT" hidden="1">"c1387"</definedName>
    <definedName name="EV__LASTREFTIME__" hidden="1">39118.7291898148</definedName>
    <definedName name="____________Prj11">#REF!</definedName>
    <definedName name="IQ_OTHER_NON_OPER_EXP_SUPPL_UTI" hidden="1">"c966"</definedName>
    <definedName name="Février">#REF!</definedName>
    <definedName name="___________________Prj7">#REF!</definedName>
    <definedName name="_________________Prj3">#REF!</definedName>
    <definedName name="IQ_TOTAL_EQUITY" hidden="1">"c1267"</definedName>
    <definedName name="IQ_DEF_BENEFIT_INTEREST_COST" hidden="1">"c283"</definedName>
    <definedName name="reprev_07">[21]Donnees!#REF!</definedName>
    <definedName name="IQ_OL_COMM_CY1" hidden="1">"c843"</definedName>
    <definedName name="IQ_DIV_RECORD_DATE" hidden="1">"c2204"</definedName>
    <definedName name="IQ_AH_EARNED" hidden="1">"c2744"</definedName>
    <definedName name="IQ_CHANGE_AR_INS" hidden="1">"c144"</definedName>
    <definedName name="____________________Prj6">#REF!</definedName>
    <definedName name="______________CRA2">#REF!</definedName>
    <definedName name="___________________TT1">#REF!</definedName>
    <definedName name="IQ_INSIDER_6MTH_BOUGHT_PCT" hidden="1">"c1537"</definedName>
    <definedName name="IQ_INVEST_EQUITY_PREF" hidden="1">"c626"</definedName>
    <definedName name="IQ_TIER_ONE_CAPITAL" hidden="1">"c2667"</definedName>
    <definedName name="ase">#REF!</definedName>
    <definedName name="__________________Prj7">#REF!</definedName>
    <definedName name="_____Prj2">#REF!</definedName>
    <definedName name="_1829368000">#REF!</definedName>
    <definedName name="IQ_FHLB_DUE_CY" hidden="1">"c2080"</definedName>
    <definedName name="IQ_TR_TOTAL_NET_TV" hidden="1">"c2320"</definedName>
    <definedName name="IQ_LASTSALEPRICE_DATE" hidden="1">"c2109"</definedName>
    <definedName name="IQ_NET_DEBT" hidden="1">"c1584"</definedName>
    <definedName name="__________________r">[1]SUMSCHED!$C$1:$O$55</definedName>
    <definedName name="_______________r">[1]SUMSCHED!$C$1:$O$55</definedName>
    <definedName name="_Prj12">#REF!</definedName>
    <definedName name="___________Per1">#REF!</definedName>
    <definedName name="_______AMB1">#REF!</definedName>
    <definedName name="____________Prj5">#REF!</definedName>
    <definedName name="IQ_LOANS_RECEIV_LT_UTI" hidden="1">"c670"</definedName>
    <definedName name="__________Prj5">#REF!</definedName>
    <definedName name="IQ_RETURN_EQUITY_BROK" hidden="1">"c1120"</definedName>
    <definedName name="____CRA2">#REF!</definedName>
    <definedName name="__________Prj6">#REF!</definedName>
    <definedName name="IQ_GROSS_LOANS_10YR_ANN_GROWTH" hidden="1">"c522"</definedName>
    <definedName name="IQ_EBITA_7YR_ANN_GROWTH" hidden="1">"c1953"</definedName>
    <definedName name="_Prj5">#REF!</definedName>
    <definedName name="IQ_NUKE_CONTR" hidden="1">"c838"</definedName>
    <definedName name="invest3">#REF!</definedName>
    <definedName name="IQ_CURRENCY_FACTOR_BS" hidden="1">"c233"</definedName>
    <definedName name="______________Prj5">#REF!</definedName>
    <definedName name="_1829229000">#REF!</definedName>
    <definedName name="IQ_CEDED_CLAIM_EXP_INCUR" hidden="1">"c2756"</definedName>
    <definedName name="FIB">#REF!</definedName>
    <definedName name="_Prj15">#REF!</definedName>
    <definedName name="IQ_STOCK_BASED_COGS" hidden="1">"c2990"</definedName>
    <definedName name="__________________TAX1">#REF!</definedName>
    <definedName name="WC">#REF!</definedName>
    <definedName name="asfasfasfasfasfasf">[1]INVEST!$C$1:$M$28</definedName>
    <definedName name="Finance">"ComboBox1"</definedName>
    <definedName name="IQ_DA_CF_FIN" hidden="1">"c252"</definedName>
    <definedName name="DEBT">#REF!</definedName>
    <definedName name="HEADC">#REF!</definedName>
    <definedName name="IQ_EPS_STDDEV_EST" hidden="1">"c403"</definedName>
    <definedName name="IQ_NI_NORM_MARGIN" hidden="1">"c1964"</definedName>
    <definedName name="__________________TAX3">#REF!</definedName>
    <definedName name="__________________MB2">#REF!</definedName>
    <definedName name="IQ_DA_FIN" hidden="1">"c256"</definedName>
    <definedName name="IQ_GAIN_INVEST_CF_BR" hidden="1">"c482"</definedName>
    <definedName name="IQ_MERGER_RESTRUCTURE_UTI" hidden="1">"c725"</definedName>
    <definedName name="IQ_OTHER_OPER_BR" hidden="1">"c990"</definedName>
    <definedName name="IQ_RETAIL_OPENED_OWNED_STORES" hidden="1">"c2902"</definedName>
    <definedName name="IQ_RETAIL_SALES_SQFT_COMPARABLE_GROSS" hidden="1">"c2136"</definedName>
    <definedName name="Juin">#REF!</definedName>
    <definedName name="___________________TAX2">#REF!</definedName>
    <definedName name="_________________AMB1">#REF!</definedName>
    <definedName name="IQ_OG_EQUTY_RESERVES_GAS" hidden="1">"c2050"</definedName>
    <definedName name="____________________Prj15">#REF!</definedName>
    <definedName name="______BFR1">#REF!</definedName>
    <definedName name="IQ_DEF_BENEFIT_OTHER_COST_FOREIGN" hidden="1">"c2662"</definedName>
    <definedName name="_________________Prj2">#REF!</definedName>
    <definedName name="IQ_OG_TAXES_GAS" hidden="1">"c2028"</definedName>
    <definedName name="___________________eat1" hidden="1">{#N/A,#N/A,FALSE,"Report";#N/A,#N/A,FALSE,"Credit Debit Notes";#N/A,#N/A,FALSE,"Explanations";#N/A,#N/A,FALSE,"Summary"}</definedName>
    <definedName name="_________________AMB2">#REF!</definedName>
    <definedName name="________________Prj4">#REF!</definedName>
    <definedName name="_AMB1">#REF!</definedName>
    <definedName name="ctrl1">#REF!</definedName>
    <definedName name="____________Prj10">#REF!</definedName>
    <definedName name="IQ_ASSUMED_LIFE_IN_FORCE" hidden="1">"c2766"</definedName>
    <definedName name="__MB1">#REF!</definedName>
    <definedName name="IQ_DISTRIBUTABLE_CASH_PAYOUT" hidden="1">"c3005"</definedName>
    <definedName name="____________________TAX1">#REF!</definedName>
    <definedName name="_________________Prj14">#REF!</definedName>
    <definedName name="______Prj12">#REF!</definedName>
    <definedName name="_____________Prj4">#REF!</definedName>
    <definedName name="IQ_INS_DIV_EXP" hidden="1">"c564"</definedName>
    <definedName name="___Prj6">#REF!</definedName>
    <definedName name="_Order2" hidden="1">0</definedName>
    <definedName name="_________________Prj7">#REF!</definedName>
    <definedName name="__________________Per1">#REF!</definedName>
    <definedName name="IQ_AP_REIT" hidden="1">"c37"</definedName>
    <definedName name="_________________MB1">#REF!</definedName>
    <definedName name="____BFR2">#REF!</definedName>
    <definedName name="IQ_INSIDER_3MTH_BOUGHT_PCT" hidden="1">"c1534"</definedName>
    <definedName name="IQ_OG_PRODUCTION_NGL" hidden="1">"c2918"</definedName>
    <definedName name="IQ_OTHER_CA" hidden="1">"c868"</definedName>
    <definedName name="_________________Per1">#REF!</definedName>
    <definedName name="_________________Prj1">#REF!</definedName>
    <definedName name="IQ_TOT_ADJ_INC" hidden="1">"c1616"</definedName>
    <definedName name="GROSSM">#REF!</definedName>
    <definedName name="_______MB1">#REF!</definedName>
    <definedName name="IQ_SALES_MARKETING" hidden="1">"c2240"</definedName>
    <definedName name="_______________TAX3">#REF!</definedName>
    <definedName name="________RD2">#REF!</definedName>
    <definedName name="IQ_OTHER_NON_OPER_EXP" hidden="1">"c956"</definedName>
    <definedName name="IQ_RETAIL_ACQUIRED_STORES" hidden="1">"c2887"</definedName>
    <definedName name="IQ_COMMON_ISSUED_BR" hidden="1">"c199"</definedName>
    <definedName name="_________________Prj12">#REF!</definedName>
    <definedName name="IQ_EXP_RETURN_PENSION_DOMESTIC" hidden="1">"c407"</definedName>
    <definedName name="IQ_OTHER_NON_OPER_EXP_INS" hidden="1">"c959"</definedName>
    <definedName name="valintM2">'[50]31.12.03'!$N$31</definedName>
    <definedName name="IQ_RESTRUCTURE_INS" hidden="1">"c1109"</definedName>
    <definedName name="_____________All2002">#REF!</definedName>
    <definedName name="dsfsdf">[1]AIS!$C$1:$M$61</definedName>
    <definedName name="IQ_COMPANY_WEBSITE" hidden="1">"c220"</definedName>
    <definedName name="IQ_OTHER_LIAB_LT_INS" hidden="1">"c939"</definedName>
    <definedName name="___________AMB2">#REF!</definedName>
    <definedName name="___________STD2">[2]Parametres!$D$13:$O$13</definedName>
    <definedName name="_____Prj12">#REF!</definedName>
    <definedName name="数量金额总账">#REF!</definedName>
    <definedName name="SGA">#REF!</definedName>
    <definedName name="__________________RD2">#REF!</definedName>
    <definedName name="_________SE2">[2]Parametres!$D$36:$O$36</definedName>
    <definedName name="IQ_GW_AMORT_REIT" hidden="1">"c542"</definedName>
    <definedName name="____________BFR2">#REF!</definedName>
    <definedName name="SUIVIFRET">#REF!</definedName>
    <definedName name="________________CRA1">#REF!</definedName>
    <definedName name="IQ_UNSECURED_DEBT_PCT" hidden="1">"c2549"</definedName>
    <definedName name="IQ_CAPEX_BR" hidden="1">"c111"</definedName>
    <definedName name="________________Prj13">#REF!</definedName>
    <definedName name="IQ_INC_TRADE_ACT" hidden="1">"c562"</definedName>
    <definedName name="Prj9Apast">#REF!</definedName>
    <definedName name="manifvx" hidden="1">{#N/A,#N/A,FALSE,"TRACAT1";#N/A,#N/A,FALSE,"PROJET"}</definedName>
    <definedName name="IQ_LATESTQ" hidden="1">500</definedName>
    <definedName name="IQ_CABLE_REV_ADVERT" hidden="1">"c2880"</definedName>
    <definedName name="IQ_LT_DEBT_BR" hidden="1">"c676"</definedName>
    <definedName name="_____eat1" hidden="1">{#N/A,#N/A,FALSE,"Report";#N/A,#N/A,FALSE,"Credit Debit Notes";#N/A,#N/A,FALSE,"Explanations";#N/A,#N/A,FALSE,"Summary"}</definedName>
    <definedName name="IQ_INSTITUTIONAL_SHARES" hidden="1">"c582"</definedName>
    <definedName name="_______________AMB2">#REF!</definedName>
    <definedName name="IQ_COMMON_ISSUED" hidden="1">"c197"</definedName>
    <definedName name="IQ_TR_PRINTING_FEES" hidden="1">"c2276"</definedName>
    <definedName name="________________MB3">#REF!</definedName>
    <definedName name="IQ_DAYS_INVENTORY_OUT" hidden="1">"c273"</definedName>
    <definedName name="VARESOP2">#REF!</definedName>
    <definedName name="CRA">#REF!</definedName>
    <definedName name="ASFASFASF">[1]HEADC!$C$1:$J$110</definedName>
    <definedName name="___________MB1">#REF!</definedName>
    <definedName name="IQ_GAIN_INVEST_CF_REIT" hidden="1">"c485"</definedName>
    <definedName name="______CRA2">#REF!</definedName>
    <definedName name="IQ_BANK_DEBT_PCT" hidden="1">"c2545"</definedName>
    <definedName name="IQ_BETA_5YR_RSQ" hidden="1">"c2130"</definedName>
    <definedName name="IQ_TR_ROUND_NUMBER" hidden="1">"c2295"</definedName>
    <definedName name="________Prj3">#REF!</definedName>
    <definedName name="IQ_PE_EXCL" hidden="1">"c1028"</definedName>
    <definedName name="________All2002">#REF!</definedName>
    <definedName name="EVOFRIND">#REF!</definedName>
    <definedName name="IQ_FOREIGN_DEP_IB" hidden="1">"c446"</definedName>
    <definedName name="_CRA1">#REF!</definedName>
    <definedName name="IQ_LT_DEBT_REPAID_BNK" hidden="1">"c690"</definedName>
    <definedName name="IQ_STATE" hidden="1">"c1200"</definedName>
    <definedName name="_____________FES1" hidden="1">{#N/A,#N/A,FALSE,"Report";#N/A,#N/A,FALSE,"Credit Debit Notes";#N/A,#N/A,FALSE,"Explanations";#N/A,#N/A,FALSE,"Summary"}</definedName>
    <definedName name="IQ_ISSUE_NAME" hidden="1">"c2142"</definedName>
    <definedName name="________________FES1" hidden="1">{#N/A,#N/A,FALSE,"Report";#N/A,#N/A,FALSE,"Credit Debit Notes";#N/A,#N/A,FALSE,"Explanations";#N/A,#N/A,FALSE,"Summary"}</definedName>
    <definedName name="IQ_NON_INTEREST_INC" hidden="1">"c1401"</definedName>
    <definedName name="IQ_OTHER_LIAB" hidden="1">"c930"</definedName>
    <definedName name="IQ_AE_FIN" hidden="1">"c11"</definedName>
    <definedName name="IQ_ISSUER_CIQID" hidden="1">"c2258"</definedName>
    <definedName name="____________RD2">#REF!</definedName>
    <definedName name="ghj" hidden="1">{#N/A,#N/A,FALSE,"Report";#N/A,#N/A,FALSE,"Credit Debit Notes";#N/A,#N/A,FALSE,"Explanations";#N/A,#N/A,FALSE,"Summary";#N/A,#N/A,FALSE,"Budget";#N/A,#N/A,FALSE,"Actua"}</definedName>
    <definedName name="IQ_CONVEXITY" hidden="1">"c2182"</definedName>
    <definedName name="Freq_S1">#REF!</definedName>
    <definedName name="Feb_04">#REF!</definedName>
    <definedName name="IQ_PC_GAAP_COMBINED_RATIO" hidden="1">"c2781"</definedName>
    <definedName name="IQ_DAYS_COVER_SHORT" hidden="1">"c1578"</definedName>
    <definedName name="__________Prj2">#REF!</definedName>
    <definedName name="IQ_SERV_CHARGE_DEPOSITS" hidden="1">"c1157"</definedName>
    <definedName name="_____MB3">#REF!</definedName>
    <definedName name="IQ_TR_PIPE_CONV_PRICE_SHARE" hidden="1">"c2292"</definedName>
    <definedName name="IQ_PREF_REP_FIN" hidden="1">"c1063"</definedName>
    <definedName name="____________SE1">[2]Parametres!$D$35:$O$35</definedName>
    <definedName name="IQ_EBIT_1YR_ANN_GROWTH" hidden="1">"c354"</definedName>
    <definedName name="per">#REF!</definedName>
    <definedName name="IQ_EBIT_MARGIN" hidden="1">"c359"</definedName>
    <definedName name="IQ_NET_INT_INC_BNK" hidden="1">"c764"</definedName>
    <definedName name="IQ_AIR_PSGR_REV_YIELD_ASK" hidden="1">"c2817"</definedName>
    <definedName name="____________TAX1">#REF!</definedName>
    <definedName name="IQ_EARNING_CO_7YR_ANN_GROWTH" hidden="1">"c350"</definedName>
    <definedName name="____________TAX3">#REF!</definedName>
    <definedName name="____________TT1">#REF!</definedName>
    <definedName name="___________FES1" hidden="1">{#N/A,#N/A,FALSE,"Report";#N/A,#N/A,FALSE,"Credit Debit Notes";#N/A,#N/A,FALSE,"Explanations";#N/A,#N/A,FALSE,"Summary"}</definedName>
    <definedName name="IQ_PROPERTY_MGMT_FEE" hidden="1">"c1074"</definedName>
    <definedName name="IQ_BASIC_EPS_EXCL" hidden="1">"c85"</definedName>
    <definedName name="IQ_CABLE_REV_DIG" hidden="1">"c2876"</definedName>
    <definedName name="IQ_OTHER_FINANCE_ACT_SUPPL_INS" hidden="1">"c903"</definedName>
    <definedName name="IQ_ST_DEBT_ISSUED_BR" hidden="1">"c1183"</definedName>
    <definedName name="fichier">[27]param!$A$2</definedName>
    <definedName name="IQ_EBIT_OVER_IE" hidden="1">"c1369"</definedName>
    <definedName name="IQ_CASH_ACQUIRE_CF" hidden="1">"c116"</definedName>
    <definedName name="IQ_DEF_AMORT_INS" hidden="1">"c280"</definedName>
    <definedName name="____Prj2">#REF!</definedName>
    <definedName name="IQ_GW_INTAN_AMORT_CF_BNK" hidden="1">"c1472"</definedName>
    <definedName name="___________OPU1">#REF!</definedName>
    <definedName name="____Prj12">#REF!</definedName>
    <definedName name="QUEST1">#REF!</definedName>
    <definedName name="EVOFRET">#REF!</definedName>
    <definedName name="IQ_OL_COMM_CY3" hidden="1">"c845"</definedName>
    <definedName name="___Prj1">#REF!</definedName>
    <definedName name="IQ_CABLE_BBAND_PENETRATION" hidden="1">"c2852"</definedName>
    <definedName name="___________SE2">[2]Parametres!$D$36:$O$36</definedName>
    <definedName name="___________Prj15">#REF!</definedName>
    <definedName name="IQ_RETURN_EQUITY_FS" hidden="1">"c1121"</definedName>
    <definedName name="________Per1">#REF!</definedName>
    <definedName name="SALESCUST">#REF!</definedName>
    <definedName name="_______________Prj7">#REF!</definedName>
    <definedName name="___________Prj4">#REF!</definedName>
    <definedName name="IQ_EBITA_10YR_ANN_GROWTH" hidden="1">"c1954"</definedName>
    <definedName name="_Key1" hidden="1">[3]Feuil1!$Q$255:$Q$292</definedName>
    <definedName name="_____________MB3">#REF!</definedName>
    <definedName name="IQ_OTHER_CA_SUPPL_UTI" hidden="1">"c875"</definedName>
    <definedName name="_______Prj12">#REF!</definedName>
    <definedName name="IQ_FILM_RIGHTS" hidden="1">"c2254"</definedName>
    <definedName name="IQ_CHANGES_WORK_CAP" hidden="1">"c1357"</definedName>
    <definedName name="IQ_OTHER_EQUITY_BR" hidden="1">"c888"</definedName>
    <definedName name="IQ_NON_INT_EXP" hidden="1">"c801"</definedName>
    <definedName name="IQ_AR_TURNS" hidden="1">"c44"</definedName>
    <definedName name="_Key2" hidden="1">[3]Feuil1!$W$517:$W$523</definedName>
    <definedName name="_______Prj13">#REF!</definedName>
    <definedName name="_1829888000">#REF!</definedName>
    <definedName name="___________r">[1]SUMSCHED!$C$1:$O$55</definedName>
    <definedName name="IQ_TR_ACQ_DILUT_EPS_EXCL" hidden="1">"c3028"</definedName>
    <definedName name="IQ_CAPEX_BNK" hidden="1">"c110"</definedName>
    <definedName name="___________RD2">#REF!</definedName>
    <definedName name="IQ_US_GAAP_CASH_INVEST" hidden="1">"c2944"</definedName>
    <definedName name="_________________All2002">#REF!</definedName>
    <definedName name="IQ_GW_INTAN_AMORT_UTI" hidden="1">"c1481"</definedName>
    <definedName name="___________SE1">[2]Parametres!$D$35:$O$35</definedName>
    <definedName name="Base_Param">#REF!</definedName>
    <definedName name="IQ_OTHER_LT_ASSETS_UTI" hidden="1">"c952"</definedName>
    <definedName name="IQ_DILUT_NORMAL_EPS" hidden="1">"c1594"</definedName>
    <definedName name="_______TAX2">#REF!</definedName>
    <definedName name="_____Prj10">#REF!</definedName>
    <definedName name="IQ_TR_IMPLIED_EV_EBITDA" hidden="1">"c2303"</definedName>
    <definedName name="___________TAX3">#REF!</definedName>
    <definedName name="IQ_INSTITUTIONAL_OVER_TOTAL" hidden="1">"c1580"</definedName>
    <definedName name="IQ_LTD_DUE_CY1" hidden="1">"c706"</definedName>
    <definedName name="IQ_ANNUITY_LIAB" hidden="1">"c27"</definedName>
    <definedName name="IQ_TR_TARGET_SEC_DETAIL" hidden="1">"c3021"</definedName>
    <definedName name="G">[26]IOP!$C$1:$E$55</definedName>
    <definedName name="__________All2002">#REF!</definedName>
    <definedName name="__________AMB2">#REF!</definedName>
    <definedName name="IQ_TBV_7YR_ANN_GROWTH" hidden="1">"c1935"</definedName>
    <definedName name="__________BFR1">#REF!</definedName>
    <definedName name="____________________Prj9">#REF!</definedName>
    <definedName name="__________BFR2">#REF!</definedName>
    <definedName name="IQ_FWD_CY" hidden="1">10001</definedName>
    <definedName name="__________CRA1">#REF!</definedName>
    <definedName name="IQ_OPTIONS_CANCELLED" hidden="1">"c856"</definedName>
    <definedName name="IQ_AVG_MKTCAP" hidden="1">"c80"</definedName>
    <definedName name="__________CRA2">#REF!</definedName>
    <definedName name="IQ_ACCOUNT_CHANGE" hidden="1">"c1449"</definedName>
    <definedName name="IQ_FDIC" hidden="1">"c417"</definedName>
    <definedName name="IQ_EBIT" hidden="1">"c352"</definedName>
    <definedName name="__________MB2">#REF!</definedName>
    <definedName name="IQ_INV_METHOD" hidden="1">"c621"</definedName>
    <definedName name="_1829326100">#REF!</definedName>
    <definedName name="_1829214000">#REF!</definedName>
    <definedName name="valtM2">'[50]31.12.03'!$O$31</definedName>
    <definedName name="____________CRA1">#REF!</definedName>
    <definedName name="________r">[1]SUMSCHED!$C$1:$O$55</definedName>
    <definedName name="IQ_CABLE_SUBS_NON_VIDEO" hidden="1">"c2860"</definedName>
    <definedName name="________________STD2">[2]Parametres!$D$13:$O$13</definedName>
    <definedName name="Monat">#REF!</definedName>
    <definedName name="________MB1">#REF!</definedName>
    <definedName name="科目余额表">#REF!</definedName>
    <definedName name="_______________TAX1">#REF!</definedName>
    <definedName name="IQ_OPER_INC_FIN" hidden="1">"c851"</definedName>
    <definedName name="IQ_AUDITOR_OPINION" hidden="1">"c1540"</definedName>
    <definedName name="__________Prj1">#REF!</definedName>
    <definedName name="Zprint39">'[51]Page 39'!$B$6:$M$27</definedName>
    <definedName name="________________TAX1">#REF!</definedName>
    <definedName name="F1D">#REF!</definedName>
    <definedName name="Aug_03">#REF!</definedName>
    <definedName name="IQ_SP_FIN_ENHANCE_FX_DATE" hidden="1">"c2629"</definedName>
    <definedName name="reprev_09">[21]Donnees!#REF!</definedName>
    <definedName name="_MB2">#REF!</definedName>
    <definedName name="dzdzedf">'[10]Page 26'!$B$31:$N$36</definedName>
    <definedName name="Zoneàtrier1">#REF!</definedName>
    <definedName name="_____________SE1">[2]Parametres!$D$35:$O$35</definedName>
    <definedName name="____________Prj6">#REF!</definedName>
    <definedName name="_NCV2" hidden="1">{#N/A,#N/A,FALSE,"Sheet1";#N/A,#N/A,FALSE,"Sheet12";#N/A,#N/A,FALSE,"Sheet13";#N/A,#N/A,FALSE,"Sheet10";#N/A,#N/A,FALSE,"Sheet16";#N/A,#N/A,FALSE,"Sheet2";#N/A,#N/A,FALSE,"Sheet3";#N/A,#N/A,FALSE,"Sheet4";#N/A,#N/A,FALSE,"Sheet5";#N/A,#N/A,FALSE,"Sheet6";#N/A,#N/A,FALSE,"Sheet7";#N/A,#N/A,FALSE,"Sheet8"}</definedName>
    <definedName name="reprev_02">[21]Donnees!#REF!</definedName>
    <definedName name="IQ_TREASURY_OTHER_EQUITY_FIN" hidden="1">"c1315"</definedName>
    <definedName name="IQ_COST_TOTAL_BORROWINGS" hidden="1">"c229"</definedName>
    <definedName name="Zprint16">#REF!</definedName>
    <definedName name="__________Prj11">#REF!</definedName>
    <definedName name="p_1">#N/A</definedName>
    <definedName name="IQ_GROSS_MARGIN" hidden="1">"c529"</definedName>
    <definedName name="IQ_LFCF_1YR_ANN_GROWTH" hidden="1">"c1937"</definedName>
    <definedName name="IQ_SUB_DEBT" hidden="1">"c2532"</definedName>
    <definedName name="_________MB3">#REF!</definedName>
    <definedName name="______Per1">#REF!</definedName>
    <definedName name="dkfg" hidden="1">{#N/A,#N/A,FALSE,"Report";#N/A,#N/A,FALSE,"Credit Debit Notes";#N/A,#N/A,FALSE,"Explanations";#N/A,#N/A,FALSE,"Summary";#N/A,#N/A,FALSE,"Budget";#N/A,#N/A,FALSE,"Actua"}</definedName>
    <definedName name="____Prj11">#REF!</definedName>
    <definedName name="IQ_TOTAL_PROVED_RESERVES_NGL" hidden="1">"c2924"</definedName>
    <definedName name="IQ_COMMERCIAL_DOM" hidden="1">"c177"</definedName>
    <definedName name="IQ_AR_BR" hidden="1">"c41"</definedName>
    <definedName name="__________AMB1">#REF!</definedName>
    <definedName name="__________________MB3">#REF!</definedName>
    <definedName name="__________Prj8">#REF!</definedName>
    <definedName name="IQ_DEPOSITS_FIN" hidden="1">"c321"</definedName>
    <definedName name="__________Prj9">#REF!</definedName>
    <definedName name="valt10">[37]Instrument!$P$76</definedName>
    <definedName name="IQ_REV_BEFORE_LL" hidden="1">"c1123"</definedName>
    <definedName name="__________r">[1]SUMSCHED!$C$1:$O$55</definedName>
    <definedName name="IQ_OG_UNDEVELOPED_RESERVES_GAS" hidden="1">"c2051"</definedName>
    <definedName name="__________SE2">[2]Parametres!$D$36:$O$36</definedName>
    <definedName name="IQ_RENTAL_REV" hidden="1">"c1101"</definedName>
    <definedName name="VARESOP1">#REF!</definedName>
    <definedName name="________________All2002">#REF!</definedName>
    <definedName name="_MB3">#REF!</definedName>
    <definedName name="__BFR1">#REF!</definedName>
    <definedName name="_______All2002">#REF!</definedName>
    <definedName name="IQ_CABLE_SUBS_ANALOG" hidden="1">"c2855"</definedName>
    <definedName name="IQ_EBT_INCL_MARGIN" hidden="1">"c387"</definedName>
    <definedName name="valtM5">'[50]31.12.03'!$O$54</definedName>
    <definedName name="IQ_OTHER_CA_UTI" hidden="1">"c876"</definedName>
    <definedName name="ForM">#REF!</definedName>
    <definedName name="IQ_NET_LOANS_5YR_ANN_GROWTH" hidden="1">"c777"</definedName>
    <definedName name="ROATGT">'[42]graph SOP'!$D$32</definedName>
    <definedName name="____________________CRA1">#REF!</definedName>
    <definedName name="__________TAX3">#REF!</definedName>
    <definedName name="wrn.BAGSCHED." hidden="1">{#N/A,#N/A,FALSE,"Sheet1";#N/A,#N/A,FALSE,"Sheet12";#N/A,#N/A,FALSE,"Sheet13";#N/A,#N/A,FALSE,"Sheet10";#N/A,#N/A,FALSE,"Sheet16";#N/A,#N/A,FALSE,"Sheet2";#N/A,#N/A,FALSE,"Sheet3";#N/A,#N/A,FALSE,"Sheet4";#N/A,#N/A,FALSE,"Sheet5";#N/A,#N/A,FALSE,"Sheet6";#N/A,#N/A,FALSE,"Sheet7";#N/A,#N/A,FALSE,"Sheet8"}</definedName>
    <definedName name="IQ_NEXT_CALL_DATE" hidden="1">"c2198"</definedName>
    <definedName name="IQ_TR_SELL_FIN_ADVISORS" hidden="1">"c3046"</definedName>
    <definedName name="_________________TAX3">#REF!</definedName>
    <definedName name="IQ_MERGER_RESTRUCTURE_REIT" hidden="1">"c724"</definedName>
    <definedName name="__CRA2">#REF!</definedName>
    <definedName name="__________________Prj15">#REF!</definedName>
    <definedName name="_________All2002">#REF!</definedName>
    <definedName name="IQ_TRADE_AR" hidden="1">"c1345"</definedName>
    <definedName name="INTRO">#REF!</definedName>
    <definedName name="asiansched" hidden="1">{#N/A,#N/A,FALSE,"Sheet1";#N/A,#N/A,FALSE,"Sheet12";#N/A,#N/A,FALSE,"Sheet13";#N/A,#N/A,FALSE,"Sheet10";#N/A,#N/A,FALSE,"Sheet16";#N/A,#N/A,FALSE,"Sheet2";#N/A,#N/A,FALSE,"Sheet3";#N/A,#N/A,FALSE,"Sheet4";#N/A,#N/A,FALSE,"Sheet5";#N/A,#N/A,FALSE,"Sheet6";#N/A,#N/A,FALSE,"Sheet7";#N/A,#N/A,FALSE,"Sheet8"}</definedName>
    <definedName name="erst_1">#N/A</definedName>
    <definedName name="D_E_Inventories_per_Year">[18]Dashboard!D&amp;[19]Temp!$AT$1:$CB$9</definedName>
    <definedName name="_________BFR1">#REF!</definedName>
    <definedName name="IQ_CLASSA_OPTIONS_GRANTED" hidden="1">"c2680"</definedName>
    <definedName name="GWEURO">#REF!</definedName>
    <definedName name="_Prj14">#REF!</definedName>
    <definedName name="IQ_TR_CO_NET_PROCEEDS_PCT" hidden="1">"c2270"</definedName>
    <definedName name="IQ_TOTAL_LIAB_SHAREHOLD" hidden="1">"c1435"</definedName>
    <definedName name="IQ_CABLE_THP" hidden="1">"c2847"</definedName>
    <definedName name="IQ_TOTAL_DEBT_EQUITY" hidden="1">"c1250"</definedName>
    <definedName name="____________________Prj7">#REF!</definedName>
    <definedName name="____________________STD2">[2]Parametres!$D$13:$O$13</definedName>
    <definedName name="_______Per1">#REF!</definedName>
    <definedName name="IQ_CABLE_PHONE_PENETRATION" hidden="1">"c2853"</definedName>
    <definedName name="IQ_INVEST_LOANS_CF_BR" hidden="1">"c630"</definedName>
    <definedName name="process">[21]Donnees!$X$4</definedName>
    <definedName name="_________________MB2">#REF!</definedName>
    <definedName name="IQ_CAPEX_UTI" hidden="1">"c114"</definedName>
    <definedName name="IQ_RETAIL_TOTAL_FRANCHISE_STORES" hidden="1">"c2898"</definedName>
    <definedName name="dddd">#N/A</definedName>
    <definedName name="IQ_DPAC_FX" hidden="1">"c2798"</definedName>
    <definedName name="_________________Prj9">#REF!</definedName>
    <definedName name="InvestNr">#REF!</definedName>
    <definedName name="_________FES1" hidden="1">{#N/A,#N/A,FALSE,"Report";#N/A,#N/A,FALSE,"Credit Debit Notes";#N/A,#N/A,FALSE,"Explanations";#N/A,#N/A,FALSE,"Summary"}</definedName>
    <definedName name="UFPrn20050903122404">#REF!</definedName>
    <definedName name="IQ_TOTAL_DEBT_REPAID_BNK" hidden="1">"c1259"</definedName>
    <definedName name="IQ_ISSUER_PARENT_CIQID" hidden="1">"c2260"</definedName>
    <definedName name="_______Prj9">#REF!</definedName>
    <definedName name="IQ_OFFER_PRICE" hidden="1">"c2150"</definedName>
    <definedName name="_____________AMB1">#REF!</definedName>
    <definedName name="____________eat1" hidden="1">{#N/A,#N/A,FALSE,"Report";#N/A,#N/A,FALSE,"Credit Debit Notes";#N/A,#N/A,FALSE,"Explanations";#N/A,#N/A,FALSE,"Summary"}</definedName>
    <definedName name="_______________Prj12">#REF!</definedName>
    <definedName name="_________OPU1">#REF!</definedName>
    <definedName name="IQ_INT_DIV_INC" hidden="1">"c585"</definedName>
    <definedName name="_________Prj10">#REF!</definedName>
    <definedName name="VARESCOU">#REF!</definedName>
    <definedName name="BUDGET_CHRISTIAN">#REF!</definedName>
    <definedName name="_________Prj14">#REF!</definedName>
    <definedName name="IQ_OTHER_LT_ASSETS" hidden="1">"c946"</definedName>
    <definedName name="_______________Prj1">#REF!</definedName>
    <definedName name="IQ_RD_EXP_FN" hidden="1">"c1091"</definedName>
    <definedName name="_________Prj15">#REF!</definedName>
    <definedName name="__Prj15">#REF!</definedName>
    <definedName name="IQ_CAPEX_1YR_ANN_GROWTH" hidden="1">"c105"</definedName>
    <definedName name="_________Prj2">#REF!</definedName>
    <definedName name="_______SE2">[2]Parametres!$D$36:$O$36</definedName>
    <definedName name="______________STD2">[2]Parametres!$D$13:$O$13</definedName>
    <definedName name="_________Prj5">#REF!</definedName>
    <definedName name="USDM">#REF!</definedName>
    <definedName name="_STD2">[2]Parametres!$D$13:$O$13</definedName>
    <definedName name="\p">#REF!</definedName>
    <definedName name="_________r">[1]SUMSCHED!$C$1:$O$55</definedName>
    <definedName name="Prj10Acc">#REF!</definedName>
    <definedName name="IQ_CEDED_LIFE_EARNED" hidden="1">"c2738"</definedName>
    <definedName name="IQ_CURRENT_PORT_DEBT_INS" hidden="1">"c1569"</definedName>
    <definedName name="_xlnm.Database">#REF!</definedName>
    <definedName name="ChoixMois">#REF!</definedName>
    <definedName name="__TAX3">#REF!</definedName>
    <definedName name="__________Prj7">#REF!</definedName>
    <definedName name="kj">#N/A</definedName>
    <definedName name="_________STD2">[2]Parametres!$D$13:$O$13</definedName>
    <definedName name="IQ_LTD_DUE_CY" hidden="1">"c705"</definedName>
    <definedName name="_______________Prj15">#REF!</definedName>
    <definedName name="_________TAX3">#REF!</definedName>
    <definedName name="IQ_NI_NORM" hidden="1">"c1901"</definedName>
    <definedName name="IQ_FINANCING_CASH_SUPPL" hidden="1">"c1406"</definedName>
    <definedName name="Prj7Acc">#REF!</definedName>
    <definedName name="__________OPU1">#REF!</definedName>
    <definedName name="ffaf">#REF!</definedName>
    <definedName name="IQ_OTHER_UNUSUAL_BNK" hidden="1">"c1560"</definedName>
    <definedName name="____RD2">#REF!</definedName>
    <definedName name="IQ_ASSETS_CAP_LEASE_GROSS" hidden="1">"c2069"</definedName>
    <definedName name="IQ_FIN_DIV_LOANS_LT" hidden="1">"c436"</definedName>
    <definedName name="IQ_OTHER_LOANS" hidden="1">"c945"</definedName>
    <definedName name="________BFR1">#REF!</definedName>
    <definedName name="INVEST">#REF!</definedName>
    <definedName name="IQ_SP_ISSUE_RECOVER" hidden="1">"c2648"</definedName>
    <definedName name="IQ_POISON_PUT_PRICE" hidden="1">"c2488"</definedName>
    <definedName name="________CRA2">#REF!</definedName>
    <definedName name="IQ_CABLE_HOMES_PER_MILE" hidden="1">"c2849"</definedName>
    <definedName name="\q">#REF!</definedName>
    <definedName name="LT500othA">#REF!</definedName>
    <definedName name="________BFR2">#REF!</definedName>
    <definedName name="___________________CRA1">#REF!</definedName>
    <definedName name="________eat1" hidden="1">{#N/A,#N/A,FALSE,"Report";#N/A,#N/A,FALSE,"Credit Debit Notes";#N/A,#N/A,FALSE,"Explanations";#N/A,#N/A,FALSE,"Summary"}</definedName>
    <definedName name="IQ_NET_DEBT_ISSUED_REIT" hidden="1">"c756"</definedName>
    <definedName name="LT500cap">#REF!</definedName>
    <definedName name="________FES1" hidden="1">{#N/A,#N/A,FALSE,"Report";#N/A,#N/A,FALSE,"Credit Debit Notes";#N/A,#N/A,FALSE,"Explanations";#N/A,#N/A,FALSE,"Summary"}</definedName>
    <definedName name="IQ_TR_TARGET_TOTAL_ASSETS" hidden="1">"c2325"</definedName>
    <definedName name="CAPREVCTBUD">#REF!</definedName>
    <definedName name="IQ_OG_EXPLORATION_COSTS_OIL" hidden="1">"c1983"</definedName>
    <definedName name="reel_03">[21]Donnees!$BN$4</definedName>
    <definedName name="__________________Prj1">#REF!</definedName>
    <definedName name="qjkfdgh" hidden="1">{#N/A,#N/A,FALSE,"Report";#N/A,#N/A,FALSE,"Credit Debit Notes";#N/A,#N/A,FALSE,"Explanations";#N/A,#N/A,FALSE,"Summary"}</definedName>
    <definedName name="________OPU1">#REF!</definedName>
    <definedName name="__STD2">[2]Parametres!$D$13:$O$13</definedName>
    <definedName name="IQ_RETAIL_CLOSED_STORES" hidden="1">"c2063"</definedName>
    <definedName name="IQ_TOTAL_EMPLOYEES" hidden="1">"c1522"</definedName>
    <definedName name="intitule">[21]Donnees!#REF!</definedName>
    <definedName name="CAPREVCT2">#REF!</definedName>
    <definedName name="Comments2004">'[15]Act. Bud. FIB 2004'!$S$5:$AD$365</definedName>
    <definedName name="IQ_ADD_PAID_IN" hidden="1">"c1344"</definedName>
    <definedName name="IQ_OTHER_LIAB_BR" hidden="1">"c932"</definedName>
    <definedName name="________TAX3">#REF!</definedName>
    <definedName name="__________Prj13">#REF!</definedName>
    <definedName name="_______CRA2">#REF!</definedName>
    <definedName name="IQ_DISTRIBUTABLE_CASH_SHARE" hidden="1">"c3003"</definedName>
    <definedName name="dadssd_1">#N/A</definedName>
    <definedName name="IQ_CHANGE_AP_BNK" hidden="1">"c134"</definedName>
    <definedName name="IQ_OTHER_LIAB_FIN" hidden="1">"c933"</definedName>
    <definedName name="IQ_PROVISION_2YR_ANN_GROWTH" hidden="1">"c1079"</definedName>
    <definedName name="IQ_FIN_DIV_ASSETS_LT" hidden="1">"c428"</definedName>
    <definedName name="IQ_OTHER_OPER_FIN" hidden="1">"c991"</definedName>
    <definedName name="IQ_CHANGE_AR_BR" hidden="1">"c142"</definedName>
    <definedName name="________Prj14">#REF!</definedName>
    <definedName name="IQ_PERIODDATE_BS" hidden="1">"c1032"</definedName>
    <definedName name="________________Prj9">#REF!</definedName>
    <definedName name="________Prj2">#REF!</definedName>
    <definedName name="________AMB2">#REF!</definedName>
    <definedName name="IQ_SP_FIN_ENHANCE_LC_ACTION" hidden="1">"c2633"</definedName>
    <definedName name="Zprint35S">#REF!</definedName>
    <definedName name="________Prj5">#REF!</definedName>
    <definedName name="IQ_ACCT_RECV_1YR_ANN_GROWTH" hidden="1">"c1919"</definedName>
    <definedName name="IQ_FILINGDATE_IS" hidden="1">"c426"</definedName>
    <definedName name="erst">#N/A</definedName>
    <definedName name="IQ_AIR_ASM_INCREASE" hidden="1">"c2825"</definedName>
    <definedName name="IQ_EXPLORE_DRILL" hidden="1">"c409"</definedName>
    <definedName name="VARMOD">#REF!</definedName>
    <definedName name="________Prj9">#REF!</definedName>
    <definedName name="IQ_PRE_OPEN_COST" hidden="1">"c1040"</definedName>
    <definedName name="IQ_CHANGE_OTHER_WORK_CAP_BR" hidden="1">"c154"</definedName>
    <definedName name="IQ_XDIV_DATE" hidden="1">"c2203"</definedName>
    <definedName name="Apr_04">#REF!</definedName>
    <definedName name="________STD2">[2]Parametres!$D$13:$O$13</definedName>
    <definedName name="IQ_LT_DEBT_ISSUED_FIN" hidden="1">"c684"</definedName>
    <definedName name="IQ_RETURN_ASSETS" hidden="1">"c1113"</definedName>
    <definedName name="_________Prj4">#REF!</definedName>
    <definedName name="________TAX1">#REF!</definedName>
    <definedName name="_Prj9">#REF!</definedName>
    <definedName name="_MB1">#REF!</definedName>
    <definedName name="IQ_COMMON_REP_BNK" hidden="1">"c207"</definedName>
    <definedName name="Jan_02">#REF!</definedName>
    <definedName name="IQ_TOTAL_OPER_EXP_REIT" hidden="1">"c1287"</definedName>
    <definedName name="________TT1">#REF!</definedName>
    <definedName name="IQ_CURRENCY_GAIN_UTI" hidden="1">"c240"</definedName>
    <definedName name="IQ_TR_TOTAL_NEWMONEY" hidden="1">"c2289"</definedName>
    <definedName name="IQ_LFCF_5YR_ANN_GROWTH" hidden="1">"c1940"</definedName>
    <definedName name="ActualT3000DPV">[3]Feuil1!$S$58</definedName>
    <definedName name="_______eat1" hidden="1">{#N/A,#N/A,FALSE,"Report";#N/A,#N/A,FALSE,"Credit Debit Notes";#N/A,#N/A,FALSE,"Explanations";#N/A,#N/A,FALSE,"Summary"}</definedName>
    <definedName name="dsfsd">#N/A</definedName>
    <definedName name="__TAX1">#REF!</definedName>
    <definedName name="Druck_QS9Comp">[3]Feuil1!$A$1:$H$50</definedName>
    <definedName name="____OPU1">#REF!</definedName>
    <definedName name="MB">#REF!</definedName>
    <definedName name="_Prj13">#REF!</definedName>
    <definedName name="CONTENTS">#REF!</definedName>
    <definedName name="IQ_ASSET_WRITEDOWN_BR" hidden="1">"c50"</definedName>
    <definedName name="IQ_OTHER_OPER_ACT_BR" hidden="1">"c985"</definedName>
    <definedName name="DB_IOP">#REF!</definedName>
    <definedName name="_______OPU1">#REF!</definedName>
    <definedName name="total_reel">[21]Donnees!$BX$4</definedName>
    <definedName name="___________________MB2">#REF!</definedName>
    <definedName name="_______Prj14">#REF!</definedName>
    <definedName name="IQ_OTHER_OPTIONS_EXERCISED" hidden="1">"c2688"</definedName>
    <definedName name="_______Prj3">#REF!</definedName>
    <definedName name="_______Prj4">#REF!</definedName>
    <definedName name="IQ_SALE_INTAN_CF_BNK" hidden="1">"c1132"</definedName>
    <definedName name="_______Prj6">#REF!</definedName>
    <definedName name="IQ_COST_BORROWINGS" hidden="1">"c225"</definedName>
    <definedName name="____Prj10">#REF!</definedName>
    <definedName name="_______TAX1">#REF!</definedName>
    <definedName name="_______________TAX2">#REF!</definedName>
    <definedName name="__________________FES1" hidden="1">{#N/A,#N/A,FALSE,"Report";#N/A,#N/A,FALSE,"Credit Debit Notes";#N/A,#N/A,FALSE,"Explanations";#N/A,#N/A,FALSE,"Summary"}</definedName>
    <definedName name="reprev_10">[21]Donnees!#REF!</definedName>
    <definedName name="______AMB2">#REF!</definedName>
    <definedName name="asfasfaF">[1]FOREC1!$D$1:$X$61</definedName>
    <definedName name="IQ_FIN_DIV_LIAB_LT" hidden="1">"c434"</definedName>
    <definedName name="IQ_RETAIL_SALES_SQFT_ALL_NET" hidden="1">"c2139"</definedName>
    <definedName name="IQ_MC_STATUTORY_SURPLUS" hidden="1">"c2772"</definedName>
    <definedName name="IQ_SP_REASON" hidden="1">"c2174"</definedName>
    <definedName name="IQ_US_GAAP_NI" hidden="1">"c2976"</definedName>
    <definedName name="__________________Prj11">#REF!</definedName>
    <definedName name="IQ_TBV" hidden="1">"c1906"</definedName>
    <definedName name="______Prj9">#REF!</definedName>
    <definedName name="_18G0419000">#REF!</definedName>
    <definedName name="IQ_SALE_REAL_ESTATE_CF_BR" hidden="1">"c1145"</definedName>
    <definedName name="IQ_CONV_DATE" hidden="1">"c2191"</definedName>
    <definedName name="____STD2">[2]Parametres!$D$13:$O$13</definedName>
    <definedName name="______Prj3">#REF!</definedName>
    <definedName name="______eat1" hidden="1">{#N/A,#N/A,FALSE,"Report";#N/A,#N/A,FALSE,"Credit Debit Notes";#N/A,#N/A,FALSE,"Explanations";#N/A,#N/A,FALSE,"Summary"}</definedName>
    <definedName name="IQ_INTEREST_EXP_NON" hidden="1">"c1383"</definedName>
    <definedName name="IQ_TOTAL_WARRANTS_EXERCISED" hidden="1">"c2721"</definedName>
    <definedName name="check_value2">[3]Feuil1!#REF!</definedName>
    <definedName name="______MB1">#REF!</definedName>
    <definedName name="______Prj1">#REF!</definedName>
    <definedName name="IQ_OG_OTHER_ADJ_OIL" hidden="1">"c2036"</definedName>
    <definedName name="___________________Prj10">#REF!</definedName>
    <definedName name="______________Prj1">#REF!</definedName>
    <definedName name="FY">[2]Parametres!$D$37:$O$37</definedName>
    <definedName name="_______BFR2">#REF!</definedName>
    <definedName name="IQ_TREASURY_OTHER_EQUITY_INS" hidden="1">"c1316"</definedName>
    <definedName name="______Prj13">#REF!</definedName>
    <definedName name="IQ_GAIN_ASSETS_INS" hidden="1">"c463"</definedName>
    <definedName name="Nature_Code">#REF!</definedName>
    <definedName name="___Prj5">#REF!</definedName>
    <definedName name="______Prj2">#REF!</definedName>
    <definedName name="______Prj4">#REF!</definedName>
    <definedName name="__________eat1" hidden="1">{#N/A,#N/A,FALSE,"Report";#N/A,#N/A,FALSE,"Credit Debit Notes";#N/A,#N/A,FALSE,"Explanations";#N/A,#N/A,FALSE,"Summary"}</definedName>
    <definedName name="tutu">'[49]variable 1'!$A$1:$A$19</definedName>
    <definedName name="______Prj6">#REF!</definedName>
    <definedName name="IQ_DILUT_EPS_EXCL" hidden="1">"c324"</definedName>
    <definedName name="_______MB2">#REF!</definedName>
    <definedName name="______Prj7">#REF!</definedName>
    <definedName name="_______________CRA1">#REF!</definedName>
    <definedName name="IQ_EBIT_2YR_ANN_GROWTH" hidden="1">"c355"</definedName>
    <definedName name="______r">[1]SUMSCHED!$C$1:$O$55</definedName>
    <definedName name="____SE2">[2]Parametres!$D$36:$O$36</definedName>
    <definedName name="IQ_INV_5YR_ANN_GROWTH" hidden="1">"c1928"</definedName>
    <definedName name="IQ_PENSION" hidden="1">"c1031"</definedName>
    <definedName name="SUIVPROG">#REF!</definedName>
    <definedName name="__________TAX1">#REF!</definedName>
    <definedName name="IQ_FLOAT_PERCENT" hidden="1">"c1575"</definedName>
    <definedName name="____TAX1">#REF!</definedName>
    <definedName name="__________Prj3">#REF!</definedName>
    <definedName name="____Prj4">#REF!</definedName>
    <definedName name="IQ_NON_OPER_INC" hidden="1">"c810"</definedName>
    <definedName name="IQ_REDEEM_PREF_STOCK" hidden="1">"c1417"</definedName>
    <definedName name="IQ_PROFESSIONAL" hidden="1">"c1071"</definedName>
    <definedName name="______SE2">[2]Parametres!$D$36:$O$36</definedName>
    <definedName name="IQ_EXTRA_ACC_ITEMS" hidden="1">"c410"</definedName>
    <definedName name="IQ_PROJECTED_PENSION_OBLIGATION" hidden="1">"c1292"</definedName>
    <definedName name="po" hidden="1">{#N/A,#N/A,FALSE,"Report";#N/A,#N/A,FALSE,"Credit Debit Notes";#N/A,#N/A,FALSE,"Explanations";#N/A,#N/A,FALSE,"Summary";#N/A,#N/A,FALSE,"Budget";#N/A,#N/A,FALSE,"Actua"}</definedName>
    <definedName name="MonthS2">[2]Parametres!$J$2:$O$2</definedName>
    <definedName name="m" hidden="1">{#N/A,#N/A,FALSE,"Report";#N/A,#N/A,FALSE,"Credit Debit Notes";#N/A,#N/A,FALSE,"Explanations";#N/A,#N/A,FALSE,"Summary";#N/A,#N/A,FALSE,"Budget";#N/A,#N/A,FALSE,"Actua"}</definedName>
    <definedName name="____CRA1">#REF!</definedName>
    <definedName name="IQ_AP_INS" hidden="1">"c36"</definedName>
    <definedName name="ASFFASfasf">#REF!</definedName>
    <definedName name="IQ_OTHER_UNDRAWN" hidden="1">"c2522"</definedName>
    <definedName name="IQ_ALLOWANCE_TOTAL_LOANS" hidden="1">"c26"</definedName>
    <definedName name="______________AMB1">#REF!</definedName>
    <definedName name="IQ_NET_DEBT_ISSUED_BR" hidden="1">"c753"</definedName>
    <definedName name="IQ_ACQUIRE_REAL_ESTATE_CF" hidden="1">"c6"</definedName>
    <definedName name="IQ_NON_INT_INC" hidden="1">"c802"</definedName>
    <definedName name="ENDET">#REF!</definedName>
    <definedName name="IQ_SP_FIN_ENHANCE_LC_DATE" hidden="1">"c2632"</definedName>
    <definedName name="______STD2">[2]Parametres!$D$13:$O$13</definedName>
    <definedName name="________Prj12">#REF!</definedName>
    <definedName name="IQ_INS_SETTLE_BR" hidden="1">"c572"</definedName>
    <definedName name="IQ_CAPITAL_LEASES" hidden="1">"c115"</definedName>
    <definedName name="_____________Prj11">#REF!</definedName>
    <definedName name="_______BFR1">#REF!</definedName>
    <definedName name="IQ_DA_SUPPL_CF_FIN" hidden="1">"c264"</definedName>
    <definedName name="_____AMB2">#REF!</definedName>
    <definedName name="_____BFR2">#REF!</definedName>
    <definedName name="_______TT1">#REF!</definedName>
    <definedName name="_18G0415000">#REF!</definedName>
    <definedName name="IQ_SP_DATE" hidden="1">"c2172"</definedName>
    <definedName name="___TAX1">#REF!</definedName>
    <definedName name="IQ_AR_LT" hidden="1">"c42"</definedName>
    <definedName name="___MB3">#REF!</definedName>
    <definedName name="IQ_ALLOW_LL" hidden="1">"c17"</definedName>
    <definedName name="Europe">[2]Parametres!$G$39:$G$46</definedName>
    <definedName name="IQ_FHLB_DEBT" hidden="1">"c423"</definedName>
    <definedName name="_18G0328000">#REF!</definedName>
    <definedName name="IQ_INT_EXP_REIT" hidden="1">"c590"</definedName>
    <definedName name="Octobre">#REF!</definedName>
    <definedName name="IQ_TRADING_ASSETS" hidden="1">"c1310"</definedName>
    <definedName name="_____OPU1">#REF!</definedName>
    <definedName name="IQ_MINORITY_INTEREST_BNK" hidden="1">"c728"</definedName>
    <definedName name="____________Prj3">#REF!</definedName>
    <definedName name="CRMOIS">#REF!</definedName>
    <definedName name="_____Prj1">#REF!</definedName>
    <definedName name="IQ_CALL_FEATURE" hidden="1">"c2197"</definedName>
    <definedName name="_____Prj14">#REF!</definedName>
    <definedName name="IQ_CAL_Y" hidden="1">"c102"</definedName>
    <definedName name="IQ_RETAIL_SALES_SQFT_OWNED_NET" hidden="1">"c2135"</definedName>
    <definedName name="_____Prj15">#REF!</definedName>
    <definedName name="SorterDPV3000">[3]Feuil1!$W$2:$X$32</definedName>
    <definedName name="IQ_CABLE_ARPU_BBAND" hidden="1">"c2867"</definedName>
    <definedName name="__OPU1">#REF!</definedName>
    <definedName name="_________________BFR2">#REF!</definedName>
    <definedName name="_________MB2">#REF!</definedName>
    <definedName name="_________________SE1">[2]Parametres!$D$35:$O$35</definedName>
    <definedName name="_____Prj3">#REF!</definedName>
    <definedName name="__FES1" hidden="1">{#N/A,#N/A,FALSE,"Report";#N/A,#N/A,FALSE,"Credit Debit Notes";#N/A,#N/A,FALSE,"Explanations";#N/A,#N/A,FALSE,"Summary"}</definedName>
    <definedName name="wrn.imp." hidden="1">{#N/A,#N/A,FALSE,"836082";#N/A,#N/A,FALSE,"PR836066 (2)";#N/A,#N/A,FALSE,"PR836066E";#N/A,#N/A,FALSE,"SilencF3RE";#N/A,#N/A,FALSE,"CamaraF3RE"}</definedName>
    <definedName name="IQ_COMMON" hidden="1">"c182"</definedName>
    <definedName name="Employee_profit_sharing_Réel">[3]Feuil1!#REF!</definedName>
    <definedName name="max">#REF!</definedName>
    <definedName name="_____________MB2">#REF!</definedName>
    <definedName name="IQ_EPS_10YR_ANN_GROWTH" hidden="1">"c393"</definedName>
    <definedName name="_____Prj6">#REF!</definedName>
    <definedName name="IQ_CHANGE_AR_UTI" hidden="1">"c146"</definedName>
    <definedName name="ASFASFAs">#REF!</definedName>
    <definedName name="_____RD2">#REF!</definedName>
    <definedName name="______________r">[1]SUMSCHED!$C$1:$O$55</definedName>
    <definedName name="IQ_CAPEX_FIN" hidden="1">"c112"</definedName>
    <definedName name="PRESENTATION">#REF!</definedName>
    <definedName name="IQ_BV_SHARE" hidden="1">"c100"</definedName>
    <definedName name="_____TAX1">#REF!</definedName>
    <definedName name="IQ_FIRSTPRICINGDATE" hidden="1">"c3050"</definedName>
    <definedName name="_____TAX2">#REF!</definedName>
    <definedName name="cmj">#REF!</definedName>
    <definedName name="____TAX2">#REF!</definedName>
    <definedName name="IQ_GROSS_CLAIM_EXP_INCUR" hidden="1">"c2755"</definedName>
    <definedName name="IQ_GW_INTAN_AMORT_CF_FIN" hidden="1">"c1474"</definedName>
    <definedName name="nominalM8">[37]Instrument!$E$66</definedName>
    <definedName name="IQ_OG_FUTURE_CASH_INFLOWS_OIL" hidden="1">"c2003"</definedName>
    <definedName name="_____TAX3">#REF!</definedName>
    <definedName name="____AMB1">#REF!</definedName>
    <definedName name="____FES1" hidden="1">{#N/A,#N/A,FALSE,"Report";#N/A,#N/A,FALSE,"Credit Debit Notes";#N/A,#N/A,FALSE,"Explanations";#N/A,#N/A,FALSE,"Summary"}</definedName>
    <definedName name="_________________eat1" hidden="1">{#N/A,#N/A,FALSE,"Report";#N/A,#N/A,FALSE,"Credit Debit Notes";#N/A,#N/A,FALSE,"Explanations";#N/A,#N/A,FALSE,"Summary"}</definedName>
    <definedName name="IQ_COMMON_ISSUED_REIT" hidden="1">"c202"</definedName>
    <definedName name="reel_12">[21]Donnees!$BW$4</definedName>
    <definedName name="___________AMB1">#REF!</definedName>
    <definedName name="IQ_OG_DEVELOPMENT_COSTS_OIL" hidden="1">"c1984"</definedName>
    <definedName name="____MB2">#REF!</definedName>
    <definedName name="IQ_INVEST_LOANS_CF_UTI" hidden="1">"c634"</definedName>
    <definedName name="CREANCES">#REF!</definedName>
    <definedName name="ForM2">#REF!</definedName>
    <definedName name="____Prj13">#REF!</definedName>
    <definedName name="IQ_DEF_AMORT_BNK" hidden="1">"c277"</definedName>
    <definedName name="IQ_CABLE_SUBS_BASIC" hidden="1">"c2857"</definedName>
    <definedName name="Committed">#REF!</definedName>
    <definedName name="____Prj14">#REF!</definedName>
    <definedName name="IQ_TOTAL_WARRANTS_CANCELLED" hidden="1">"c2722"</definedName>
    <definedName name="IQ_RETAIL_OWNED_STORES_BEG" hidden="1">"c2901"</definedName>
    <definedName name="IQ_NET_INC_BEFORE" hidden="1">"c1368"</definedName>
    <definedName name="IQ_OG_TOTAL_EST_PROVED_RESERVES_GAS" hidden="1">"c2052"</definedName>
    <definedName name="____Prj8">#REF!</definedName>
    <definedName name="IQ_RESTRUCTURED_LOANS" hidden="1">"c1112"</definedName>
    <definedName name="____TAX3">#REF!</definedName>
    <definedName name="IQ_DILUT_EPS_NORM" hidden="1">"c1903"</definedName>
    <definedName name="IQ_ACCT_RECV_10YR_ANN_GROWTH" hidden="1">"c1924"</definedName>
    <definedName name="_BQ4.8" hidden="1">#REF!</definedName>
    <definedName name="___All2002">#REF!</definedName>
    <definedName name="_______________OPU1">#REF!</definedName>
    <definedName name="IQ_SP_BANK_DATE" hidden="1">"c2635"</definedName>
    <definedName name="SLIDE3">#REF!</definedName>
    <definedName name="____Prj1">#REF!</definedName>
    <definedName name="IQ_COMMON_APIC" hidden="1">"c183"</definedName>
    <definedName name="___CRA1">#REF!</definedName>
    <definedName name="IQ_EBT_INS" hidden="1">"c388"</definedName>
    <definedName name="___CRA2">#REF!</definedName>
    <definedName name="IQ_PRO_FORMA_DILUT_EPS" hidden="1">"c1615"</definedName>
    <definedName name="___________TAX2">#REF!</definedName>
    <definedName name="IQ_NET_LOANS_2YR_ANN_GROWTH" hidden="1">"c775"</definedName>
    <definedName name="ForM3">#REF!</definedName>
    <definedName name="FES_2" hidden="1">{#N/A,#N/A,FALSE,"Report";#N/A,#N/A,FALSE,"Credit Debit Notes";#N/A,#N/A,FALSE,"Explanations";#N/A,#N/A,FALSE,"Summary"}</definedName>
    <definedName name="IQ_ISS_STOCK_NET" hidden="1">"c1601"</definedName>
    <definedName name="IQ_BETA" hidden="1">"c2133"</definedName>
    <definedName name="___OPU1">#REF!</definedName>
    <definedName name="___Per1">#REF!</definedName>
    <definedName name="IQ_CHARGE_OFFS_NET" hidden="1">"c163"</definedName>
    <definedName name="_____________Prj6">#REF!</definedName>
    <definedName name="_________________BFR1">#REF!</definedName>
    <definedName name="IQ_SALE_PPE_CF_FIN" hidden="1">"c1140"</definedName>
    <definedName name="IQ_CHARGE_OFFS_RECOVERED" hidden="1">"c164"</definedName>
    <definedName name="__Prj7">#REF!</definedName>
    <definedName name="IQ_NET_INT_INC_BR" hidden="1">"c765"</definedName>
    <definedName name="___Prj3">#REF!</definedName>
    <definedName name="IQ_DILUT_ADJUST" hidden="1">"c1621"</definedName>
    <definedName name="__Prj1">#REF!</definedName>
    <definedName name="___Prj7">#REF!</definedName>
    <definedName name="__Prj11">#REF!</definedName>
    <definedName name="Totxxx">#N/A</definedName>
    <definedName name="__Prj13">#REF!</definedName>
    <definedName name="IQ_LT_INVEST_REIT" hidden="1">"c700"</definedName>
    <definedName name="_BQ4.10" hidden="1">#REF!</definedName>
    <definedName name="___Prj9">#REF!</definedName>
    <definedName name="____________________All2002">#REF!</definedName>
    <definedName name="_18G04620R0">#REF!</definedName>
    <definedName name="___r">[1]SUMSCHED!$C$1:$O$55</definedName>
    <definedName name="IQ_MINORITY_INTEREST" hidden="1">"c727"</definedName>
    <definedName name="IQ_COMMON_REP_UTI" hidden="1">"c212"</definedName>
    <definedName name="______________OPU1">#REF!</definedName>
    <definedName name="IQ_CHANGE_OTHER_WORK_CAP_BNK" hidden="1">"c153"</definedName>
    <definedName name="EUROPE_Comments">'[8]FI-2D10 MAG EUR'!$R$76:$U$184</definedName>
    <definedName name="IQ_PREF_EQUITY" hidden="1">"c1044"</definedName>
    <definedName name="IQ_TIER_TWO_CAPITAL" hidden="1">"c2669"</definedName>
    <definedName name="___RD2">#REF!</definedName>
    <definedName name="IQ_PRICEDATE" hidden="1">"c1069"</definedName>
    <definedName name="IQ_SP_FX_DATE_LT" hidden="1">"c2611"</definedName>
    <definedName name="IQ_ACCR_INT_PAY" hidden="1">"c1"</definedName>
    <definedName name="___SE1">[2]Parametres!$D$35:$O$35</definedName>
    <definedName name="__BFR2">#REF!</definedName>
    <definedName name="_OPU1">#REF!</definedName>
    <definedName name="____________________CRA2">#REF!</definedName>
    <definedName name="IQ_CONV_SECURITY" hidden="1">"c2189"</definedName>
    <definedName name="IQ_EBITDA" hidden="1">"c361"</definedName>
    <definedName name="t">#REF!</definedName>
    <definedName name="IQ_INT_EXP_UTI" hidden="1">"c592"</definedName>
    <definedName name="_18G0499100">#REF!</definedName>
    <definedName name="reprev_12">[21]Donnees!#REF!</definedName>
    <definedName name="____________Prj4">#REF!</definedName>
    <definedName name="__Per1">#REF!</definedName>
    <definedName name="IQ_PROV_BAD_DEBTS" hidden="1">"c1075"</definedName>
    <definedName name="______Prj11">#REF!</definedName>
    <definedName name="IQ_CHANGE_AR_FIN" hidden="1">"c143"</definedName>
    <definedName name="IQ_NORMAL_INC_AVAIL" hidden="1">"c1606"</definedName>
    <definedName name="IQ_CLASSA_OPTIONS_END_OS" hidden="1">"c2683"</definedName>
    <definedName name="IQ_CLASSA_OUTSTANDING_BS_DATE" hidden="1">"c1971"</definedName>
    <definedName name="IQ_OTHER_REV_SUPPL_UTI" hidden="1">"c1020"</definedName>
    <definedName name="IQ_SALE_PPE_CF_INS" hidden="1">"c1141"</definedName>
    <definedName name="IQ_CLASSA_STRIKE_PRICE_GRANTED" hidden="1">"c2685"</definedName>
    <definedName name="IQ_CABLE_REV_BASIC" hidden="1">"c2877"</definedName>
    <definedName name="IQ_OTHER_CL_SUPPL_BNK" hidden="1">"c879"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HR">"ComboBox1"</definedName>
    <definedName name="IQ_CLASSA_WARRANTS_EXERCISED" hidden="1">"c2707"</definedName>
    <definedName name="IQ_DEF_CHARGES_BR" hidden="1">"c288"</definedName>
    <definedName name="fgg" hidden="1">{#N/A,#N/A,FALSE,"Report";#N/A,#N/A,FALSE,"Credit Debit Notes";#N/A,#N/A,FALSE,"Explanations";#N/A,#N/A,FALSE,"Summary";#N/A,#N/A,FALSE,"Budget";#N/A,#N/A,FALSE,"Actua"}</definedName>
    <definedName name="IQ_DURATION" hidden="1">"c2181"</definedName>
    <definedName name="IQ_CLASSA_WARRANTS_STRIKE_PRICE_OS" hidden="1">"c2710"</definedName>
    <definedName name="EUROPE_StdPnL">'[8]FI-2D10 MAG EUR'!$B$71:$L$188</definedName>
    <definedName name="IQ_CLOSEPRICE" hidden="1">"c174"</definedName>
    <definedName name="IQ_CLOSEPRICE_ADJ" hidden="1">"c2115"</definedName>
    <definedName name="Mars">#REF!</definedName>
    <definedName name="IQ_COMBINED_RATIO" hidden="1">"c176"</definedName>
    <definedName name="IQ_AVG_PRICE" hidden="1">"c81"</definedName>
    <definedName name="IQ_COMMERCIAL_FIRE_WRITTEN" hidden="1">"c178"</definedName>
    <definedName name="IQ_COMMISS_FEES" hidden="1">"c180"</definedName>
    <definedName name="IQ_COMMON_APIC_BR" hidden="1">"c185"</definedName>
    <definedName name="IQ_PROJECTED_PENSION_OBLIGATION_FOREIGN" hidden="1">"c2664"</definedName>
    <definedName name="IQ_COMMON_APIC_INS" hidden="1">"c187"</definedName>
    <definedName name="IQ_MERGER_BR" hidden="1">"c715"</definedName>
    <definedName name="IQ_COMMON_APIC_REIT" hidden="1">"c188"</definedName>
    <definedName name="IQ_STOCK_BASED_RD" hidden="1">"c2991"</definedName>
    <definedName name="IQ_COMMON_APIC_UTI" hidden="1">"c189"</definedName>
    <definedName name="IQ_SVA" hidden="1">"c1214"</definedName>
    <definedName name="IQ_COMMON_DIV_CF" hidden="1">"c190"</definedName>
    <definedName name="IQ_COMMON_EQUITY_10YR_ANN_GROWTH" hidden="1">"c191"</definedName>
    <definedName name="Zprint10S">#REF!</definedName>
    <definedName name="___________________Prj6">#REF!</definedName>
    <definedName name="_______Prj7">#REF!</definedName>
    <definedName name="IQ_GAIN_ASSETS_REV_INS" hidden="1">"c476"</definedName>
    <definedName name="IQ_OPER_INC_REIT" hidden="1">"c853"</definedName>
    <definedName name="IQ_COMMON_EQUITY_1YR_ANN_GROWTH" hidden="1">"c192"</definedName>
    <definedName name="IQ_TOTAL_DEBT_ISSUES_INS" hidden="1">"c1257"</definedName>
    <definedName name="IQ_COMMON_EQUITY_2YR_ANN_GROWTH" hidden="1">"c193"</definedName>
    <definedName name="IQ_COMPANY_STREET2" hidden="1">"c218"</definedName>
    <definedName name="IQ_TR_PFEATURES" hidden="1">"c2384"</definedName>
    <definedName name="IQ_RESTRUCTURE_UTI" hidden="1">"c1111"</definedName>
    <definedName name="IQ_COMMON_ISSUED_BNK" hidden="1">"c198"</definedName>
    <definedName name="Prj10Apast">#REF!</definedName>
    <definedName name="CAACT">#REF!</definedName>
    <definedName name="IQ_OG_PRODUCTION_GAS" hidden="1">"c2047"</definedName>
    <definedName name="IQ_COMMON_ISSUED_UTI" hidden="1">"c203"</definedName>
    <definedName name="IQ_CABLE_MILES_PASSED" hidden="1">"c2848"</definedName>
    <definedName name="IQ_OTHER_INVEST_ACT_BNK" hidden="1">"c917"</definedName>
    <definedName name="DB_NEU">#REF!</definedName>
    <definedName name="IQ_COMMON_PER_ADR" hidden="1">"c204"</definedName>
    <definedName name="IQ_FHLB_DUE_CY1" hidden="1">"c2081"</definedName>
    <definedName name="IQ_GAIN_INVEST_REV_BR" hidden="1">"c496"</definedName>
    <definedName name="Anal" hidden="1">{#N/A,#N/A,FALSE,"Report";#N/A,#N/A,FALSE,"Credit Debit Notes";#N/A,#N/A,FALSE,"Explanations";#N/A,#N/A,FALSE,"Summary"}</definedName>
    <definedName name="IQ_COMMON_PREF_DIV_CF" hidden="1">"c205"</definedName>
    <definedName name="IQ_DEFERRED_FOREIGN_TAXES" hidden="1">"c2078"</definedName>
    <definedName name="IQ_COMMON_REP_BR" hidden="1">"c208"</definedName>
    <definedName name="IQ_COMP_BENEFITS" hidden="1">"c213"</definedName>
    <definedName name="IQ_COMPANY_PHONE" hidden="1">"c216"</definedName>
    <definedName name="IQ_COMPANY_STATUS" hidden="1">"c2097"</definedName>
    <definedName name="IQ_COMPANY_TYPE" hidden="1">"c2096"</definedName>
    <definedName name="pcf">#REF!</definedName>
    <definedName name="IQ_CONSTRUCTION_LOANS" hidden="1">"c222"</definedName>
    <definedName name="Finanzart">#REF!</definedName>
    <definedName name="____________r">[1]SUMSCHED!$C$1:$O$55</definedName>
    <definedName name="IQ_CONSUMER_LOANS" hidden="1">"c223"</definedName>
    <definedName name="reel_09">[21]Donnees!$BT$4</definedName>
    <definedName name="IQ_TOTAL_DEBT_REPAID_UTI" hidden="1">"c1264"</definedName>
    <definedName name="IQ_CONV_PRICE" hidden="1">"c2193"</definedName>
    <definedName name="IQ_CONV_RATIO" hidden="1">"c2192"</definedName>
    <definedName name="_________TT1">#REF!</definedName>
    <definedName name="IQ_CONV_SECURITY_ISSUER" hidden="1">"c2190"</definedName>
    <definedName name="IQ_MEDIAN_TARGET_PRICE" hidden="1">"c1650"</definedName>
    <definedName name="IQ_COST_SAVINGS" hidden="1">"c227"</definedName>
    <definedName name="_TAX1">#REF!</definedName>
    <definedName name="IQ_LOANS_RECEIV_CURRENT" hidden="1">"c668"</definedName>
    <definedName name="IQ_COVERED_POPS" hidden="1">"c2124"</definedName>
    <definedName name="IQ_CP" hidden="1">"c2495"</definedName>
    <definedName name="IQ_CP_PCT" hidden="1">"c2496"</definedName>
    <definedName name="IQ_CREDIT_CARD_FEE_BNK" hidden="1">"c231"</definedName>
    <definedName name="___BFR1">#REF!</definedName>
    <definedName name="IQ_GROSS_LOANS_3YR_ANN_GROWTH" hidden="1">"c525"</definedName>
    <definedName name="RD">#REF!</definedName>
    <definedName name="IQ_CREDIT_CARD_FEE_FIN" hidden="1">"c1583"</definedName>
    <definedName name="___________________RD2">#REF!</definedName>
    <definedName name="IQ_CREDIT_LOSS_CF" hidden="1">"c232"</definedName>
    <definedName name="IQ_LT_INVEST_BR" hidden="1">"c698"</definedName>
    <definedName name="IQ_CUMULATIVE_SPLIT_FACTOR" hidden="1">"c2094"</definedName>
    <definedName name="IQ_DEF_TAX_ASSET_LT_FIN" hidden="1">"c305"</definedName>
    <definedName name="IQ_EPS_EST" hidden="1">"c399"</definedName>
    <definedName name="IQ_INTEREST_INC" hidden="1">"c1393"</definedName>
    <definedName name="IQ_CURR_FOREIGN_TAXES" hidden="1">"c2075"</definedName>
    <definedName name="IQ_ANNUITY_REV" hidden="1">"c31"</definedName>
    <definedName name="IQ_DEF_TAX_ASSET_LT_BR" hidden="1">"c304"</definedName>
    <definedName name="IQ_OTHER_FINANCE_ACT_REIT" hidden="1">"c898"</definedName>
    <definedName name="IQ_CURRENCY_GAIN_FIN" hidden="1">"c237"</definedName>
    <definedName name="Waehrungseinheit">#REF!</definedName>
    <definedName name="IQ_CL_DUE_CY1" hidden="1">"c169"</definedName>
    <definedName name="IQ_CURRENCY_GAIN_INS" hidden="1">"c238"</definedName>
    <definedName name="IQ_CURRENCY_GAIN_REIT" hidden="1">"c239"</definedName>
    <definedName name="IQ_CURRENT_PORT" hidden="1">"c241"</definedName>
    <definedName name="IQ_DO_CF" hidden="1">"c336"</definedName>
    <definedName name="IQ_CURRENT_PORT_BNK" hidden="1">"c242"</definedName>
    <definedName name="IQ_CURRENT_PORT_DEBT_BNK" hidden="1">"c244"</definedName>
    <definedName name="IQ_DA_CF" hidden="1">"c249"</definedName>
    <definedName name="IQ_CURRENT_PORT_DEBT_UTI" hidden="1">"c1571"</definedName>
    <definedName name="IQ_TR_OPTIONS_CONSID_PCT" hidden="1">"c2311"</definedName>
    <definedName name="IQ_CURRENT_PORT_LEASES" hidden="1">"c245"</definedName>
    <definedName name="IQ_FILINGDATE_CF" hidden="1">"c425"</definedName>
    <definedName name="IQ_LONG_TERM_INV" hidden="1">"c1389"</definedName>
    <definedName name="IQ_CURRENT_PORT_PCT" hidden="1">"c2541"</definedName>
    <definedName name="IQ_CURRENT_RATIO" hidden="1">"c246"</definedName>
    <definedName name="ed" hidden="1">{#N/A,#N/A,FALSE,"Report";#N/A,#N/A,FALSE,"Credit Debit Notes";#N/A,#N/A,FALSE,"Explanations";#N/A,#N/A,FALSE,"Summary";#N/A,#N/A,FALSE,"Budget";#N/A,#N/A,FALSE,"Actua"}</definedName>
    <definedName name="___________Prj7">#REF!</definedName>
    <definedName name="IQ_POST_RETIRE_EXP" hidden="1">"c1039"</definedName>
    <definedName name="IQ_PRICE_TARGET" hidden="1">"c82"</definedName>
    <definedName name="_________Prj3">#REF!</definedName>
    <definedName name="IQ_CY" hidden="1">10000</definedName>
    <definedName name="IQ_US_GAAP_TOTAL_UNUSUAL_ADJ" hidden="1">"c2956"</definedName>
    <definedName name="IQ_DA_CF_BNK" hidden="1">"c250"</definedName>
    <definedName name="IQ_SALE_REAL_ESTATE_CF_FIN" hidden="1">"c1146"</definedName>
    <definedName name="ttyutuyu?">'[10]Page 8'!$B$6:$R$26</definedName>
    <definedName name="IQ_CFO_2YR_ANN_GROWTH" hidden="1">"c128"</definedName>
    <definedName name="IQ_DA_CF_BR" hidden="1">"c251"</definedName>
    <definedName name="IQ_DEVELOP_LAND" hidden="1">"c323"</definedName>
    <definedName name="IQ_LT_DEBT" hidden="1">"c674"</definedName>
    <definedName name="____________________SE1">[2]Parametres!$D$35:$O$35</definedName>
    <definedName name="IQ_DA_CF_REIT" hidden="1">"c254"</definedName>
    <definedName name="IQ_DA_CF_UTI" hidden="1">"c255"</definedName>
    <definedName name="IQ_DEBT_ADJ" hidden="1">"c2515"</definedName>
    <definedName name="Oct_03">#REF!</definedName>
    <definedName name="IQ_DA_REIT" hidden="1">"c258"</definedName>
    <definedName name="IQ_DA_SUPPL_BR" hidden="1">"c260"</definedName>
    <definedName name="IQ_DA_SUPPL_CF" hidden="1">"c261"</definedName>
    <definedName name="AXEDOC1">#REF!</definedName>
    <definedName name="IQ_DA_SUPPL_CF_BNK" hidden="1">"c262"</definedName>
    <definedName name="IQ_DA_SUPPL_CF_BR" hidden="1">"c263"</definedName>
    <definedName name="valtM6">'[50]31.12.03'!$O$58</definedName>
    <definedName name="IQ_TR_TOTAL_REG_AMT" hidden="1">"c2261"</definedName>
    <definedName name="IQ_DA_SUPPL_CF_UTI" hidden="1">"c267"</definedName>
    <definedName name="IQ_DA_SUPPL_FIN" hidden="1">"c268"</definedName>
    <definedName name="IQ_DA_SUPPL_INS" hidden="1">"c269"</definedName>
    <definedName name="_____Prj7">#REF!</definedName>
    <definedName name="IQ_SPECIAL_DIV_CF" hidden="1">"c1169"</definedName>
    <definedName name="IQ_DA_SUPPL_UTI" hidden="1">"c271"</definedName>
    <definedName name="BASILE">'[7]Page 39'!$B$6:$M$27</definedName>
    <definedName name="___STD2">[2]Parametres!$D$13:$O$13</definedName>
    <definedName name="IQ_DA_UTI" hidden="1">"c272"</definedName>
    <definedName name="IQ_AIR_OPER_EXP_ASM" hidden="1">"c2820"</definedName>
    <definedName name="IQ_CHANGE_AP_UTI" hidden="1">"c139"</definedName>
    <definedName name="IQ_EBITDA_INT" hidden="1">"c373"</definedName>
    <definedName name="IQ_DATED_DATE" hidden="1">"c2185"</definedName>
    <definedName name="IQ_DAYS_PAY_OUTST" hidden="1">"c1362"</definedName>
    <definedName name="IQ_DAYS_SALES_OUT" hidden="1">"c275"</definedName>
    <definedName name="________MB3">#REF!</definedName>
    <definedName name="IQ_DEF_ACQ_CST" hidden="1">"c1364"</definedName>
    <definedName name="Prj4Apast">#REF!</definedName>
    <definedName name="IQ_DEF_AMORT" hidden="1">"c276"</definedName>
    <definedName name="IQ_DEF_AMORT_BR" hidden="1">"c278"</definedName>
    <definedName name="IQ_DEF_AMORT_REIT" hidden="1">"c281"</definedName>
    <definedName name="IQ_DEF_AMORT_UTI" hidden="1">"c282"</definedName>
    <definedName name="IQ_DEF_BENEFIT_INTEREST_COST_DOMESTIC" hidden="1">"c2652"</definedName>
    <definedName name="IQ_DEF_BENEFIT_OTHER_COST" hidden="1">"c284"</definedName>
    <definedName name="IQ_DEF_BENEFIT_OTHER_COST_DOMESTIC" hidden="1">"c2654"</definedName>
    <definedName name="IQ_TOTAL_DEBT_REPAID_REIT" hidden="1">"c1263"</definedName>
    <definedName name="IQ_DEF_BENEFIT_SERVICE_COST" hidden="1">"c286"</definedName>
    <definedName name="IQ_OG_EQUITY_DCF_OIL" hidden="1">"c2012"</definedName>
    <definedName name="kj_1">#N/A</definedName>
    <definedName name="IQ_DEF_BENEFIT_SERVICE_COST_DOMESTIC" hidden="1">"c2651"</definedName>
    <definedName name="IQ_SPECIAL_DIV_CF_BNK" hidden="1">"c1170"</definedName>
    <definedName name="IQ_NONRECOURSE_DEBT" hidden="1">"c2550"</definedName>
    <definedName name="IQ_DEF_BENEFIT_SERVICE_COST_FOREIGN" hidden="1">"c2659"</definedName>
    <definedName name="IQ_PROVISION_10YR_ANN_GROWTH" hidden="1">"c1077"</definedName>
    <definedName name="IQ_DEF_BENEFIT_TOTAL_COST" hidden="1">"c287"</definedName>
    <definedName name="SumBfRubrik">#REF!</definedName>
    <definedName name="_____________Prj10">#REF!</definedName>
    <definedName name="IQ_SALE_REAL_ESTATE_CF_BNK" hidden="1">"c1144"</definedName>
    <definedName name="IQ_DEF_CHARGES_LT" hidden="1">"c292"</definedName>
    <definedName name="IQ_DEF_CHARGES_LT_BNK" hidden="1">"c293"</definedName>
    <definedName name="LT500quaAcc">#REF!</definedName>
    <definedName name="_______________Prj14">#REF!</definedName>
    <definedName name="IQ_OTHER_INVEST_ACT_UTI" hidden="1">"c929"</definedName>
    <definedName name="IQ_OTHER_FINANCE_ACT_BR" hidden="1">"c895"</definedName>
    <definedName name="IQ_DEF_CHARGES_LT_BR" hidden="1">"c294"</definedName>
    <definedName name="______Prj5">#REF!</definedName>
    <definedName name="IQ_OG_TAXES" hidden="1">"c2026"</definedName>
    <definedName name="IQ_OG_EXT_DISC_NGL" hidden="1">"c2914"</definedName>
    <definedName name="IQ_DEF_CHARGES_LT_FIN" hidden="1">"c295"</definedName>
    <definedName name="IQ_INSIDER_OVER_TOTAL" hidden="1">"c1581"</definedName>
    <definedName name="IQ_DEF_CHARGES_LT_UTI" hidden="1">"c298"</definedName>
    <definedName name="IQ_SP_OUTLOOK_WATCH" hidden="1">"c2639"</definedName>
    <definedName name="IQ_DEF_CHARGES_REIT" hidden="1">"c299"</definedName>
    <definedName name="IQ_DEF_CONTRIBUTION_TOTAL_COST" hidden="1">"c300"</definedName>
    <definedName name="IQ_DEF_INC_TAX" hidden="1">"c1365"</definedName>
    <definedName name="IQ_NON_PERF_ASSETS_2YR_ANN_GROWTH" hidden="1">"c813"</definedName>
    <definedName name="frais_implant">#REF!</definedName>
    <definedName name="IQ_GP_5YR_ANN_GROWTH" hidden="1">"c516"</definedName>
    <definedName name="__________________STD2">[2]Parametres!$D$13:$O$13</definedName>
    <definedName name="IQ_DEF_TAX_ASSET_LT_REIT" hidden="1">"c307"</definedName>
    <definedName name="IQ_OG_TOTAL_OIL_PRODUCTION" hidden="1">"c2059"</definedName>
    <definedName name="IQ_AVG_DAILY_VOL" hidden="1">"c65"</definedName>
    <definedName name="IQ_DEF_TAX_ASSETS_CURRENT" hidden="1">"c309"</definedName>
    <definedName name="IQ_DEF_TAX_ASSETS_LT_BNK" hidden="1">"c311"</definedName>
    <definedName name="IQ_FILING_CURRENCY" hidden="1">"c2129"</definedName>
    <definedName name="IQ_OTHER_LIAB_INS" hidden="1">"c934"</definedName>
    <definedName name="IQ_DEF_TAX_LIAB_LT" hidden="1">"c313"</definedName>
    <definedName name="IQ_EQUITY_METHOD" hidden="1">"c404"</definedName>
    <definedName name="IQ_OFFER_DATE" hidden="1">"c2149"</definedName>
    <definedName name="IQ_DA_SUPPL_CF_REIT" hidden="1">"c266"</definedName>
    <definedName name="IQ_DEF_TAX_LIAB_LT_BR" hidden="1">"c315"</definedName>
    <definedName name="IQ_DEF_TAX_LIAB_LT_FIN" hidden="1">"c316"</definedName>
    <definedName name="IQ_DEF_TAX_LIAB_LT_REIT" hidden="1">"c318"</definedName>
    <definedName name="IQ_LFCF_2YR_ANN_GROWTH" hidden="1">"c1938"</definedName>
    <definedName name="IQ_DEF_TAX_LIAB_LT_UTI" hidden="1">"c319"</definedName>
    <definedName name="开发费new">#REF!</definedName>
    <definedName name="IQ_OG_EQUITY_DCF_GAS" hidden="1">"c2022"</definedName>
    <definedName name="IQ_DEFERRED_DOMESTIC_TAXES" hidden="1">"c2077"</definedName>
    <definedName name="zezeze" hidden="1">{#N/A,#N/A,FALSE,"Report";#N/A,#N/A,FALSE,"Credit Debit Notes";#N/A,#N/A,FALSE,"Explanations";#N/A,#N/A,FALSE,"Summary";#N/A,#N/A,FALSE,"Budget";#N/A,#N/A,FALSE,"Actua"}</definedName>
    <definedName name="IQ_DEMAND_DEP" hidden="1">"c320"</definedName>
    <definedName name="IQ_SP_FIN_STRENGTH_LC_ACTION_ST" hidden="1">"c2626"</definedName>
    <definedName name="IQ_EXERCISED" hidden="1">"c406"</definedName>
    <definedName name="IQ_TR_LOI_DATE" hidden="1">"c2282"</definedName>
    <definedName name="____________TAX2">#REF!</definedName>
    <definedName name="IQ_DEPRE_AMORT_SUPPL" hidden="1">"c1593"</definedName>
    <definedName name="IQ_DEPRE_SUPP" hidden="1">"c1443"</definedName>
    <definedName name="IQ_EBITA" hidden="1">"c1910"</definedName>
    <definedName name="_______Prj8">#REF!</definedName>
    <definedName name="IQ_DESCRIPTION_LONG" hidden="1">"c1520"</definedName>
    <definedName name="naze" hidden="1">{#N/A,#N/A,FALSE,"Key Performance Indicators";#N/A,#N/A,FALSE,"Glossary";#N/A,#N/A,FALSE,"Production Top 20";#N/A,#N/A,FALSE,"Non Prod. Top 20";#N/A,#N/A,FALSE,"MPI";#N/A,#N/A,FALSE,"GPI";#N/A,#N/A,FALSE,"Comments"}</definedName>
    <definedName name="IQ_CURRENT_PORT_DEBT_FIN" hidden="1">"c1568"</definedName>
    <definedName name="IQ_DILUT_EPS_INCL" hidden="1">"c325"</definedName>
    <definedName name="IQ_TR_BUY_LEG_ADVISORS" hidden="1">"c2387"</definedName>
    <definedName name="IQ_PREPAID_CHURN" hidden="1">"c2120"</definedName>
    <definedName name="IQ_DILUT_WEIGHT" hidden="1">"c326"</definedName>
    <definedName name="IQ_DIRECT_AH_EARNED" hidden="1">"c2740"</definedName>
    <definedName name="IQ_US_GAAP_INC_TAX_ADJ" hidden="1">"c2961"</definedName>
    <definedName name="IQ_DIRECT_EARNED" hidden="1">"c2730"</definedName>
    <definedName name="IQ_TR_TARGET_EARNING_CO" hidden="1">"c2332"</definedName>
    <definedName name="IQ_SAME_STORE_OWNED" hidden="1">"c2908"</definedName>
    <definedName name="asianschedule" hidden="1">{#N/A,#N/A,FALSE,"Sheet1";#N/A,#N/A,FALSE,"Sheet12";#N/A,#N/A,FALSE,"Sheet13";#N/A,#N/A,FALSE,"Sheet10";#N/A,#N/A,FALSE,"Sheet16";#N/A,#N/A,FALSE,"Sheet2";#N/A,#N/A,FALSE,"Sheet3";#N/A,#N/A,FALSE,"Sheet4";#N/A,#N/A,FALSE,"Sheet5";#N/A,#N/A,FALSE,"Sheet6";#N/A,#N/A,FALSE,"Sheet7";#N/A,#N/A,FALSE,"Sheet8"}</definedName>
    <definedName name="IQ_DA_CF_INS" hidden="1">"c253"</definedName>
    <definedName name="IQ_DIRECT_LIFE_EARNED" hidden="1">"c2735"</definedName>
    <definedName name="IQ_FY" hidden="1">1000</definedName>
    <definedName name="IQ_DIRECT_LIFE_IN_FORCE" hidden="1">"c2765"</definedName>
    <definedName name="IQ_DIRECT_WRITTEN" hidden="1">"c2724"</definedName>
    <definedName name="Dec_02">#REF!</definedName>
    <definedName name="IQ_OTHER_INVEST_ACT_SUPPL_FIN" hidden="1">"c925"</definedName>
    <definedName name="IQ_DISCONT_OPER" hidden="1">"c1367"</definedName>
    <definedName name="IQ_DISCOUNT_RATE_PENSION_FOREIGN" hidden="1">"c328"</definedName>
    <definedName name="IQ_DISTRIBUTABLE_CASH" hidden="1">"c3002"</definedName>
    <definedName name="IQ_OTHER_LT_ASSETS_FIN" hidden="1">"c949"</definedName>
    <definedName name="IQ_TR_TARGET_DILUT_EPS_EXCL" hidden="1">"c2324"</definedName>
    <definedName name="___________Prj9">#REF!</definedName>
    <definedName name="IQ_DIV_AMOUNT" hidden="1">"c3041"</definedName>
    <definedName name="nhgnn">#REF!</definedName>
    <definedName name="IQ_DIV_PAYMENT_DATE" hidden="1">"c2205"</definedName>
    <definedName name="Gamme">#REF!</definedName>
    <definedName name="IQ_AIR_OPER_REV_YIELD_ASM" hidden="1">"c2818"</definedName>
    <definedName name="IQ_EPS_5YR_ANN_GROWTH" hidden="1">"c397"</definedName>
    <definedName name="IQ_SHORT_TERM_INVEST" hidden="1">"c1425"</definedName>
    <definedName name="IQ_DIV_SHARE" hidden="1">"c330"</definedName>
    <definedName name="Prj5Acc">#REF!</definedName>
    <definedName name="IQ_DIVID_SHARE" hidden="1">"c1366"</definedName>
    <definedName name="IQ_DO" hidden="1">"c333"</definedName>
    <definedName name="IQ_REINSURANCE" hidden="1">"c1100"</definedName>
    <definedName name="IQ_DO_ASSETS_LT" hidden="1">"c335"</definedName>
    <definedName name="IQ_DA" hidden="1">"c247"</definedName>
    <definedName name="IQ_SP" hidden="1">"c2171"</definedName>
    <definedName name="IQ_TERM_LOANS_PCT" hidden="1">"c2500"</definedName>
    <definedName name="IQ_DPAC_ACC" hidden="1">"c2799"</definedName>
    <definedName name="SorterQS9Comp">[3]Feuil1!$K$19:$L$42</definedName>
    <definedName name="IQ_TR_ACQ_STOCKYEARLOW_1D" hidden="1">"c2344"</definedName>
    <definedName name="________________Prj15">#REF!</definedName>
    <definedName name="IQ_DPAC_COMMISSIONS" hidden="1">"c2792"</definedName>
    <definedName name="IQ_OG_TOTAL_COSTS" hidden="1">"c1980"</definedName>
    <definedName name="________________TAX2">#REF!</definedName>
    <definedName name="IQ_LT_DEBT_EQUITY" hidden="1">"c678"</definedName>
    <definedName name="IQ_OTHER_CL_SUPPL_UTI" hidden="1">"c883"</definedName>
    <definedName name="___________________Prj3">#REF!</definedName>
    <definedName name="IQ_DPAC_END" hidden="1">"c2801"</definedName>
    <definedName name="IQ_DPAC_OTHER_ADJ" hidden="1">"c2800"</definedName>
    <definedName name="_________Prj12">#REF!</definedName>
    <definedName name="IQ_NET_CLAIM_EXP_INCUR_PY" hidden="1">"c2762"</definedName>
    <definedName name="IQ_DPAC_OTHERS" hidden="1">"c2793"</definedName>
    <definedName name="IQ_AIR_ASK" hidden="1">"c2813"</definedName>
    <definedName name="IQ_INV_2YR_ANN_GROWTH" hidden="1">"c1926"</definedName>
    <definedName name="IQ_DPAC_REAL_GAIN" hidden="1">"c2797"</definedName>
    <definedName name="Mabase1">#REF!</definedName>
    <definedName name="________SE2">[2]Parametres!$D$36:$O$36</definedName>
    <definedName name="IQ_DPAC_UNREAL_GAIN" hidden="1">"c2796"</definedName>
    <definedName name="IQ_EXTRA_ACC_ITEMS_FIN" hidden="1">"c413"</definedName>
    <definedName name="______________Prj11">#REF!</definedName>
    <definedName name="IQ_DPS_10YR_ANN_GROWTH" hidden="1">"c337"</definedName>
    <definedName name="ergreg" hidden="1">{#N/A,#N/A,FALSE,"Key Performance Indicators";#N/A,#N/A,FALSE,"Glossary";#N/A,#N/A,FALSE,"Production Top 20";#N/A,#N/A,FALSE,"Non Prod. Top 20";#N/A,#N/A,FALSE,"MPI";#N/A,#N/A,FALSE,"GPI";#N/A,#N/A,FALSE,"Comments"}</definedName>
    <definedName name="FES" hidden="1">{#N/A,#N/A,FALSE,"Key Performance Indicators";#N/A,#N/A,FALSE,"Glossary";#N/A,#N/A,FALSE,"Production Top 20";#N/A,#N/A,FALSE,"Non Prod. Top 20";#N/A,#N/A,FALSE,"MPI";#N/A,#N/A,FALSE,"GPI";#N/A,#N/A,FALSE,"Comments"}</definedName>
    <definedName name="IQ_DPS_1YR_ANN_GROWTH" hidden="1">"c338"</definedName>
    <definedName name="IQ_OG_LIQUID_GAS_PRICE_HEDGED" hidden="1">"c2233"</definedName>
    <definedName name="_________MB1">#REF!</definedName>
    <definedName name="IQ_DPS_2YR_ANN_GROWTH" hidden="1">"c339"</definedName>
    <definedName name="IQ_DPS_3YR_ANN_GROWTH" hidden="1">"c340"</definedName>
    <definedName name="IQ_DPS_5YR_ANN_GROWTH" hidden="1">"c341"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ST_DEBT_ISSUED_FIN" hidden="1">"c1184"</definedName>
    <definedName name="Zprint4S">#REF!</definedName>
    <definedName name="OPRES2">#REF!</definedName>
    <definedName name="________Prj15">#REF!</definedName>
    <definedName name="IQ_TOTAL_ASSETS" hidden="1">"c1234"</definedName>
    <definedName name="IQ_EARNING_CO_2YR_ANN_GROWTH" hidden="1">"c347"</definedName>
    <definedName name="IQ_EARNING_CO_5YR_ANN_GROWTH" hidden="1">"c349"</definedName>
    <definedName name="IQ_EARNING_CO_MARGIN" hidden="1">"c351"</definedName>
    <definedName name="IQ_EBIT_10YR_ANN_GROWTH" hidden="1">"c353"</definedName>
    <definedName name="IQ_EBIT_3YR_ANN_GROWTH" hidden="1">"c356"</definedName>
    <definedName name="IQ_INS_DIV_REV" hidden="1">"c565"</definedName>
    <definedName name="IQ_EBIT_7YR_ANN_GROWTH" hidden="1">"c358"</definedName>
    <definedName name="IQ_OTHER_REAL_ESTATE" hidden="1">"c1007"</definedName>
    <definedName name="IQ_EBIT_INT" hidden="1">"c360"</definedName>
    <definedName name="IQ_EBITA_5YR_ANN_GROWTH" hidden="1">"c1952"</definedName>
    <definedName name="IQ_EBITDA_1YR_ANN_GROWTH" hidden="1">"c363"</definedName>
    <definedName name="IQ_AE_BNK" hidden="1">"c9"</definedName>
    <definedName name="IQ_EBITDA_3YR_ANN_GROWTH" hidden="1">"c365"</definedName>
    <definedName name="IQ_SGA" hidden="1">"c1158"</definedName>
    <definedName name="IQ_EQV_OVER_BV" hidden="1">"c1596"</definedName>
    <definedName name="IQ_DAY_COUNT" hidden="1">"c2161"</definedName>
    <definedName name="IQ_EBITDA_5YR_ANN_GROWTH" hidden="1">"c366"</definedName>
    <definedName name="ESPG_Comments">'[8]FI-2D10 MAG ESPG'!$R$76:$U$184</definedName>
    <definedName name="IQ_EBITDA_7YR_ANN_GROWTH" hidden="1">"c367"</definedName>
    <definedName name="IQ_EBITDA_CAPEX_OVER_TOTAL_IE" hidden="1">"c1370"</definedName>
    <definedName name="IQ_EBITDA_MARGIN" hidden="1">"c372"</definedName>
    <definedName name="IQ_EXTRA_ACC_ITEMS_BR" hidden="1">"c412"</definedName>
    <definedName name="fghjklm" hidden="1">{#N/A,#N/A,FALSE,"Report";#N/A,#N/A,FALSE,"Credit Debit Notes";#N/A,#N/A,FALSE,"Explanations";#N/A,#N/A,FALSE,"Summary"}</definedName>
    <definedName name="IQ_OTHER_ASSETS_SERV_RIGHTS" hidden="1">"c2243"</definedName>
    <definedName name="IQ_EBITDAR" hidden="1">"c2989"</definedName>
    <definedName name="IQ_NI_NORM_7YR_ANN_GROWTH" hidden="1">"c1959"</definedName>
    <definedName name="IQ_OTHER_UNUSUAL_SUPPL_FIN" hidden="1">"c1497"</definedName>
    <definedName name="IQ_EBT_BR" hidden="1">"c378"</definedName>
    <definedName name="IQ_OTHER_NON_OPER_EXP_UTI" hidden="1">"c967"</definedName>
    <definedName name="IQ_EBT_EXCL" hidden="1">"c379"</definedName>
    <definedName name="IQ_EBT_EXCL_BR" hidden="1">"c381"</definedName>
    <definedName name="IQ_TR_TARGET_RETURN" hidden="1">"c2355"</definedName>
    <definedName name="IQ_EBT_EXCL_MARGIN" hidden="1">"c1462"</definedName>
    <definedName name="_______________MB2">#REF!</definedName>
    <definedName name="IQ_SGA_INS" hidden="1">"c1160"</definedName>
    <definedName name="IQ_EBT_EXCL_REIT" hidden="1">"c384"</definedName>
    <definedName name="US">#REF!</definedName>
    <definedName name="IQ_EFFECT_SPECIAL_CHARGE" hidden="1">"c1595"</definedName>
    <definedName name="IQ_EFFECT_TAX_RATE" hidden="1">"c1899"</definedName>
    <definedName name="________________MB1">#REF!</definedName>
    <definedName name="IQ_STOCK_BASED_OTHER" hidden="1">"c2995"</definedName>
    <definedName name="IQ_EMPLOYEES" hidden="1">"c392"</definedName>
    <definedName name="IQ_DEF_BENEFIT_ROA_FOREIGN" hidden="1">"c2661"</definedName>
    <definedName name="______BFR2">#REF!</definedName>
    <definedName name="IQ_SPECIAL_DIV_CF_INS" hidden="1">"c1173"</definedName>
    <definedName name="IQ_ENTERPRISE_VALUE" hidden="1">"c1348"</definedName>
    <definedName name="IQ_EPS_1YR_ANN_GROWTH" hidden="1">"c394"</definedName>
    <definedName name="______Prj15">#REF!</definedName>
    <definedName name="IQ_EPS_2YR_ANN_GROWTH" hidden="1">"c395"</definedName>
    <definedName name="IQ_EPS_3YR_ANN_GROWTH" hidden="1">"c396"</definedName>
    <definedName name="IQ_OG_EXT_DISC_OIL" hidden="1">"c2031"</definedName>
    <definedName name="IQ_EPS_7YR_ANN_GROWTH" hidden="1">"c398"</definedName>
    <definedName name="IQ_EPS_HIGH_EST" hidden="1">"c400"</definedName>
    <definedName name="IQ_AIR_UTILIZATION" hidden="1">"c2827"</definedName>
    <definedName name="IQ_EPS_LOW_EST" hidden="1">"c401"</definedName>
    <definedName name="IQ_EPS_MEDIAN_EST" hidden="1">"c1661"</definedName>
    <definedName name="IQ_TOTAL_DEBT_REPAID_BR" hidden="1">"c1260"</definedName>
    <definedName name="IQ_EPS_NORM" hidden="1">"c1902"</definedName>
    <definedName name="IQ_EBITA_2YR_ANN_GROWTH" hidden="1">"c1950"</definedName>
    <definedName name="IQ_STRIKE_PRICE_OS" hidden="1">"c1646"</definedName>
    <definedName name="IQ_EPS_NUM_EST" hidden="1">"c402"</definedName>
    <definedName name="Prj13A">#REF!</definedName>
    <definedName name="IQ_LT_DEBT_REPAID_REIT" hidden="1">"c694"</definedName>
    <definedName name="IQ_OPER_INC_INS" hidden="1">"c852"</definedName>
    <definedName name="IQ_TEMPLATE" hidden="1">"c1521"</definedName>
    <definedName name="IQ_EQUITY_AFFIL" hidden="1">"c1451"</definedName>
    <definedName name="IQ_INT_INV_INC" hidden="1">"c600"</definedName>
    <definedName name="IQ_EST_CURRENCY" hidden="1">"c2140"</definedName>
    <definedName name="__________SE1">[2]Parametres!$D$35:$O$35</definedName>
    <definedName name="IQ_EST_DATE" hidden="1">"c1634"</definedName>
    <definedName name="________________MB2">#REF!</definedName>
    <definedName name="IQ_NON_INT_INC_7YR_ANN_GROWTH" hidden="1">"c808"</definedName>
    <definedName name="IQ_EST_EPS_GROWTH_5YR" hidden="1">"c1655"</definedName>
    <definedName name="IQ_EV_OVER_EMPLOYEE" hidden="1">"c1428"</definedName>
    <definedName name="IQ_EV_OVER_LTM_EBIT" hidden="1">"c1426"</definedName>
    <definedName name="IQ_EV_OVER_LTM_REVENUE" hidden="1">"c1429"</definedName>
    <definedName name="IQ_EVAL_DATE" hidden="1">"c2180"</definedName>
    <definedName name="______________Prj14">#REF!</definedName>
    <definedName name="IQ_OG_NET_FUTURE_CASH_FLOWS" hidden="1">"c1996"</definedName>
    <definedName name="PPP">#REF!</definedName>
    <definedName name="IQ_CHANGE_OTHER_WORK_CAP" hidden="1">"c152"</definedName>
    <definedName name="IQ_EXCHANGE" hidden="1">"c405"</definedName>
    <definedName name="Sep_02">#REF!</definedName>
    <definedName name="IQ_NI_SFAS" hidden="1">"c795"</definedName>
    <definedName name="__All2002">#REF!</definedName>
    <definedName name="IQ_EXP_RETURN_PENSION_FOREIGN" hidden="1">"c408"</definedName>
    <definedName name="IQ_US_GAAP_CASH_FINAN" hidden="1">"c2945"</definedName>
    <definedName name="IQ_EXTRA_ACC_ITEMS_REIT" hidden="1">"c415"</definedName>
    <definedName name="MOIS2">#REF!</definedName>
    <definedName name="IQ_EXTRA_ACC_ITEMS_UTI" hidden="1">"c416"</definedName>
    <definedName name="IQ_EXTRA_ITEMS" hidden="1">"c1459"</definedName>
    <definedName name="IQ_FHLB_DUE_CY3" hidden="1">"c2083"</definedName>
    <definedName name="statut">[21]Donnees!$AO$4</definedName>
    <definedName name="IQ_TOTAL_DEBT_ISSUED_REIT" hidden="1">"c1255"</definedName>
    <definedName name="IQ_FHLB_DUE_CY4" hidden="1">"c2084"</definedName>
    <definedName name="IQ_FILINGDATE_BS" hidden="1">"c424"</definedName>
    <definedName name="Prj4A">#REF!</definedName>
    <definedName name="IQ_FIN_DIV_ASSETS_CURRENT" hidden="1">"c427"</definedName>
    <definedName name="_____Prj4">#REF!</definedName>
    <definedName name="IQ_OTHER_NON_OPER_EXP_SUPPL_INS" hidden="1">"c964"</definedName>
    <definedName name="IQ_OG_GAS_PRICE_UNHEDGED" hidden="1">"c2058"</definedName>
    <definedName name="IQ_PERIODLENGTH_CF" hidden="1">"c1502"</definedName>
    <definedName name="IQ_COMMON_REP_REIT" hidden="1">"c211"</definedName>
    <definedName name="INVEST2">#REF!</definedName>
    <definedName name="IQ_FIN_DIV_LIAB_CURRENT" hidden="1">"c433"</definedName>
    <definedName name="Zprint10">#REF!</definedName>
    <definedName name="IQ_FIN_DIV_REV" hidden="1">"c437"</definedName>
    <definedName name="IQ_NEXT_SINK_FUND_AMOUNT" hidden="1">"c2490"</definedName>
    <definedName name="IQ_FINISHED_INV" hidden="1">"c438"</definedName>
    <definedName name="IQ_ASSET_WRITEDOWN_FIN" hidden="1">"c58"</definedName>
    <definedName name="IQ_FIRST_INT_DATE" hidden="1">"c2186"</definedName>
    <definedName name="IQ_FIRST_YEAR_LIFE_PREM" hidden="1">"c2787"</definedName>
    <definedName name="IQ_TR_TARGET_CLOSEPRICE_1D" hidden="1">"c2352"</definedName>
    <definedName name="IQ_MERGER_BNK" hidden="1">"c714"</definedName>
    <definedName name="IQ_FISCAL_Q" hidden="1">"c440"</definedName>
    <definedName name="IQ_FISCAL_Y" hidden="1">"c441"</definedName>
    <definedName name="IQ_TR_TARGET_FIN_ADVISORS" hidden="1">"c3044"</definedName>
    <definedName name="IQ_SECURED_DEBT" hidden="1">"c2546"</definedName>
    <definedName name="IQ_FIVE_PERCENT_OWNER" hidden="1">"c442"</definedName>
    <definedName name="IQ_FOREIGN_EXCHANGE" hidden="1">"c1376"</definedName>
    <definedName name="IQ_FOREIGN_LOANS" hidden="1">"c448"</definedName>
    <definedName name="________________eat1" hidden="1">{#N/A,#N/A,FALSE,"Report";#N/A,#N/A,FALSE,"Credit Debit Notes";#N/A,#N/A,FALSE,"Explanations";#N/A,#N/A,FALSE,"Summary"}</definedName>
    <definedName name="IQ_OTHER_INVEST_ACT_SUPPL_INS" hidden="1">"c926"</definedName>
    <definedName name="IQ_FWD_FY" hidden="1">1001</definedName>
    <definedName name="ctrl_donnees_bg">#REF!</definedName>
    <definedName name="IQ_FWD_FY1" hidden="1">1002</definedName>
    <definedName name="IQ_FWD_FY2" hidden="1">1003</definedName>
    <definedName name="Zprint22">#REF!</definedName>
    <definedName name="IQ_SUB_DEBT_EBITDA" hidden="1">"c2558"</definedName>
    <definedName name="IQ_RETAIL_AVG_WK_SALES" hidden="1">"c2891"</definedName>
    <definedName name="IQ_FWD_Q" hidden="1">501</definedName>
    <definedName name="IQ_TR_SEC_FEES" hidden="1">"c2274"</definedName>
    <definedName name="IQ_FWD_Q1" hidden="1">502</definedName>
    <definedName name="IQ_FWD_Q2" hidden="1">503</definedName>
    <definedName name="IQ_FX" hidden="1">"c451"</definedName>
    <definedName name="IQ_GA_EXP" hidden="1">"c2241"</definedName>
    <definedName name="IQ_TEV_EBIT" hidden="1">"c1220"</definedName>
    <definedName name="MonthS1">[2]Parametres!$D$2:$I$2</definedName>
    <definedName name="IQ_GAIN_ASSETS" hidden="1">"c452"</definedName>
    <definedName name="IQ_TOTAL_ASSETS_3YR_ANN_GROWTH" hidden="1">"c1238"</definedName>
    <definedName name="IQ_GAIN_ASSETS_BR" hidden="1">"c454"</definedName>
    <definedName name="IQ_GAIN_ASSETS_CF" hidden="1">"c455"</definedName>
    <definedName name="IQ_GAIN_ASSETS_CF_BR" hidden="1">"c457"</definedName>
    <definedName name="Table_prix">#REF!</definedName>
    <definedName name="IQ_GAIN_ASSETS_CF_INS" hidden="1">"c459"</definedName>
    <definedName name="IQ_ASSETS_OPER_LEASE_DEPR" hidden="1">"c2070"</definedName>
    <definedName name="IQ_GAIN_ASSETS_CF_REIT" hidden="1">"c460"</definedName>
    <definedName name="IQ_GAIN_ASSETS_CF_UTI" hidden="1">"c461"</definedName>
    <definedName name="IQ_GAIN_ASSETS_REIT" hidden="1">"c471"</definedName>
    <definedName name="IQ_GAIN_ASSETS_REV_REIT" hidden="1">"c477"</definedName>
    <definedName name="___________Prj12">#REF!</definedName>
    <definedName name="IQ_GAIN_INVEST" hidden="1">"c1463"</definedName>
    <definedName name="IQ_ANNUITY_REC" hidden="1">"c30"</definedName>
    <definedName name="_________Prj11">#REF!</definedName>
    <definedName name="IQ_NPPE_10YR_ANN_GROWTH" hidden="1">"c830"</definedName>
    <definedName name="IQ_TOTAL_WARRANTS_BEG_OS" hidden="1">"c2719"</definedName>
    <definedName name="IQ_GAIN_INVEST_BNK" hidden="1">"c1582"</definedName>
    <definedName name="IQ_GAIN_INVEST_BR" hidden="1">"c1464"</definedName>
    <definedName name="IQ_GAIN_INVEST_CF_BNK" hidden="1">"c481"</definedName>
    <definedName name="IQ_MINORITY_INTEREST_BR" hidden="1">"c729"</definedName>
    <definedName name="IQ_GAIN_ASSETS_CF_BNK" hidden="1">"c456"</definedName>
    <definedName name="IQ_OTHER_NON_OPER_EXP_SUPPL_FIN" hidden="1">"c963"</definedName>
    <definedName name="IQ_GAIN_INVEST_CF_FIN" hidden="1">"c483"</definedName>
    <definedName name="IQ_GAIN_INVEST_CF_INS" hidden="1">"c484"</definedName>
    <definedName name="IQ_NON_INS_EXP" hidden="1">"c798"</definedName>
    <definedName name="IQ_ST_DEBT_REPAID_INS" hidden="1">"c1193"</definedName>
    <definedName name="IQ_GAIN_INVEST_CF_UTI" hidden="1">"c486"</definedName>
    <definedName name="Aug_01">#REF!</definedName>
    <definedName name="IQ_ISSUER_PARENT" hidden="1">"c2144"</definedName>
    <definedName name="IQ_GAIN_INVEST_INS" hidden="1">"c1466"</definedName>
    <definedName name="_____________Prj7">#REF!</definedName>
    <definedName name="IQ_GAIN_INVEST_REIT" hidden="1">"c1467"</definedName>
    <definedName name="IQ_HIGHPRICE" hidden="1">"c545"</definedName>
    <definedName name="IQ_AVG_VOLUME" hidden="1">"c1346"</definedName>
    <definedName name="IQ_GAIN_INVEST_REV" hidden="1">"c494"</definedName>
    <definedName name="FLUX">#REF!</definedName>
    <definedName name="IQ_FIVEPERCENT_PERCENT" hidden="1">"c443"</definedName>
    <definedName name="IQ_GAIN_INVEST_REV_BNK" hidden="1">"c495"</definedName>
    <definedName name="IQ_SEPARATE_ACCT_LIAB" hidden="1">"c1156"</definedName>
    <definedName name="IQ_GAIN_INVEST_REV_FIN" hidden="1">"c497"</definedName>
    <definedName name="IQ_GAIN_INVEST_REV_INS" hidden="1">"c498"</definedName>
    <definedName name="IQ_GAIN_LOANS_REC" hidden="1">"c501"</definedName>
    <definedName name="IQ_PREMIUMS_ANNUITY_REV" hidden="1">"c1067"</definedName>
    <definedName name="____AMB2">#REF!</definedName>
    <definedName name="IQ_GAIN_LOANS_RECEIV_REV_FIN" hidden="1">"c503"</definedName>
    <definedName name="IQ_GAIN_LOANS_REV" hidden="1">"c504"</definedName>
    <definedName name="llllllll" hidden="1">{#N/A,#N/A,FALSE,"Report";#N/A,#N/A,FALSE,"Credit Debit Notes";#N/A,#N/A,FALSE,"Explanations";#N/A,#N/A,FALSE,"Summary";#N/A,#N/A,FALSE,"Budget";#N/A,#N/A,FALSE,"Actua"}</definedName>
    <definedName name="____________CRA2">#REF!</definedName>
    <definedName name="IQ_GAIN_SALE_ASSETS" hidden="1">"c1377"</definedName>
    <definedName name="IQ_GOODWILL_NET" hidden="1">"c1380"</definedName>
    <definedName name="IQ_NON_INT_INC_2YR_ANN_GROWTH" hidden="1">"c805"</definedName>
    <definedName name="IQ_LT_DEBT_BNK" hidden="1">"c675"</definedName>
    <definedName name="IQ_GP_10YR_ANN_GROWTH" hidden="1">"c512"</definedName>
    <definedName name="IQ_GP_1YR_ANN_GROWTH" hidden="1">"c513"</definedName>
    <definedName name="IQ_GP_7YR_ANN_GROWTH" hidden="1">"c517"</definedName>
    <definedName name="IQ_GROSS_AH_EARNED" hidden="1">"c2742"</definedName>
    <definedName name="Prj7A">#REF!</definedName>
    <definedName name="IQ_TR_ACQ_NI" hidden="1">"c2378"</definedName>
    <definedName name="IQ_MINORITY_INTEREST_INS" hidden="1">"c732"</definedName>
    <definedName name="IQ_OTHER_ASSETS_INS" hidden="1">"c864"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OANS" hidden="1">"c521"</definedName>
    <definedName name="_______________Prj8">#REF!</definedName>
    <definedName name="IQ_GROSS_LOANS_1YR_ANN_GROWTH" hidden="1">"c523"</definedName>
    <definedName name="SUC">[45]STANDVAR_b3CTY!$D$1:$K$59</definedName>
    <definedName name="IQ_GROSS_LOANS_5YR_ANN_GROWTH" hidden="1">"c526"</definedName>
    <definedName name="IQ_GROSS_LOANS_TOTAL_DEPOSITS" hidden="1">"c528"</definedName>
    <definedName name="IQ_FULL_TIME" hidden="1">"c450"</definedName>
    <definedName name="IQ_GROSS_PC_EARNED" hidden="1">"c2747"</definedName>
    <definedName name="IQ_OTHER_WARRANTS_ISSUED" hidden="1">"c2713"</definedName>
    <definedName name="prev_11">[21]Donnees!$BG$4</definedName>
    <definedName name="IQ_PRICE_OVER_BVPS" hidden="1">"c1412"</definedName>
    <definedName name="IQ_RATE_COMP_GROWTH_DOMESTIC" hidden="1">"c1087"</definedName>
    <definedName name="IQ_OG_STANDARDIZED_DCF" hidden="1">"c2000"</definedName>
    <definedName name="IQ_GROSS_PROFIT" hidden="1">"c1378"</definedName>
    <definedName name="IQ_GROSS_SPRD" hidden="1">"c2155"</definedName>
    <definedName name="RECEIV">#REF!</definedName>
    <definedName name="IQ_TR_SECURITY_TYPE_REG" hidden="1">"c2279"</definedName>
    <definedName name="IQ_GW_AMORT_FIN" hidden="1">"c540"</definedName>
    <definedName name="________CRA1">#REF!</definedName>
    <definedName name="IQ_SR_BONDS_NOTES" hidden="1">"c2501"</definedName>
    <definedName name="___________________Prj4">#REF!</definedName>
    <definedName name="IQ_GW_AMORT_INS" hidden="1">"c541"</definedName>
    <definedName name="IQ_GW_INTAN_AMORT" hidden="1">"c1469"</definedName>
    <definedName name="IQ_OTHER_OUTSTANDING_FILING_DATE" hidden="1">"c1974"</definedName>
    <definedName name="IQ_NON_PERFORMING_ASSETS" hidden="1">"c826"</definedName>
    <definedName name="IQ_INS_SETTLE_UTI" hidden="1">"c576"</definedName>
    <definedName name="IQ_GW_INTAN_AMORT_CF" hidden="1">"c1471"</definedName>
    <definedName name="IQ_GW_INTAN_AMORT_CF_BR" hidden="1">"c1473"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PREF_DIV_OTHER" hidden="1">"c1043"</definedName>
    <definedName name="IQ_COMMON_REP_INS" hidden="1">"c210"</definedName>
    <definedName name="IQ_GW_INTAN_AMORT_REIT" hidden="1">"c1480"</definedName>
    <definedName name="IQ_HOMEOWNERS_WRITTEN" hidden="1">"c546"</definedName>
    <definedName name="IQ_OG_TOTAL_LIQUID_GAS_PRODUCTION" hidden="1">"c2235"</definedName>
    <definedName name="____________________Prj1">#REF!</definedName>
    <definedName name="IQ_STRIKE_PRICE_ISSUED" hidden="1">"c1645"</definedName>
    <definedName name="_____________TAX3">#REF!</definedName>
    <definedName name="IQ_RETAIL_SQ_FOOTAGE" hidden="1">"c2064"</definedName>
    <definedName name="IQ_TENANT" hidden="1">"c1218"</definedName>
    <definedName name="IQ_IMPAIR_OIL" hidden="1">"c547"</definedName>
    <definedName name="IQ_IMPAIRMENT_GW" hidden="1">"c548"</definedName>
    <definedName name="IQ_OG_ACQ_COST_PROVED" hidden="1">"c1975"</definedName>
    <definedName name="IQ_IMPUT_OPER_LEASE_INT_EXP" hidden="1">"c2986"</definedName>
    <definedName name="Scenic">#REF!</definedName>
    <definedName name="IQ_POISON_PUT_EXPIRATION_DATE" hidden="1">"c2487"</definedName>
    <definedName name="cout_h_os">#REF!</definedName>
    <definedName name="IQ_INC_AFTER_TAX" hidden="1">"c1598"</definedName>
    <definedName name="IQ_INC_AVAIL_INCL" hidden="1">"c1396"</definedName>
    <definedName name="IQ_INC_BEFORE_TAX" hidden="1">"c1375"</definedName>
    <definedName name="UFPrn20050901113738">#REF!</definedName>
    <definedName name="IQ_OG_DEVELOPED_RESERVES_OIL" hidden="1">"c2054"</definedName>
    <definedName name="IQ_INC_EQUITY" hidden="1">"c549"</definedName>
    <definedName name="______________Prj15">#REF!</definedName>
    <definedName name="IQ_CURRENCY_GAIN" hidden="1">"c235"</definedName>
    <definedName name="IQ_INC_EQUITY_CF" hidden="1">"c551"</definedName>
    <definedName name="IQ_INC_EQUITY_REC_BNK" hidden="1">"c554"</definedName>
    <definedName name="IQ_INC_EQUITY_REIT" hidden="1">"c555"</definedName>
    <definedName name="IQ_OFFER_COUPON_TYPE" hidden="1">"c2148"</definedName>
    <definedName name="IQ_OTHER_UNUSUAL_SUPPL_BR" hidden="1">"c1496"</definedName>
    <definedName name="IQ_INC_EQUITY_REV_BNK" hidden="1">"c556"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NI_CF" hidden="1">"c793"</definedName>
    <definedName name="_____________Prj12">#REF!</definedName>
    <definedName name="IQ_INC_TAX_PAY_CURRENT" hidden="1">"c561"</definedName>
    <definedName name="IQ_INS_ANNUITY_LIAB" hidden="1">"c563"</definedName>
    <definedName name="IQ_INS_ANNUITY_REV" hidden="1">"c2788"</definedName>
    <definedName name="IQ_LEGAL_SETTLE_UTI" hidden="1">"c653"</definedName>
    <definedName name="prev_12">[21]Donnees!$BH$4</definedName>
    <definedName name="IQ_INS_POLICY_EXP" hidden="1">"c568"</definedName>
    <definedName name="IQ_OTHER_INTAN_FIN" hidden="1">"c910"</definedName>
    <definedName name="objectif">[21]Donnees!$I$4</definedName>
    <definedName name="_____________CRA1">#REF!</definedName>
    <definedName name="IQ_INS_LIAB" hidden="1">"c567"</definedName>
    <definedName name="IQ_INS_SETTLE_BNK" hidden="1">"c571"</definedName>
    <definedName name="IQ_INS_SETTLE_FIN" hidden="1">"c573"</definedName>
    <definedName name="IQ_OTHER_INVEST_ACT_SUPPL_UTI" hidden="1">"c928"</definedName>
    <definedName name="ppppppp" hidden="1">{#N/A,#N/A,FALSE,"Report";#N/A,#N/A,FALSE,"Credit Debit Notes";#N/A,#N/A,FALSE,"Explanations";#N/A,#N/A,FALSE,"Summary";#N/A,#N/A,FALSE,"Budget";#N/A,#N/A,FALSE,"Actua"}</definedName>
    <definedName name="IQ_INS_SETTLE_INS" hidden="1">"c574"</definedName>
    <definedName name="IQ_TR_PREDEAL_SITUATION" hidden="1">"c2390"</definedName>
    <definedName name="IQ_INS_SETTLE_REIT" hidden="1">"c575"</definedName>
    <definedName name="IQ_RESTRUCTURE_REIT" hidden="1">"c1110"</definedName>
    <definedName name="plants">#REF!</definedName>
    <definedName name="IQ_INSIDER_3MTH_NET_PCT" hidden="1">"c1535"</definedName>
    <definedName name="Zprint30">'[51]Page 30'!$B$6:$R$27</definedName>
    <definedName name="___Prj14">#REF!</definedName>
    <definedName name="IQ_INT_EXP_COVERAGE" hidden="1">"c587"</definedName>
    <definedName name="STANDVAR">#REF!</definedName>
    <definedName name="dff" hidden="1">{#N/A,#N/A,FALSE,"Report";#N/A,#N/A,FALSE,"Credit Debit Notes";#N/A,#N/A,FALSE,"Explanations";#N/A,#N/A,FALSE,"Summary";#N/A,#N/A,FALSE,"Budget";#N/A,#N/A,FALSE,"Actua"}</definedName>
    <definedName name="ENDETTEM">#REF!</definedName>
    <definedName name="IQ_INT_INC_UTI" hidden="1">"c599"</definedName>
    <definedName name="IQ_INSIDER_3MTH_SOLD_PCT" hidden="1">"c1533"</definedName>
    <definedName name="IQ_INSIDER_6MTH_NET_PCT" hidden="1">"c1538"</definedName>
    <definedName name="CAACT3">#REF!</definedName>
    <definedName name="IQ_STOCK_BASED_CF" hidden="1">"c1203"</definedName>
    <definedName name="IQ_INSTITUTIONAL_OWNER" hidden="1">"c580"</definedName>
    <definedName name="IQ_INSTITUTIONAL_PERCENT" hidden="1">"c581"</definedName>
    <definedName name="IQ_INT_EXP_BR" hidden="1">"c586"</definedName>
    <definedName name="_______Prj5">#REF!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_1829256000">#REF!</definedName>
    <definedName name="IQ_OTHER_LIAB_WRITTEN" hidden="1">"c944"</definedName>
    <definedName name="IQ_PROPERTY_NET" hidden="1">"c1402"</definedName>
    <definedName name="IQ_AIR_AIRPLANES_NOT_IN_SERVICE" hidden="1">"c2842"</definedName>
    <definedName name="IQ_INT_EXP_TOTAL" hidden="1">"c591"</definedName>
    <definedName name="___________CRA2">#REF!</definedName>
    <definedName name="IQ_INT_INC_BR" hidden="1">"c593"</definedName>
    <definedName name="_FES1" hidden="1">{#N/A,#N/A,FALSE,"Report";#N/A,#N/A,FALSE,"Credit Debit Notes";#N/A,#N/A,FALSE,"Explanations";#N/A,#N/A,FALSE,"Summary"}</definedName>
    <definedName name="IQ_LT_DEBT_REPAID_INS" hidden="1">"c693"</definedName>
    <definedName name="IQ_INT_INC_FIN" hidden="1">"c594"</definedName>
    <definedName name="IQ_INT_INC_INVEST" hidden="1">"c595"</definedName>
    <definedName name="IQ_INT_INC_TOTAL" hidden="1">"c598"</definedName>
    <definedName name="IQ_OTHER_REV_SUPPL_REIT" hidden="1">"c1019"</definedName>
    <definedName name="IQ_INT_INC_LOANS" hidden="1">"c596"</definedName>
    <definedName name="IQ_TR_TOTAL_TAKEDOWNS" hidden="1">"c2278"</definedName>
    <definedName name="IQ_INT_INC_REIT" hidden="1">"c597"</definedName>
    <definedName name="IQ_INT_INV_INC_REIT" hidden="1">"c601"</definedName>
    <definedName name="IQ_LT_INVEST_FIN" hidden="1">"c699"</definedName>
    <definedName name="IQ_LT_DEBT_ISSUED" hidden="1">"c681"</definedName>
    <definedName name="IQ_OTHER_UNUSUAL_SUPPL_BNK" hidden="1">"c1495"</definedName>
    <definedName name="_______________Per1">#REF!</definedName>
    <definedName name="IQ_SP_LC_ST" hidden="1">"c2622"</definedName>
    <definedName name="IQ_CLASSA_OPTIONS_STRIKE_PRICE_OS" hidden="1">"c2684"</definedName>
    <definedName name="IQ_INT_RATE_SPREAD" hidden="1">"c604"</definedName>
    <definedName name="IQ_NET_INT_INC_10YR_ANN_GROWTH" hidden="1">"c758"</definedName>
    <definedName name="kl_1">#N/A</definedName>
    <definedName name="IQ_INTEREST_CASH_DEPOSITS" hidden="1">"c2255"</definedName>
    <definedName name="IQ_INTEREST_EXP_NET" hidden="1">"c1450"</definedName>
    <definedName name="IQ_INTEREST_INVEST_INC" hidden="1">"c619"</definedName>
    <definedName name="IQ_INV_1YR_ANN_GROWTH" hidden="1">"c1925"</definedName>
    <definedName name="IQ_INV_3YR_ANN_GROWTH" hidden="1">"c1927"</definedName>
    <definedName name="IQ_PRO_FORMA_NET_INC" hidden="1">"c1452"</definedName>
    <definedName name="IQ_INVENTORY_TURNS" hidden="1">"c623"</definedName>
    <definedName name="mois_fin_prev">[21]Donnees!$AG$4</definedName>
    <definedName name="IQ_TBV_SHARE" hidden="1">"c1217"</definedName>
    <definedName name="IQ_INVENTORY_UTI" hidden="1">"c624"</definedName>
    <definedName name="IQ_INVEST_DEBT" hidden="1">"c625"</definedName>
    <definedName name="IQ_INVEST_FHLB" hidden="1">"c627"</definedName>
    <definedName name="____________Prj2">#REF!</definedName>
    <definedName name="IQ_CURRENCY_GAIN_BR" hidden="1">"c236"</definedName>
    <definedName name="IQ_INVEST_LOANS_CF_BNK" hidden="1">"c629"</definedName>
    <definedName name="IQ_INVEST_LOANS_CF_INS" hidden="1">"c632"</definedName>
    <definedName name="IQ_BETA_5YR" hidden="1">"c88"</definedName>
    <definedName name="IQ_INVEST_LOANS_CF_REIT" hidden="1">"c633"</definedName>
    <definedName name="IQ_MERGER_REIT" hidden="1">"c718"</definedName>
    <definedName name="IQ_PREF_ISSUED_BR" hidden="1">"c1047"</definedName>
    <definedName name="IQ_INVEST_SECURITY" hidden="1">"c636"</definedName>
    <definedName name="Sites">#REF!</definedName>
    <definedName name="IQ_INVEST_SECURITY_CF" hidden="1">"c637"</definedName>
    <definedName name="Zprint14">#REF!</definedName>
    <definedName name="IQ_INVEST_SECURITY_CF_BNK" hidden="1">"c638"</definedName>
    <definedName name="IQ_AIR_CAPITAL_LEASE" hidden="1">"c2833"</definedName>
    <definedName name="_____STD2">[2]Parametres!$D$13:$O$13</definedName>
    <definedName name="IQ_INVEST_SECURITY_CF_BR" hidden="1">"c639"</definedName>
    <definedName name="IQ_TOTAL_AVG_EQUITY_TOTAL_AVG_ASSETS" hidden="1">"c1242"</definedName>
    <definedName name="IQ_UNAMORT_DISC" hidden="1">"c2513"</definedName>
    <definedName name="IQ_OTHER_REV_FIN" hidden="1">"c1012"</definedName>
    <definedName name="IQ_INVEST_SECURITY_CF_INS" hidden="1">"c641"</definedName>
    <definedName name="IQ_FWD_CY2" hidden="1">10003</definedName>
    <definedName name="IQ_INVEST_SECURITY_CF_UTI" hidden="1">"c643"</definedName>
    <definedName name="IQ_TOTAL_DEBT_OVER_TOTAL_CAP" hidden="1">"c1432"</definedName>
    <definedName name="IQ_IPRD" hidden="1">"c644"</definedName>
    <definedName name="IQ_ISS_DEBT_NET" hidden="1">"c1391"</definedName>
    <definedName name="IQ_ISSUE_CURRENCY" hidden="1">"c2156"</definedName>
    <definedName name="CR">#REF!</definedName>
    <definedName name="IQ_COMPANY_NAME" hidden="1">"c215"</definedName>
    <definedName name="IQ_ISSUER" hidden="1">"c2143"</definedName>
    <definedName name="IQ_SUB_LEASE_INC_CY3" hidden="1">"c1211"</definedName>
    <definedName name="IQ_ISSUER_TICKER" hidden="1">"c2252"</definedName>
    <definedName name="IQ_OG_DCF_BEFORE_TAXES_GAS" hidden="1">"c2025"</definedName>
    <definedName name="IQ_EBITDA_2YR_ANN_GROWTH" hidden="1">"c364"</definedName>
    <definedName name="IQ_JR_SUB_DEBT_EBITDA" hidden="1">"c2560"</definedName>
    <definedName name="IQ_JR_SUB_DEBT_EBITDA_CAPEX" hidden="1">"c2561"</definedName>
    <definedName name="IQ_TR_ANN_DATE" hidden="1">"c2395"</definedName>
    <definedName name="IQ_JR_SUB_DEBT_PCT" hidden="1">"c2535"</definedName>
    <definedName name="prev_07">[21]Donnees!$BC$4</definedName>
    <definedName name="IQ_OTHER_DEBT" hidden="1">"c2507"</definedName>
    <definedName name="IQ_COMMERCIAL_MORT" hidden="1">"c179"</definedName>
    <definedName name="IQ_LAND" hidden="1">"c645"</definedName>
    <definedName name="IQ_LAST_PMT_DATE" hidden="1">"c2188"</definedName>
    <definedName name="IQ_LASTPRICINGDATE" hidden="1">"c3051"</definedName>
    <definedName name="IQ_ESOP_DEBT" hidden="1">"c1597"</definedName>
    <definedName name="IQ_LASTSALEPRICE" hidden="1">"c646"</definedName>
    <definedName name="nominalM10">[37]Instrument!$E$76</definedName>
    <definedName name="IQ_LEGAL_SETTLE_BNK" hidden="1">"c648"</definedName>
    <definedName name="IQ_OG_OTHER_ADJ_FCF" hidden="1">"c1999"</definedName>
    <definedName name="IQ_LEGAL_SETTLE_BR" hidden="1">"c649"</definedName>
    <definedName name="IQ_LAST_SPLIT_DATE" hidden="1">"c2095"</definedName>
    <definedName name="IQ_LEGAL_SETTLE_FIN" hidden="1">"c650"</definedName>
    <definedName name="Prj8A">#REF!</definedName>
    <definedName name="IQ_LEGAL_SETTLE_REIT" hidden="1">"c652"</definedName>
    <definedName name="IQ_OTHER_CA_SUPPL_BNK" hidden="1">"c870"</definedName>
    <definedName name="IQ_LEVERAGE_RATIO" hidden="1">"c654"</definedName>
    <definedName name="IQ_LFCF_3YR_ANN_GROWTH" hidden="1">"c1939"</definedName>
    <definedName name="IQ_LFCF_7YR_ANN_GROWTH" hidden="1">"c1941"</definedName>
    <definedName name="OS_ECO1">#REF!</definedName>
    <definedName name="IQ_PROVISION_1YR_ANN_GROWTH" hidden="1">"c1078"</definedName>
    <definedName name="___________________Prj13">#REF!</definedName>
    <definedName name="IQ_OTHER_OPTIONS_END_OS" hidden="1">"c2690"</definedName>
    <definedName name="IQ_LFCF_MARGIN" hidden="1">"c1961"</definedName>
    <definedName name="IQ_LH_STATUTORY_SURPLUS" hidden="1">"c2771"</definedName>
    <definedName name="IQ_TR_ACQ_TOTAL_PREF" hidden="1">"c2375"</definedName>
    <definedName name="IQ_NET_CLAIM_EXP_PAID" hidden="1">"c2760"</definedName>
    <definedName name="IQ_TOTAL_INTEREST_EXP" hidden="1">"c1382"</definedName>
    <definedName name="IQ_CONV_SECURITY_PRICE" hidden="1">"c2194"</definedName>
    <definedName name="______________Prj8">#REF!</definedName>
    <definedName name="IQ_LICENSED_POPS" hidden="1">"c2123"</definedName>
    <definedName name="IQ_LIFE_EARNED" hidden="1">"c2739"</definedName>
    <definedName name="IQ_GW_AMORT_UTI" hidden="1">"c543"</definedName>
    <definedName name="IQ_LL" hidden="1">"c656"</definedName>
    <definedName name="reprev_05">[21]Donnees!#REF!</definedName>
    <definedName name="IQ_LOAN_LEASE_RECEIV" hidden="1">"c657"</definedName>
    <definedName name="LT500othApast">#REF!</definedName>
    <definedName name="IQ_LOAN_SERVICE_REV" hidden="1">"c658"</definedName>
    <definedName name="IQ_RETURN_ASSETS_BROK" hidden="1">"c1115"</definedName>
    <definedName name="____________OPU1">#REF!</definedName>
    <definedName name="IQ_LOANS_CF" hidden="1">"c659"</definedName>
    <definedName name="IQ_NON_PERF_ASSETS_1YR_ANN_GROWTH" hidden="1">"c812"</definedName>
    <definedName name="Vehiclestatus">[22]Hypotheses!$C$15:$C$18</definedName>
    <definedName name="IQ_EBT_EXCL_FIN" hidden="1">"c382"</definedName>
    <definedName name="IQ_SHORT_INTEREST_PERCENT" hidden="1">"c1576"</definedName>
    <definedName name="IQ_TOTAL_OPER_EXP_FIN" hidden="1">"c1285"</definedName>
    <definedName name="IQ_LOANS_CF_BNK" hidden="1">"c660"</definedName>
    <definedName name="IQ_LOANS_CF_FIN" hidden="1">"c662"</definedName>
    <definedName name="IQ_LOANS_CF_REIT" hidden="1">"c664"</definedName>
    <definedName name="IQ_LOANS_CF_UTI" hidden="1">"c665"</definedName>
    <definedName name="IQ_LOANS_FOR_SALE" hidden="1">"c666"</definedName>
    <definedName name="___________Prj14">#REF!</definedName>
    <definedName name="IQ_PREF_OTHER_FIN" hidden="1">"c1056"</definedName>
    <definedName name="IQ_LOANS_RECEIV_LT" hidden="1">"c669"</definedName>
    <definedName name="IQ_LONG_TERM_DEBT_OVER_TOTAL_CAP" hidden="1">"c1388"</definedName>
    <definedName name="IQ_OTHER_CA_SUPPL_INS" hidden="1">"c873"</definedName>
    <definedName name="IQ_LOSS_LOSS_EXP" hidden="1">"c672"</definedName>
    <definedName name="IQ_LOSS_TO_NET_EARNED" hidden="1">"c2751"</definedName>
    <definedName name="IQ_AVG_BROKER_REC_NO" hidden="1">"c64"</definedName>
    <definedName name="IQ_CEDED_LIFE_IN_FORCE" hidden="1">"c2768"</definedName>
    <definedName name="IQ_LOW_TARGET_PRICE" hidden="1">"c1652"</definedName>
    <definedName name="IQ_FEDFUNDS_SOLD" hidden="1">"c2256"</definedName>
    <definedName name="IQ_SP_BANK_ACTION" hidden="1">"c2636"</definedName>
    <definedName name="IQ_LOANS_CF_BR" hidden="1">"c661"</definedName>
    <definedName name="IQ_LOWPRICE" hidden="1">"c673"</definedName>
    <definedName name="IQ_AVG_INT_BEAR_LIAB_7YR_ANN_GROWTH" hidden="1">"c72"</definedName>
    <definedName name="IQ_NET_LOANS_7YR_ANN_GROWTH" hidden="1">"c778"</definedName>
    <definedName name="IQ_LT_DEBT_CAPITAL" hidden="1">"c677"</definedName>
    <definedName name="IQ_LT_DEBT_CAPITAL_LEASES_PCT" hidden="1">"c2543"</definedName>
    <definedName name="IQ_NPPE_2YR_ANN_GROWTH" hidden="1">"c832"</definedName>
    <definedName name="IQ_DPAC_PERIOD" hidden="1">"c2794"</definedName>
    <definedName name="IQ_OTHER_OPER_TOT_FIN" hidden="1">"c1001"</definedName>
    <definedName name="CADETACT">#REF!</definedName>
    <definedName name="IQ_LT_DEBT_FIN" hidden="1">"c679"</definedName>
    <definedName name="IQ_LT_DEBT_INS" hidden="1">"c680"</definedName>
    <definedName name="IQ_TOTAL_REV_BNK" hidden="1">"c1302"</definedName>
    <definedName name="frais_lanc">#REF!</definedName>
    <definedName name="IQ_PROVISION_7YR_ANN_GROWTH" hidden="1">"c1082"</definedName>
    <definedName name="IQ_OTHER_EQUITY_INS" hidden="1">"c890"</definedName>
    <definedName name="IQ_LT_DEBT_ISSUED_BNK" hidden="1">"c682"</definedName>
    <definedName name="________________Prj3">#REF!</definedName>
    <definedName name="IQ_LT_DEBT_ISSUED_BR" hidden="1">"c683"</definedName>
    <definedName name="_____SE1">[2]Parametres!$D$35:$O$35</definedName>
    <definedName name="IQ_LTD_DUE_CY2" hidden="1">"c707"</definedName>
    <definedName name="IQ_LT_DEBT_ISSUED_UTI" hidden="1">"c687"</definedName>
    <definedName name="IQ_LT_DEBT_REIT" hidden="1">"c688"</definedName>
    <definedName name="IQ_OTHER_EQUITY_REIT" hidden="1">"c891"</definedName>
    <definedName name="_________TAX1">#REF!</definedName>
    <definedName name="_______________All2002">#REF!</definedName>
    <definedName name="IQ_LT_DEBT_REPAID" hidden="1">"c689"</definedName>
    <definedName name="IQ_LT_DEBT_REPAID_BR" hidden="1">"c691"</definedName>
    <definedName name="IQ_LT_DEBT_REPAID_FIN" hidden="1">"c692"</definedName>
    <definedName name="IQ_LT_INVEST" hidden="1">"c697"</definedName>
    <definedName name="Werk">#REF!</definedName>
    <definedName name="IQ_LT_NOTE_RECEIV" hidden="1">"c1602"</definedName>
    <definedName name="IQ_LTD_DUE_AFTER_FIVE" hidden="1">"c704"</definedName>
    <definedName name="IQ_LTD_DUE_CY4" hidden="1">"c709"</definedName>
    <definedName name="s" hidden="1">{#N/A,#N/A,FALSE,"Key Performance Indicators";#N/A,#N/A,FALSE,"Glossary";#N/A,#N/A,FALSE,"Production Top 20";#N/A,#N/A,FALSE,"Non Prod. Top 20";#N/A,#N/A,FALSE,"MPI";#N/A,#N/A,FALSE,"GPI";#N/A,#N/A,FALSE,"Comments"}</definedName>
    <definedName name="IQ_LTD_DUE_NEXT_FIVE" hidden="1">"c710"</definedName>
    <definedName name="_____________TT1">#REF!</definedName>
    <definedName name="IQ_LTM_REVENUE_OVER_EMPLOYEES" hidden="1">"c1437"</definedName>
    <definedName name="Date_Q1">#REF!</definedName>
    <definedName name="IQ_MAINT_CAPEX" hidden="1">"c2947"</definedName>
    <definedName name="IQ_MAKE_WHOLE_END_DATE" hidden="1">"c2493"</definedName>
    <definedName name="__AMB1">#REF!</definedName>
    <definedName name="IQ_MAKE_WHOLE_SPREAD" hidden="1">"c2494"</definedName>
    <definedName name="IQ_MAKE_WHOLE_START_DATE" hidden="1">"c2492"</definedName>
    <definedName name="IQ_SP_OUTLOOK_WATCH_DATE" hidden="1">"c2638"</definedName>
    <definedName name="IQ_MARKET_CAP_LFCF" hidden="1">"c2209"</definedName>
    <definedName name="IQ_TOTAL_LIAB" hidden="1">"c1276"</definedName>
    <definedName name="IQ_INSIDER_OWNER" hidden="1">"c577"</definedName>
    <definedName name="IQ_MARKETCAP" hidden="1">"c712"</definedName>
    <definedName name="IQ_MARKETING" hidden="1">"c2239"</definedName>
    <definedName name="eur">#REF!</definedName>
    <definedName name="IQ_OTHER_RECEIV_INS" hidden="1">"c1009"</definedName>
    <definedName name="IQ_MATURITY_DATE" hidden="1">"c2146"</definedName>
    <definedName name="IQ_OTHER_FINANCE_ACT_SUPPL_REIT" hidden="1">"c904"</definedName>
    <definedName name="IQ_MERGER" hidden="1">"c713"</definedName>
    <definedName name="eff">#REF!</definedName>
    <definedName name="IQ_CASH_TAXES" hidden="1">"c125"</definedName>
    <definedName name="IQ_MINORITY_INTEREST_CF" hidden="1">"c730"</definedName>
    <definedName name="IQ_MERGER_INS" hidden="1">"c717"</definedName>
    <definedName name="IQ_MERGER_RESTRUCTURE" hidden="1">"c719"</definedName>
    <definedName name="IQ_TOTAL_PENSION_EXP" hidden="1">"c1291"</definedName>
    <definedName name="IQ_MERGER_RESTRUCTURE_BNK" hidden="1">"c720"</definedName>
    <definedName name="IQ_INTEREST_INC_NON" hidden="1">"c1384"</definedName>
    <definedName name="IQ_NON_PERF_LOANS_3YR_ANN_GROWTH" hidden="1">"c821"</definedName>
    <definedName name="IQ_SHORT_INTEREST_OVER_FLOAT" hidden="1">"c1577"</definedName>
    <definedName name="IQ_MERGER_RESTRUCTURE_INS" hidden="1">"c723"</definedName>
    <definedName name="IQ_COMPANY_STREET1" hidden="1">"c217"</definedName>
    <definedName name="IQ_OG_FUTURE_INC_TAXES" hidden="1">"c1997"</definedName>
    <definedName name="IQ_POLICY_LIAB" hidden="1">"c1612"</definedName>
    <definedName name="IQ_MERGER_UTI" hidden="1">"c726"</definedName>
    <definedName name="ZONE">[13]PRESENTATION!$E$14</definedName>
    <definedName name="IQ_MINORITY_INTEREST_FIN" hidden="1">"c731"</definedName>
    <definedName name="IQ_CONVERT" hidden="1">"c2536"</definedName>
    <definedName name="IQ_MINORITY_INTEREST_IS" hidden="1">"c733"</definedName>
    <definedName name="IQ_CFO_10YR_ANN_GROWTH" hidden="1">"c126"</definedName>
    <definedName name="IQ_MINORITY_INTEREST_TOTAL" hidden="1">"c1905"</definedName>
    <definedName name="LT500capAcc">#REF!</definedName>
    <definedName name="Base3">[9]calculations!$C$6:$S$286</definedName>
    <definedName name="IQ_SECUR_RECEIV" hidden="1">"c1151"</definedName>
    <definedName name="IQ_MISC_ADJUST_CF" hidden="1">"c736"</definedName>
    <definedName name="IQ_MISC_EARN_ADJ" hidden="1">"c1603"</definedName>
    <definedName name="IQ_MKTCAP_EBT_EXCL" hidden="1">"c737"</definedName>
    <definedName name="Total">#REF!</definedName>
    <definedName name="IQ_MKTCAP_EBT_EXCL_AVG" hidden="1">"c738"</definedName>
    <definedName name="_________Prj6">#REF!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ST_DEBT_REPAID_BR" hidden="1">"c1191"</definedName>
    <definedName name="IQ_MORT_BANKING_FEE" hidden="1">"c745"</definedName>
    <definedName name="IQ_MORT_INT_INC" hidden="1">"c746"</definedName>
    <definedName name="_________Prj13">#REF!</definedName>
    <definedName name="IQ_OL_COMM_NEXT_FIVE" hidden="1">"c847"</definedName>
    <definedName name="IQ_MORT_LOANS" hidden="1">"c747"</definedName>
    <definedName name="IQ_TOTAL_DEBT_REPAID_FIN" hidden="1">"c1261"</definedName>
    <definedName name="_______________Prj13">#REF!</definedName>
    <definedName name="___Prj13">#REF!</definedName>
    <definedName name="IQ_NET_CLAIM_EXP_INCUR" hidden="1">"c2757"</definedName>
    <definedName name="IQ_SECURITY_TYPE" hidden="1">"c2158"</definedName>
    <definedName name="IQ_VOL_LAST_WK" hidden="1">"c1523"</definedName>
    <definedName name="IQ_NET_CLAIM_EXP_PAID_CY" hidden="1">"c2763"</definedName>
    <definedName name="MoisCum">#REF!</definedName>
    <definedName name="IQ_TBV_1YR_ANN_GROWTH" hidden="1">"c1931"</definedName>
    <definedName name="IQ_ACQ_COST_SUB" hidden="1">"c2125"</definedName>
    <definedName name="IQ_OTHER_OPER_TOT_INS" hidden="1">"c1002"</definedName>
    <definedName name="IQ_NET_CLAIM_EXP_PAID_PY" hidden="1">"c2764"</definedName>
    <definedName name="IQ_NET_DEBT_EBITDA" hidden="1">"c750"</definedName>
    <definedName name="_________CRA1">#REF!</definedName>
    <definedName name="IQ_NET_DEBT_EBITDA_CAPEX" hidden="1">"c2949"</definedName>
    <definedName name="IQ_NET_DEBT_ISSUED_BNK" hidden="1">"c752"</definedName>
    <definedName name="IQ_NET_DEBT_ISSUED_FIN" hidden="1">"c754"</definedName>
    <definedName name="IQ_NET_INC" hidden="1">"c1394"</definedName>
    <definedName name="IQ_TR_SFEATURES" hidden="1">"c2385"</definedName>
    <definedName name="IQ_SECURITY_OWN" hidden="1">"c1153"</definedName>
    <definedName name="IQ_NET_INC_CF" hidden="1">"c1397"</definedName>
    <definedName name="IQ_NON_CASH" hidden="1">"c1399"</definedName>
    <definedName name="IQ_NET_INC_MARGIN" hidden="1">"c1398"</definedName>
    <definedName name="IQ_NET_INT_INC_2YR_ANN_GROWTH" hidden="1">"c760"</definedName>
    <definedName name="IQ_CHANGE_AP_INS" hidden="1">"c137"</definedName>
    <definedName name="IQ_NET_INT_INC_FIN" hidden="1">"c766"</definedName>
    <definedName name="IQ_SUB_BONDS_NOTES_PCT" hidden="1">"c2504"</definedName>
    <definedName name="IQ_NET_INT_INC_TOTAL_REV" hidden="1">"c767"</definedName>
    <definedName name="IQ_NET_INT_MARGIN" hidden="1">"c768"</definedName>
    <definedName name="IQ_NET_INTEREST_EXP" hidden="1">"c769"</definedName>
    <definedName name="_____________Per1">#REF!</definedName>
    <definedName name="IQ_PREF_OTHER_INS" hidden="1">"c1057"</definedName>
    <definedName name="IQ_RETURN_ASSETS_BANK" hidden="1">"c1114"</definedName>
    <definedName name="IQ_NET_INTEREST_EXP_REIT" hidden="1">"c770"</definedName>
    <definedName name="Table_PV">[48]Tables!$E$2:$F$2110</definedName>
    <definedName name="_RD2">#REF!</definedName>
    <definedName name="________TAX2">#REF!</definedName>
    <definedName name="IQ_DEF_POLICY_ACQ_COSTS" hidden="1">"c301"</definedName>
    <definedName name="IQ_NET_INTEREST_INC" hidden="1">"c1392"</definedName>
    <definedName name="Zprint24">'[51]Page 24'!$B$6:$I$27</definedName>
    <definedName name="IQ_EBT_EXCL_UTI" hidden="1">"c385"</definedName>
    <definedName name="IQ_NET_LOANS" hidden="1">"c772"</definedName>
    <definedName name="_______Prj15">#REF!</definedName>
    <definedName name="IQ_STW" hidden="1">"c2166"</definedName>
    <definedName name="IQ_NET_LOANS_10YR_ANN_GROWTH" hidden="1">"c773"</definedName>
    <definedName name="IQ_NET_LOANS_1YR_ANN_GROWTH" hidden="1">"c774"</definedName>
    <definedName name="IQ_CURRENCY_FACTOR_IS" hidden="1">"c234"</definedName>
    <definedName name="IQ_NET_LOANS_3YR_ANN_GROWTH" hidden="1">"c776"</definedName>
    <definedName name="IQ_LT_DEBT_ISSUED_REIT" hidden="1">"c686"</definedName>
    <definedName name="IQ_PREF_REP_BNK" hidden="1">"c1061"</definedName>
    <definedName name="IQ_NET_RENTAL_EXP_FN" hidden="1">"c780"</definedName>
    <definedName name="___________________SE2">[2]Parametres!$D$36:$O$36</definedName>
    <definedName name="IQ_NET_WRITTEN" hidden="1">"c2728"</definedName>
    <definedName name="IQ_NEW_PREM" hidden="1">"c2785"</definedName>
    <definedName name="IQ_DILUT_NI" hidden="1">"c2079"</definedName>
    <definedName name="IQ_INVEST_REAL_ESTATE" hidden="1">"c635"</definedName>
    <definedName name="IQ_NEXT_CALL_PRICE" hidden="1">"c2199"</definedName>
    <definedName name="IQ_NEXT_INT_DATE" hidden="1">"c2187"</definedName>
    <definedName name="IQ_TREASURY_OTHER_EQUITY" hidden="1">"c1312"</definedName>
    <definedName name="IQ_NON_PERF_ASSETS_TOTAL_ASSETS" hidden="1">"c817"</definedName>
    <definedName name="mois_gains_prev">[21]Donnees!$AK$4</definedName>
    <definedName name="IQ_NEXT_PUT_DATE" hidden="1">"c2200"</definedName>
    <definedName name="IQ_NEXT_SINK_FUND_DATE" hidden="1">"c2489"</definedName>
    <definedName name="IQ_CABLE_RGU" hidden="1">"c2863"</definedName>
    <definedName name="IQ_NEXT_SINK_FUND_PRICE" hidden="1">"c2491"</definedName>
    <definedName name="IQ_NI" hidden="1">"c781"</definedName>
    <definedName name="IQ_NI_2YR_ANN_GROWTH" hidden="1">"c784"</definedName>
    <definedName name="Formula_To_Values_1">#N/A</definedName>
    <definedName name="flow">[28]Master!$B$24</definedName>
    <definedName name="IQ_NI_AFTER_CAPITALIZED" hidden="1">"c788"</definedName>
    <definedName name="fgv" hidden="1">{#N/A,#N/A,FALSE,"Report";#N/A,#N/A,FALSE,"Credit Debit Notes";#N/A,#N/A,FALSE,"Explanations";#N/A,#N/A,FALSE,"Summary";#N/A,#N/A,FALSE,"Budget";#N/A,#N/A,FALSE,"Actua"}</definedName>
    <definedName name="IQ_OG_EQUTY_RESERVES_OIL" hidden="1">"c2038"</definedName>
    <definedName name="IQ_NI_AVAIL_EXCL" hidden="1">"c789"</definedName>
    <definedName name="IQ_NI_AVAIL_INCL" hidden="1">"c791"</definedName>
    <definedName name="_________________RD2">#REF!</definedName>
    <definedName name="IQ_LOANS_PAST_DUE" hidden="1">"c667"</definedName>
    <definedName name="IQ_NI_BEFORE_CAPITALIZED" hidden="1">"c792"</definedName>
    <definedName name="IQ_CAPEX_INS" hidden="1">"c113"</definedName>
    <definedName name="IQ_RESTRUCTURE" hidden="1">"c1104"</definedName>
    <definedName name="IQ_CABLE_ARPU_BASIC" hidden="1">"c2866"</definedName>
    <definedName name="IQ_NI_NORM_1YR_ANN_GROWTH" hidden="1">"c1955"</definedName>
    <definedName name="IQ_DPAC_BEG" hidden="1">"c2791"</definedName>
    <definedName name="IQ_NI_NORM_2YR_ANN_GROWTH" hidden="1">"c1956"</definedName>
    <definedName name="IQ_NON_ACCRUAL_LOANS" hidden="1">"c796"</definedName>
    <definedName name="IQ_NON_INT_BEAR_CD" hidden="1">"c800"</definedName>
    <definedName name="__________TT1">#REF!</definedName>
    <definedName name="IQ_NON_INT_INC_10YR_ANN_GROWTH" hidden="1">"c803"</definedName>
    <definedName name="IQ_DEBT_ADJ_PCT" hidden="1">"c2516"</definedName>
    <definedName name="IQ_NON_PERF_LOANS_1YR_ANN_GROWTH" hidden="1">"c819"</definedName>
    <definedName name="IQ_NON_INT_INC_1YR_ANN_GROWTH" hidden="1">"c804"</definedName>
    <definedName name="IQ_INV_10YR_ANN_GROWTH" hidden="1">"c1930"</definedName>
    <definedName name="IQ_OTHER_OPER_REIT" hidden="1">"c993"</definedName>
    <definedName name="IQ_NON_INT_INC_3YR_ANN_GROWTH" hidden="1">"c806"</definedName>
    <definedName name="IQ_MERGER_RESTRUCTURE_BR" hidden="1">"c721"</definedName>
    <definedName name="IQ_NON_INT_INC_5YR_ANN_GROWTH" hidden="1">"c807"</definedName>
    <definedName name="IQ_OTHER_INTAN_BR" hidden="1">"c909"</definedName>
    <definedName name="IQ_NON_INTEREST_EXP" hidden="1">"c1400"</definedName>
    <definedName name="IQ_TR_TOTAL_CASH" hidden="1">"c2315"</definedName>
    <definedName name="Apr_01">#REF!</definedName>
    <definedName name="IQ_NON_OPER_EXP" hidden="1">"c809"</definedName>
    <definedName name="zprint306">#REF!</definedName>
    <definedName name="IQ_SP_FIN_STRENGTH_LC_ST" hidden="1">"c2628"</definedName>
    <definedName name="IQ_ISSUER_PARENT_TICKER" hidden="1">"c2259"</definedName>
    <definedName name="___AMB1">#REF!</definedName>
    <definedName name="IQ_NON_PERF_ASSETS_10YR_ANN_GROWTH" hidden="1">"c811"</definedName>
    <definedName name="IQ_VALUE_TRADED_LAST_6MTH" hidden="1">"c1531"</definedName>
    <definedName name="IQ_RETAIL_TOTAL_OWNED_STORES" hidden="1">"c2906"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Zprint4">#REF!</definedName>
    <definedName name="IQ_NON_PERF_LOANS_10YR_ANN_GROWTH" hidden="1">"c818"</definedName>
    <definedName name="IQ_JR_SUB_DEBT" hidden="1">"c2534"</definedName>
    <definedName name="IQ_NON_PERF_LOANS_2YR_ANN_GROWTH" hidden="1">"c820"</definedName>
    <definedName name="IQ_TOTAL_ASSETS_5YR_ANN_GROWTH" hidden="1">"c1239"</definedName>
    <definedName name="page1f">#REF!</definedName>
    <definedName name="IQ_TOTAL_DEBT_EBITDA" hidden="1">"c1249"</definedName>
    <definedName name="IQ_NON_PERF_LOANS_5YR_ANN_GROWTH" hidden="1">"c822"</definedName>
    <definedName name="IQ_NON_PERF_LOANS_7YR_ANN_GROWTH" hidden="1">"c823"</definedName>
    <definedName name="Manifold" hidden="1">{#N/A,#N/A,FALSE,"TRACAT1";#N/A,#N/A,FALSE,"PROJET"}</definedName>
    <definedName name="________________SE2">[2]Parametres!$D$36:$O$36</definedName>
    <definedName name="IQ_NON_PERF_LOANS_TOTAL_ASSETS" hidden="1">"c824"</definedName>
    <definedName name="IQ_OTHER_ASSETS" hidden="1">"c860"</definedName>
    <definedName name="__________Prj10">#REF!</definedName>
    <definedName name="IQ_RATE_COMP_GROWTH_FOREIGN" hidden="1">"c1088"</definedName>
    <definedName name="jef" hidden="1">{#N/A,#N/A,FALSE,"Key Performance Indicators";#N/A,#N/A,FALSE,"Glossary";#N/A,#N/A,FALSE,"Production Top 20";#N/A,#N/A,FALSE,"Non Prod. Top 20";#N/A,#N/A,FALSE,"MPI";#N/A,#N/A,FALSE,"GPI";#N/A,#N/A,FALSE,"Comments"}</definedName>
    <definedName name="IQ_NON_PERF_LOANS_TOTAL_LOANS" hidden="1">"c825"</definedName>
    <definedName name="IQ_NONRECOURSE_DEBT_PCT" hidden="1">"c2551"</definedName>
    <definedName name="IQ_NORMAL_INC_AFTER" hidden="1">"c1605"</definedName>
    <definedName name="IQ_NORMAL_INC_BEFORE" hidden="1">"c1607"</definedName>
    <definedName name="IQ_NOTES_PAY" hidden="1">"c1423"</definedName>
    <definedName name="月产量">#REF!</definedName>
    <definedName name="IQ_TR_STATUS" hidden="1">"c2399"</definedName>
    <definedName name="IQ_NOW_ACCOUNT" hidden="1">"c828"</definedName>
    <definedName name="IQ_OTHER_OPER_UTI" hidden="1">"c1005"</definedName>
    <definedName name="___Prj10">#REF!</definedName>
    <definedName name="IQ_NPPE_3YR_ANN_GROWTH" hidden="1">"c833"</definedName>
    <definedName name="IQ_PROVISION_CHARGE_OFFS" hidden="1">"c1083"</definedName>
    <definedName name="IQ_NTM" hidden="1">6000</definedName>
    <definedName name="IQ_TR_PCT_SOUGHT" hidden="1">"c2309"</definedName>
    <definedName name="IQ_NUKE" hidden="1">"c836"</definedName>
    <definedName name="IQ_REINSUR_PAY" hidden="1">"c1096"</definedName>
    <definedName name="Activité">[3]Feuil1!#REF!</definedName>
    <definedName name="IQ_LAST_SPLIT_FACTOR" hidden="1">"c2093"</definedName>
    <definedName name="IQ_NUMBER_DAYS" hidden="1">"c1904"</definedName>
    <definedName name="IQ_DEF_CHARGES_INS" hidden="1">"c291"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GAIN_ASSETS_REV_FIN" hidden="1">"c475"</definedName>
    <definedName name="IQ_OFFER_COUPON" hidden="1">"c2147"</definedName>
    <definedName name="IQ_OFFER_YIELD" hidden="1">"c2151"</definedName>
    <definedName name="IQ_US_GAAP_TOTAL_EQUITY" hidden="1">"c2934"</definedName>
    <definedName name="IQ_OG_10DISC_OIL" hidden="1">"c2008"</definedName>
    <definedName name="IQ_OG_ACQ_COST_PROVED_OIL" hidden="1">"c1981"</definedName>
    <definedName name="IQ_OG_ACQ_COST_UNPROVED" hidden="1">"c1976"</definedName>
    <definedName name="Temps">#REF!</definedName>
    <definedName name="IQ_OG_ACQ_COST_UNPROVED_OIL" hidden="1">"c1982"</definedName>
    <definedName name="IQ_SP_LC_LT" hidden="1">"c2621"</definedName>
    <definedName name="IQ_TEV_EMPLOYEE_AVG" hidden="1">"c1225"</definedName>
    <definedName name="IQ_OG_AVG_DAILY_PROD_GAS" hidden="1">"c2910"</definedName>
    <definedName name="IQ_OG_CLOSE_BALANCE_GAS" hidden="1">"c2049"</definedName>
    <definedName name="IQ_AIR_STAGE_LENGTH_KM" hidden="1">"c2829"</definedName>
    <definedName name="IQ_TOTAL_CAPITAL_RATIO" hidden="1">"c1244"</definedName>
    <definedName name="IQ_GAIN_LOANS_RECEIV" hidden="1">"c502"</definedName>
    <definedName name="IQ_OG_CLOSE_BALANCE_NGL" hidden="1">"c2920"</definedName>
    <definedName name="k" hidden="1">{#N/A,#N/A,FALSE,"Report";#N/A,#N/A,FALSE,"Credit Debit Notes";#N/A,#N/A,FALSE,"Explanations";#N/A,#N/A,FALSE,"Summary";#N/A,#N/A,FALSE,"Budget";#N/A,#N/A,FALSE,"Actua"}</definedName>
    <definedName name="________________Prj10">#REF!</definedName>
    <definedName name="IQ_OG_CLOSE_BALANCE_OIL" hidden="1">"c2037"</definedName>
    <definedName name="IQ_OTHER_LIAB_BNK" hidden="1">"c931"</definedName>
    <definedName name="IQ_OG_DCF_BEFORE_TAXES" hidden="1">"c2023"</definedName>
    <definedName name="zzz15">'[4]Page 39'!$B$29:$M$34</definedName>
    <definedName name="IQ_OTHER_FINANCE_ACT_BNK" hidden="1">"c894"</definedName>
    <definedName name="EFFECTIF">#REF!</definedName>
    <definedName name="IQ_OG_DEVELOPED_RESERVES_GAS" hidden="1">"c2053"</definedName>
    <definedName name="IQ_OG_DEVELOPED_RESERVES_NGL" hidden="1">"c2922"</definedName>
    <definedName name="IQ_OTHER_OPTIONS_GRANTED" hidden="1">"c2687"</definedName>
    <definedName name="_1829892000">#REF!</definedName>
    <definedName name="IQ_OG_DEVELOPMENT_COSTS" hidden="1">"c1978"</definedName>
    <definedName name="_____________RD2">#REF!</definedName>
    <definedName name="IQ_OG_DEVELOPMENT_COSTS_GAS" hidden="1">"c1990"</definedName>
    <definedName name="____________AMB2">#REF!</definedName>
    <definedName name="IQ_OG_EQUTY_RESERVES_NGL" hidden="1">"c2921"</definedName>
    <definedName name="IQ_OG_EXPLORATION_COSTS" hidden="1">"c1977"</definedName>
    <definedName name="Choix">[12]Param!$C$5:$C$12</definedName>
    <definedName name="IQ_RETAIL_AVG_WK_SALES_OWNED" hidden="1">"c2907"</definedName>
    <definedName name="IQ_OG_EXPLORATION_COSTS_GAS" hidden="1">"c1989"</definedName>
    <definedName name="IQ_OG_FUTURE_CASH_INFLOWS" hidden="1">"c1993"</definedName>
    <definedName name="IQ_OG_FUTURE_CASH_INFLOWS_GAS" hidden="1">"c2013"</definedName>
    <definedName name="IQ_OG_FUTURE_DEVELOPMENT_COSTS" hidden="1">"c1995"</definedName>
    <definedName name="IQ_TBV_5YR_ANN_GROWTH" hidden="1">"c1934"</definedName>
    <definedName name="IQ_OG_FUTURE_DEVELOPMENT_COSTS_OIL" hidden="1">"c2005"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SP_LC_DATE_LT" hidden="1">"c2617"</definedName>
    <definedName name="IQ_OG_FUTURE_PRODUCTION_COSTS_OIL" hidden="1">"c2004"</definedName>
    <definedName name="IQ_UNEARN_REV_CURRENT_REIT" hidden="1">"c1327"</definedName>
    <definedName name="IQ_AE_INS" hidden="1">"c12"</definedName>
    <definedName name="______OPU1">#REF!</definedName>
    <definedName name="IQ_OG_GAS_PRICE_HEDGED" hidden="1">"c2056"</definedName>
    <definedName name="Zprint9">#REF!</definedName>
    <definedName name="IQ_OG_IMPROVED_RECOVERY_NGL" hidden="1">"c2915"</definedName>
    <definedName name="CONSO">#REF!</definedName>
    <definedName name="IQ_OG_IMPROVED_RECOVERY_OIL" hidden="1">"c2032"</definedName>
    <definedName name="________Prj13">#REF!</definedName>
    <definedName name="IQ_PREF_NON_REDEEM" hidden="1">"c1052"</definedName>
    <definedName name="IQ_OG_LIQUID_GAS_PRICE_UNHEDGED" hidden="1">"c2234"</definedName>
    <definedName name="IQ_OG_NET_FUTURE_CASH_FLOWS_GAS" hidden="1">"c2016"</definedName>
    <definedName name="IQ_SAVING_DEP" hidden="1">"c1150"</definedName>
    <definedName name="IQ_WARRANTS_STRIKE_PRICE_OS" hidden="1">"c2703"</definedName>
    <definedName name="IQ_OG_NET_FUTURE_CASH_FLOWS_OIL" hidden="1">"c2006"</definedName>
    <definedName name="IQ_SP_LC_DATE_ST" hidden="1">"c2618"</definedName>
    <definedName name="gege" hidden="1">{#N/A,#N/A,FALSE,"836082";#N/A,#N/A,FALSE,"PR836066 (2)";#N/A,#N/A,FALSE,"PR836066E";#N/A,#N/A,FALSE,"SilencF3RE";#N/A,#N/A,FALSE,"CamaraF3RE"}</definedName>
    <definedName name="IQ_ST_DEBT_INS" hidden="1">"c1180"</definedName>
    <definedName name="IQ_OG_OIL_PRICE_UNHEDGED" hidden="1">"c2057"</definedName>
    <definedName name="IQ_OG_OPEN_BALANCE_GAS" hidden="1">"c2041"</definedName>
    <definedName name="IQ_TR_SELL_ACC_ADVISORS" hidden="1">"c3049"</definedName>
    <definedName name="IQ_DEF_CHARGES_CF" hidden="1">"c289"</definedName>
    <definedName name="IQ_OG_OPEN_BALANCE_NGL" hidden="1">"c2912"</definedName>
    <definedName name="IQ_OG_OPEN_BALANCE_OIL" hidden="1">"c2029"</definedName>
    <definedName name="IQ_OG_OTHER_COSTS_OIL" hidden="1">"c1985"</definedName>
    <definedName name="IQ_OTHER_OPER_TOT_UTI" hidden="1">"c1004"</definedName>
    <definedName name="IQ_OG_OTHER_ADJ_FCF_GAS" hidden="1">"c2019"</definedName>
    <definedName name="IQ_DEF_TAX_LIAB_CURRENT" hidden="1">"c312"</definedName>
    <definedName name="IQ_ST_DEBT_ISSUED_REIT" hidden="1">"c1186"</definedName>
    <definedName name="__________RD2">#REF!</definedName>
    <definedName name="IQ_OG_OTHER_ADJ_FCF_OIL" hidden="1">"c2009"</definedName>
    <definedName name="IQ_OTHER_NON_INT_EXP_TOTAL" hidden="1">"c954"</definedName>
    <definedName name="IQ_OG_OTHER_ADJ_NGL" hidden="1">"c2919"</definedName>
    <definedName name="IQ_OG_OTHER_COSTS_GAS" hidden="1">"c1991"</definedName>
    <definedName name="IQ_RISK_ADJ_BANK_ASSETS" hidden="1">"c2670"</definedName>
    <definedName name="IQ_OG_PRODUCTION_OIL" hidden="1">"c2035"</definedName>
    <definedName name="IQ_OG_PURCHASES_GAS" hidden="1">"c2045"</definedName>
    <definedName name="Prj2A">#REF!</definedName>
    <definedName name="________________Per1">#REF!</definedName>
    <definedName name="IQ_OG_PURCHASES_OIL" hidden="1">"c2033"</definedName>
    <definedName name="______SE1">[2]Parametres!$D$35:$O$35</definedName>
    <definedName name="IQ_INC_AVAIL_EXCL" hidden="1">"c1395"</definedName>
    <definedName name="IQ_OG_REVISIONS_GAS" hidden="1">"c2042"</definedName>
    <definedName name="IQ_SP_ISSUE_OUTLOOK_WATCH_DATE" hidden="1">"c2649"</definedName>
    <definedName name="IQ_OG_SALES_IN_PLACE_NGL" hidden="1">"c2917"</definedName>
    <definedName name="IQ_NONCASH_PENSION_EXP" hidden="1">"c3000"</definedName>
    <definedName name="IQ_SALE_REAL_ESTATE_CF" hidden="1">"c1143"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TOTAL_DEBT_OVER_TOTAL_BV" hidden="1">"c1434"</definedName>
    <definedName name="____________________Prj2">#REF!</definedName>
    <definedName name="IQ_OG_STANDARDIZED_DCF_OIL" hidden="1">"c2010"</definedName>
    <definedName name="IQ_OG_TAXES_OIL" hidden="1">"c2027"</definedName>
    <definedName name="IQ_OG_TOTAL_GAS_PRODUCTION" hidden="1">"c2060"</definedName>
    <definedName name="IQ_TOTAL_INVENTORY" hidden="1">"c1385"</definedName>
    <definedName name="IQ_SOFTWARE" hidden="1">"c1167"</definedName>
    <definedName name="IQ_OTHER_INVEST" hidden="1">"c915"</definedName>
    <definedName name="IQ_OG_UNDEVELOPED_RESERVES_NGL" hidden="1">"c2923"</definedName>
    <definedName name="__________________SE1">[2]Parametres!$D$35:$O$35</definedName>
    <definedName name="IQ_LT_DEBT_CAPITAL_LEASES" hidden="1">"c2542"</definedName>
    <definedName name="IQ_OG_UNDEVELOPED_RESERVES_OIL" hidden="1">"c2039"</definedName>
    <definedName name="IQ_OIL_IMPAIR" hidden="1">"c840"</definedName>
    <definedName name="_18D2189000">#REF!</definedName>
    <definedName name="IQ_OL_COMM_AFTER_FIVE" hidden="1">"c841"</definedName>
    <definedName name="IQ_OL_COMM_CY4" hidden="1">"c846"</definedName>
    <definedName name="IQ_OPENPRICE" hidden="1">"c848"</definedName>
    <definedName name="IQ_OPER_INC" hidden="1">"c849"</definedName>
    <definedName name="IQ_OPER_INC_BR" hidden="1">"c850"</definedName>
    <definedName name="IQ_OPER_INC_MARGIN" hidden="1">"c1448"</definedName>
    <definedName name="IQ_AUTO_WRITTEN" hidden="1">"c62"</definedName>
    <definedName name="___________________Prj1">#REF!</definedName>
    <definedName name="IQ_OPTIONS_BEG_OS" hidden="1">"c1572"</definedName>
    <definedName name="theme">[21]Donnees!$E$4</definedName>
    <definedName name="IQ_OPTIONS_EXERCISED" hidden="1">"c2116"</definedName>
    <definedName name="IQ_CABLE_CHURN_DIG" hidden="1">"c2870"</definedName>
    <definedName name="IQ_OPTIONS_GRANTED" hidden="1">"c2673"</definedName>
    <definedName name="IQ_NET_INT_INC_7YR_ANN_GROWTH" hidden="1">"c763"</definedName>
    <definedName name="IQ_OPTIONS_STRIKE_PRICE_OS" hidden="1">"c2677"</definedName>
    <definedName name="IQ_ORDER_BACKLOG" hidden="1">"c2090"</definedName>
    <definedName name="IQ_PE_NORMALIZED" hidden="1">"c2207"</definedName>
    <definedName name="IQ_PREF_REP" hidden="1">"c1060"</definedName>
    <definedName name="IQ_STATUTORY_SURPLUS" hidden="1">"c1201"</definedName>
    <definedName name="nominal11">[37]Instrument!$E$81</definedName>
    <definedName name="IQ_SUB_DEBT_PCT" hidden="1">"c2533"</definedName>
    <definedName name="IQ_OTHER_ADJUST_GROSS_LOANS" hidden="1">"c859"</definedName>
    <definedName name="IQ_INTANGIBLES_NET" hidden="1">"c1407"</definedName>
    <definedName name="IQ_OTHER_ASSETS_BNK" hidden="1">"c861"</definedName>
    <definedName name="IQ_OTHER_UNUSUAL" hidden="1">"c1488"</definedName>
    <definedName name="IQ_OTHER_ASSETS_FIN" hidden="1">"c863"</definedName>
    <definedName name="IQ_OTHER_ASSETS_REIT" hidden="1">"c865"</definedName>
    <definedName name="IQ_OTHER_ASSETS_UTI" hidden="1">"c866"</definedName>
    <definedName name="_____Prj5">#REF!</definedName>
    <definedName name="IQ_OTHER_CA_SUPPL" hidden="1">"c869"</definedName>
    <definedName name="produit">[21]Donnees!$W$4</definedName>
    <definedName name="IQ_DA_SUPPL_REIT" hidden="1">"c270"</definedName>
    <definedName name="IQ_OTHER_CA_SUPPL_FIN" hidden="1">"c872"</definedName>
    <definedName name="________AMB1">#REF!</definedName>
    <definedName name="IQ_OTHER_CA_SUPPL_REIT" hidden="1">"c874"</definedName>
    <definedName name="IQ_CFO_3YR_ANN_GROWTH" hidden="1">"c129"</definedName>
    <definedName name="IQ_PREF_REP_REIT" hidden="1">"c1065"</definedName>
    <definedName name="manif280" hidden="1">{#N/A,#N/A,FALSE,"836082";#N/A,#N/A,FALSE,"PR836066 (2)";#N/A,#N/A,FALSE,"PR836066E";#N/A,#N/A,FALSE,"SilencF3RE";#N/A,#N/A,FALSE,"CamaraF3RE"}</definedName>
    <definedName name="IQ_OTHER_OPER" hidden="1">"c982"</definedName>
    <definedName name="IQ_OTHER_CL" hidden="1">"c877"</definedName>
    <definedName name="IQ_OTHER_CL_SUPPL_FIN" hidden="1">"c881"</definedName>
    <definedName name="Zprint5">#REF!</definedName>
    <definedName name="IQ_OTHER_CL_SUPPL_REIT" hidden="1">"c882"</definedName>
    <definedName name="IQ_OTHER_CL_UTI" hidden="1">"c884"</definedName>
    <definedName name="IQ_OTHER_CURRENT_LIAB" hidden="1">"c1404"</definedName>
    <definedName name="IQ_OTHER_DEP" hidden="1">"c885"</definedName>
    <definedName name="IQ_COMMON_ISSUED_FIN" hidden="1">"c200"</definedName>
    <definedName name="IQ_OTHER_EQUITY_BNK" hidden="1">"c887"</definedName>
    <definedName name="IQ_TOTAL_ASSETS_10YR_ANN_GROWTH" hidden="1">"c1235"</definedName>
    <definedName name="IQ_OTHER_EQUITY_FIN" hidden="1">"c889"</definedName>
    <definedName name="IQ_OTHER_EQUITY_UTI" hidden="1">"c892"</definedName>
    <definedName name="IQ_GAIN_ASSETS_REV" hidden="1">"c472"</definedName>
    <definedName name="bil_sommer">#REF!</definedName>
    <definedName name="IQ_RAW_INV" hidden="1">"c1089"</definedName>
    <definedName name="IQ_COMPANY_ADDRESS" hidden="1">"c214"</definedName>
    <definedName name="IQ_OTHER_FINANCE_ACT" hidden="1">"c893"</definedName>
    <definedName name="ll" hidden="1">{#N/A,#N/A,FALSE,"Report";#N/A,#N/A,FALSE,"Credit Debit Notes";#N/A,#N/A,FALSE,"Explanations";#N/A,#N/A,FALSE,"Summary"}</definedName>
    <definedName name="_Prj7">#REF!</definedName>
    <definedName name="IQ_OTHER_FINANCE_ACT_FIN" hidden="1">"c896"</definedName>
    <definedName name="IQ_OTHER_FINANCE_ACT_INS" hidden="1">"c897"</definedName>
    <definedName name="IQ_OTHER_FINANCE_ACT_SUPPL_BNK" hidden="1">"c900"</definedName>
    <definedName name="IQ_NUMBER_SHAREHOLDERS" hidden="1">"c1967"</definedName>
    <definedName name="IQ_OTHER_FINANCE_ACT_SUPPL_BR" hidden="1">"c901"</definedName>
    <definedName name="IQ_OTHER_FINANCE_ACT_UTI" hidden="1">"c906"</definedName>
    <definedName name="IQ_OTHER_INTAN_BNK" hidden="1">"c908"</definedName>
    <definedName name="_________TAX2">#REF!</definedName>
    <definedName name="IQ_OTHER_INTAN_INS" hidden="1">"c911"</definedName>
    <definedName name="IQ_OTHER_INTAN_REIT" hidden="1">"c912"</definedName>
    <definedName name="____________Prj7">#REF!</definedName>
    <definedName name="IQ_OTHER_INV" hidden="1">"c914"</definedName>
    <definedName name="IQ_CITY" hidden="1">"c166"</definedName>
    <definedName name="IQ_NI_NORM_5YR_ANN_GROWTH" hidden="1">"c1958"</definedName>
    <definedName name="IQ_POSTPAID_SUBS" hidden="1">"c2118"</definedName>
    <definedName name="IQ_OTHER_INVEST_ACT" hidden="1">"c916"</definedName>
    <definedName name="IQ_OTHER_INVEST_ACT_INS" hidden="1">"c920"</definedName>
    <definedName name="_____All2002">#REF!</definedName>
    <definedName name="IQ_OTHER_INVEST_ACT_REIT" hidden="1">"c921"</definedName>
    <definedName name="mensuel2">#REF!</definedName>
    <definedName name="IQ_OTHER_INVEST_ACT_SUPPL_BNK" hidden="1">"c923"</definedName>
    <definedName name="IQ_OTHER_INVEST_ACT_SUPPL_REIT" hidden="1">"c927"</definedName>
    <definedName name="IQ_OTHER_INVESTING" hidden="1">"c1408"</definedName>
    <definedName name="IQ_OTHER_LIAB_LT" hidden="1">"c935"</definedName>
    <definedName name="_18G0166000">#REF!</definedName>
    <definedName name="IQ_RE" hidden="1">"c1092"</definedName>
    <definedName name="_______MB3">#REF!</definedName>
    <definedName name="IQ_OTHER_LIAB_LT_BNK" hidden="1">"c936"</definedName>
    <definedName name="IQ_OTHER_LIAB_LT_FIN" hidden="1">"c938"</definedName>
    <definedName name="IQ_OTHER_LIAB_LT_UTI" hidden="1">"c941"</definedName>
    <definedName name="IQ_OTHER_LIAB_REIT" hidden="1">"c942"</definedName>
    <definedName name="IQ_GROSS_WRITTEN" hidden="1">"c2726"</definedName>
    <definedName name="IQ_OTHER_LIAB_UTI" hidden="1">"c943"</definedName>
    <definedName name="IQ_CHARGE_OFFS_TOTAL_AVG_LOANS" hidden="1">"c165"</definedName>
    <definedName name="IQ_PUT_NOTIFICATION" hidden="1">"c2485"</definedName>
    <definedName name="IQ_SPECIAL_DIV_CF_FIN" hidden="1">"c1172"</definedName>
    <definedName name="UFPrn20050903121731">#REF!</definedName>
    <definedName name="IQ_OTHER_LT_ASSETS_INS" hidden="1">"c950"</definedName>
    <definedName name="IQ_OTHER_LT_ASSETS_REIT" hidden="1">"c951"</definedName>
    <definedName name="IQ_OTHER_NON_INT_EXP" hidden="1">"c953"</definedName>
    <definedName name="IQ_OTHER_NON_OPER_EXP_BR" hidden="1">"c957"</definedName>
    <definedName name="IQ_INS_IN_FORCE" hidden="1">"c566"</definedName>
    <definedName name="IQ_OTHER_NON_OPER_EXP_FIN" hidden="1">"c958"</definedName>
    <definedName name="IQ_TR_RENEWAL_BUYBACK" hidden="1">"c2413"</definedName>
    <definedName name="IQ_OTHER_NON_OPER_EXP_REIT" hidden="1">"c960"</definedName>
    <definedName name="IQ_OTHER_NON_OPER_EXP_SUPPL" hidden="1">"c961"</definedName>
    <definedName name="IQ_OTHER_NON_OPER_EXP_SUPPL_REIT" hidden="1">"c965"</definedName>
    <definedName name="IQ_EBT" hidden="1">"c376"</definedName>
    <definedName name="IQ_OTHER_NON_OPER_EXP_SUPPL_BR" hidden="1">"c962"</definedName>
    <definedName name="____BFR1">#REF!</definedName>
    <definedName name="IQ_OTHER_OPER_ACT_BNK" hidden="1">"c984"</definedName>
    <definedName name="IQ_OTHER_OPER_ACT_FIN" hidden="1">"c986"</definedName>
    <definedName name="IQ_INC_EQUITY_INS" hidden="1">"c553"</definedName>
    <definedName name="IQ_OTHER_OPER_ACT_INS" hidden="1">"c987"</definedName>
    <definedName name="IQ_OTHER_OPER_ACT_REIT" hidden="1">"c988"</definedName>
    <definedName name="____MB3">#REF!</definedName>
    <definedName name="IQ_ST_NOTE_RECEIV" hidden="1">"c1199"</definedName>
    <definedName name="___Prj2">#REF!</definedName>
    <definedName name="IQ_OTHER_OPER_SUPPL_BR" hidden="1">"c994"</definedName>
    <definedName name="IQ_OTHER_OPER_SUPPL_FIN" hidden="1">"c995"</definedName>
    <definedName name="IQ_CAPEX_7YR_ANN_GROWTH" hidden="1">"c109"</definedName>
    <definedName name="_____Prj13">#REF!</definedName>
    <definedName name="IQ_OTHER_OPER_SUPPL_INS" hidden="1">"c996"</definedName>
    <definedName name="IQ_AR_REIT" hidden="1">"c43"</definedName>
    <definedName name="IQ_OTHER_OPER_SUPPL_REIT" hidden="1">"c997"</definedName>
    <definedName name="IQ_PROJECTED_PENSION_OBLIGATION_DOMESTIC" hidden="1">"c2656"</definedName>
    <definedName name="IQ_OTHER_OPER_SUPPL_UTI" hidden="1">"c998"</definedName>
    <definedName name="IQ_OTHER_OPER_TOT_BNK" hidden="1">"c999"</definedName>
    <definedName name="IQ_PREF_OTHER_REIT" hidden="1">"c1058"</definedName>
    <definedName name="安全系数">#REF!</definedName>
    <definedName name="IQ_OG_DCF_BEFORE_TAXES_OIL" hidden="1">"c2024"</definedName>
    <definedName name="IQ_OTHER_OPER_TOT_BR" hidden="1">"c1000"</definedName>
    <definedName name="IQ_OTHER_OPER_TOT_REIT" hidden="1">"c1003"</definedName>
    <definedName name="IQ_OTHER_OPTIONS_BEG_OS" hidden="1">"c2686"</definedName>
    <definedName name="IQ_OTHER_OPTIONS_STRIKE_PRICE_OS" hidden="1">"c2691"</definedName>
    <definedName name="IQ_OTHER_PC_WRITTEN" hidden="1">"c1006"</definedName>
    <definedName name="IQ_OTHER_REV" hidden="1">"c1010"</definedName>
    <definedName name="IQ_OTHER_REV_BR" hidden="1">"c1011"</definedName>
    <definedName name="IQ_CHANGE_NET_WORKING_CAPITAL" hidden="1">"c1909"</definedName>
    <definedName name="IQ_OTHER_REV_INS" hidden="1">"c1013"</definedName>
    <definedName name="IQ_OTHER_REV_REIT" hidden="1">"c1014"</definedName>
    <definedName name="IQ_OTHER_REV_SUPPL" hidden="1">"c1015"</definedName>
    <definedName name="IQ_OTHER_REVENUE" hidden="1">"c1410"</definedName>
    <definedName name="IQ_OTHER_STRIKE_PRICE_GRANTED" hidden="1">"c2692"</definedName>
    <definedName name="__Prj12">#REF!</definedName>
    <definedName name="IQ_INT_ON_BORROWING_COVERAGE" hidden="1">"c603"</definedName>
    <definedName name="IQ_RETAIL_FRANCHISE_STORES_BEG" hidden="1">"c2893"</definedName>
    <definedName name="IQ_OTHER_UNUSUAL_FIN" hidden="1">"c1562"</definedName>
    <definedName name="ordencomplain">[3]Feuil1!$A$37:$R$44</definedName>
    <definedName name="IQ_OTHER_UNUSUAL_INS" hidden="1">"c1563"</definedName>
    <definedName name="IQ_OTHER_UNUSUAL_SUPPL_INS" hidden="1">"c1498"</definedName>
    <definedName name="IQ_OTHER_UNUSUAL_UTI" hidden="1">"c1565"</definedName>
    <definedName name="IQ_TOTAL_EQUITY_5YR_ANN_GROWTH" hidden="1">"c1272"</definedName>
    <definedName name="EVOPERSO">#REF!</definedName>
    <definedName name="IQ_NONUTIL_REV" hidden="1">"c2089"</definedName>
    <definedName name="IQ_OTHER_WARRANTS_BEG_OS" hidden="1">"c2712"</definedName>
    <definedName name="___________MB3">#REF!</definedName>
    <definedName name="IQ_OTHER_WARRANTS_EXERCISED" hidden="1">"c2714"</definedName>
    <definedName name="IQ_OTHER_WARRANTS_STRIKE_PRICE_ISSUED" hidden="1">"c2718"</definedName>
    <definedName name="êe" hidden="1">{#N/A,#N/A,FALSE,"Report";#N/A,#N/A,FALSE,"Credit Debit Notes";#N/A,#N/A,FALSE,"Explanations";#N/A,#N/A,FALSE,"Summary";#N/A,#N/A,FALSE,"Budget";#N/A,#N/A,FALSE,"Actua"}</definedName>
    <definedName name="IQ_OTHER_WARRANTS_STRIKE_PRICE_OS" hidden="1">"c2717"</definedName>
    <definedName name="IQ_TOTAL_REV_3YR_ANN_GROWTH" hidden="1">"c1298"</definedName>
    <definedName name="IQ_OUTSTANDING_BS_DATE" hidden="1">"c2128"</definedName>
    <definedName name="IQ_OWNERSHIP" hidden="1">"c2160"</definedName>
    <definedName name="IQ_PART_TIME" hidden="1">"c1024"</definedName>
    <definedName name="IQ_PAY_ACCRUED" hidden="1">"c1457"</definedName>
    <definedName name="IQ_TEV_EBITDA_AVG" hidden="1">"c1223"</definedName>
    <definedName name="IQ_PAYOUT_RATIO" hidden="1">"c1900"</definedName>
    <definedName name="IQ_AIR_ASK_INCREASE" hidden="1">"c2826"</definedName>
    <definedName name="IQ_OTHER_FINANCE_ACT_SUPPL" hidden="1">"c899"</definedName>
    <definedName name="IQ_PBV" hidden="1">"c1025"</definedName>
    <definedName name="IQ_PBV_AVG" hidden="1">"c1026"</definedName>
    <definedName name="IQ_PC_GAAP_EXPENSE_RATIO" hidden="1">"c2780"</definedName>
    <definedName name="eeee" hidden="1">{#N/A,#N/A,FALSE,"Report";#N/A,#N/A,FALSE,"Credit Debit Notes";#N/A,#N/A,FALSE,"Explanations";#N/A,#N/A,FALSE,"Summary"}</definedName>
    <definedName name="IQ_PC_GAAP_LOSS" hidden="1">"c2779"</definedName>
    <definedName name="IQ_PC_POLICY_BENEFITS_EXP" hidden="1">"c2790"</definedName>
    <definedName name="TRANS_StdPnL">'[8]FI-2D10 MAG TRANS'!$B$71:$L$188</definedName>
    <definedName name="IQ_PC_STAT_COMBINED_RATIO" hidden="1">"c2778"</definedName>
    <definedName name="Manufacturing">"ComboBox1"</definedName>
    <definedName name="IQ_PC_STAT_DIVIDEND_RATIO" hidden="1">"c2776"</definedName>
    <definedName name="IQ_DEF_TAX_ASSETS_LT" hidden="1">"c310"</definedName>
    <definedName name="IQ_DEF_BENEFIT_ROA" hidden="1">"c285"</definedName>
    <definedName name="IQ_RESTRUCTURE_FIN" hidden="1">"c1108"</definedName>
    <definedName name="IQ_PC_STAT_EXPENSE_RATIO" hidden="1">"c2775"</definedName>
    <definedName name="IQ_COST_REV" hidden="1">"c226"</definedName>
    <definedName name="IQ_SALE_INTAN_CF_UTI" hidden="1">"c1136"</definedName>
    <definedName name="IQ_PC_STAT_LOSS_RATIO" hidden="1">"c2774"</definedName>
    <definedName name="IQ_TOTAL_DEBT_ISSUED_BR" hidden="1">"c1253"</definedName>
    <definedName name="IQ_PC_WRITTEN" hidden="1">"c1027"</definedName>
    <definedName name="IQ_PREF_REP_UTI" hidden="1">"c1066"</definedName>
    <definedName name="IQ_PE_RATIO" hidden="1">"c1610"</definedName>
    <definedName name="IQ_INC_EQUITY_BR" hidden="1">"c550"</definedName>
    <definedName name="IQ_PERIODDATE" hidden="1">"c1414"</definedName>
    <definedName name="IQ_PERIODDATE_IS" hidden="1">"c1034"</definedName>
    <definedName name="IQ_CURR_DOMESTIC_TAXES" hidden="1">"c2074"</definedName>
    <definedName name="IQ_PERIODLENGTH_IS" hidden="1">"c1503"</definedName>
    <definedName name="IQ_PERTYPE" hidden="1">"c1611"</definedName>
    <definedName name="IQ_PLL" hidden="1">"c2114"</definedName>
    <definedName name="IQ_VALUE_TRADED_LAST_WK" hidden="1">"c1528"</definedName>
    <definedName name="DD" hidden="1">{#N/A,#N/A,FALSE,"Key Performance Indicators";#N/A,#N/A,FALSE,"Glossary";#N/A,#N/A,FALSE,"Production Top 20";#N/A,#N/A,FALSE,"Non Prod. Top 20";#N/A,#N/A,FALSE,"MPI";#N/A,#N/A,FALSE,"GPI";#N/A,#N/A,FALSE,"Comments"}</definedName>
    <definedName name="IQ_INSUR_RECEIV" hidden="1">"c1600"</definedName>
    <definedName name="IQ_ST_DEBT_REPAID" hidden="1">"c1189"</definedName>
    <definedName name="IQ_GAIN_INVEST_FIN" hidden="1">"c1465"</definedName>
    <definedName name="IQ_PMT_FREQ" hidden="1">"c2236"</definedName>
    <definedName name="IQ_POLICY_BENEFITS" hidden="1">"c1036"</definedName>
    <definedName name="IQ_INTEREST_EXP" hidden="1">"c618"</definedName>
    <definedName name="IQ_POLICY_COST" hidden="1">"c1037"</definedName>
    <definedName name="IQ_POLICY_LOANS" hidden="1">"c1038"</definedName>
    <definedName name="__SE1">[2]Parametres!$D$35:$O$35</definedName>
    <definedName name="IQ_PREF_CONVERT" hidden="1">"c1041"</definedName>
    <definedName name="IQ_PREF_DIV_CF" hidden="1">"c1042"</definedName>
    <definedName name="________________Prj2">#REF!</definedName>
    <definedName name="IQ_PREF_ISSUED" hidden="1">"c1045"</definedName>
    <definedName name="IQ_PREF_ISSUED_BNK" hidden="1">"c1046"</definedName>
    <definedName name="IQ_LT_INVEST_UTI" hidden="1">"c701"</definedName>
    <definedName name="IQ_PREF_ISSUED_INS" hidden="1">"c1049"</definedName>
    <definedName name="IQ_PREF_OTHER" hidden="1">"c1053"</definedName>
    <definedName name="IQ_PREF_OTHER_BNK" hidden="1">"c1054"</definedName>
    <definedName name="IQ_PREF_OTHER_BR" hidden="1">"c1055"</definedName>
    <definedName name="IQ_PREF_REDEEM" hidden="1">"c1059"</definedName>
    <definedName name="IQ_PREF_REP_BR" hidden="1">"c1062"</definedName>
    <definedName name="IQ_PREF_REP_INS" hidden="1">"c1064"</definedName>
    <definedName name="IQ_ACCR_INT_RECEIV" hidden="1">"c3"</definedName>
    <definedName name="IQ_PREF_STOCK" hidden="1">"c1416"</definedName>
    <definedName name="IQ_PREF_TOT" hidden="1">"c1415"</definedName>
    <definedName name="IQ_PRICE_OVER_LTM_EPS" hidden="1">"c1413"</definedName>
    <definedName name="IQ_INSIDER_6MTH_SOLD_PCT" hidden="1">"c1536"</definedName>
    <definedName name="IQ_PRICING_DATE" hidden="1">"c1613"</definedName>
    <definedName name="IQ_PRIMARY_INDUSTRY" hidden="1">"c1070"</definedName>
    <definedName name="asfasfasfasf">[1]INVENT!$C$1:$J$37</definedName>
    <definedName name="IQ_FINANCING_CASH" hidden="1">"c1405"</definedName>
    <definedName name="IQ_LEGAL_SETTLE_INS" hidden="1">"c651"</definedName>
    <definedName name="IQ_PRO_FORMA_BASIC_EPS" hidden="1">"c1614"</definedName>
    <definedName name="Site2">#REF!</definedName>
    <definedName name="IQ_PROFESSIONAL_TITLE" hidden="1">"c1072"</definedName>
    <definedName name="____________________eat1" hidden="1">{#N/A,#N/A,FALSE,"Report";#N/A,#N/A,FALSE,"Credit Debit Notes";#N/A,#N/A,FALSE,"Explanations";#N/A,#N/A,FALSE,"Summary"}</definedName>
    <definedName name="IQ_PROPERTY_EXP" hidden="1">"c1073"</definedName>
    <definedName name="IQ_BV_OVER_SHARES" hidden="1">"c1349"</definedName>
    <definedName name="IQ_OTHER_WARRANTS_END_OS" hidden="1">"c2716"</definedName>
    <definedName name="IQ_PROPERTY_GROSS" hidden="1">"c1379"</definedName>
    <definedName name="______________BFR1">#REF!</definedName>
    <definedName name="IQ_PROVISION_3YR_ANN_GROWTH" hidden="1">"c1080"</definedName>
    <definedName name="IQ_EQV_OVER_LTM_PRETAX_INC" hidden="1">"c1390"</definedName>
    <definedName name="IQ_TOTAL_BANK_CAPITAL" hidden="1">"c2668"</definedName>
    <definedName name="_______________FES1" hidden="1">{#N/A,#N/A,FALSE,"Report";#N/A,#N/A,FALSE,"Credit Debit Notes";#N/A,#N/A,FALSE,"Explanations";#N/A,#N/A,FALSE,"Summary"}</definedName>
    <definedName name="IQ_PTBV" hidden="1">"c1084"</definedName>
    <definedName name="__________________BFR2">#REF!</definedName>
    <definedName name="IQ_PUT_DATE_SCHEDULE" hidden="1">"c2483"</definedName>
    <definedName name="IQ_CONVERT_PCT" hidden="1">"c2537"</definedName>
    <definedName name="IQ_SP_ISSUE_LT" hidden="1">"c2645"</definedName>
    <definedName name="IQ_SUB_LEASE_INC_CY2" hidden="1">"c1210"</definedName>
    <definedName name="IQ_AVG_INT_BEAR_LIAB_5YR_ANN_GROWTH" hidden="1">"c71"</definedName>
    <definedName name="IQ_QUICK_RATIO" hidden="1">"c1086"</definedName>
    <definedName name="______________MB3">#REF!</definedName>
    <definedName name="IQ_RC" hidden="1">"c2497"</definedName>
    <definedName name="MANUAL" hidden="1">{#N/A,#N/A,FALSE,"836082";#N/A,#N/A,FALSE,"PR836066 (2)";#N/A,#N/A,FALSE,"PR836066E";#N/A,#N/A,FALSE,"SilencF3RE";#N/A,#N/A,FALSE,"CamaraF3RE"}</definedName>
    <definedName name="__TT1">#REF!</definedName>
    <definedName name="IQ_RC_PCT" hidden="1">"c2498"</definedName>
    <definedName name="IQ_RD_EXP" hidden="1">"c1090"</definedName>
    <definedName name="IQ_REAL_ESTATE" hidden="1">"c1093"</definedName>
    <definedName name="IQ_REAL_ESTATE_ASSETS" hidden="1">"c1094"</definedName>
    <definedName name="IQ_REG_ASSETS" hidden="1">"c1095"</definedName>
    <definedName name="SumFinanz">#REF!</definedName>
    <definedName name="IQ_REINSUR_PAY_CF" hidden="1">"c1097"</definedName>
    <definedName name="IQ_REINSUR_RECOVER" hidden="1">"c1098"</definedName>
    <definedName name="IQ_DIRECT_PC_EARNED" hidden="1">"c2745"</definedName>
    <definedName name="IQ_DAYS_PAYABLE_OUT" hidden="1">"c274"</definedName>
    <definedName name="IQ_NPPE" hidden="1">"c829"</definedName>
    <definedName name="IQ_REINSUR_RECOVER_CF" hidden="1">"c1099"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IS" hidden="1">"c1642"</definedName>
    <definedName name="IQ_RESTRICTED_CASH" hidden="1">"c1103"</definedName>
    <definedName name="reel_04">[21]Donnees!$BO$4</definedName>
    <definedName name="IQ_RESTRUCTURE_BNK" hidden="1">"c1105"</definedName>
    <definedName name="IQ_RESTRUCTURE_CF" hidden="1">"c1107"</definedName>
    <definedName name="IQ_RETAIL_ACQUIRED_FRANCHISE_STORES" hidden="1">"c2903"</definedName>
    <definedName name="IQ_RETAIL_ACQUIRED_OWNED_STORES" hidden="1">"c2895"</definedName>
    <definedName name="IQ_RETAIL_AVG_STORE_SIZE_GROSS" hidden="1">"c2066"</definedName>
    <definedName name="IQ_RETAIL_CLOSED_OWNED_STORES" hidden="1">"c2904"</definedName>
    <definedName name="IQ_RETAIL_SALES_SQFT_ALL_GROSS" hidden="1">"c2138"</definedName>
    <definedName name="Zprint22S">#REF!</definedName>
    <definedName name="IQ_RETAIL_SALES_SQFT_COMPARABLE_NET" hidden="1">"c2137"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TR_CO_NET_PROCEEDS" hidden="1">"c2268"</definedName>
    <definedName name="IQ_SGA_UTI" hidden="1">"c1163"</definedName>
    <definedName name="IQ_RETAIL_STORE_SELLING_AREA" hidden="1">"c2065"</definedName>
    <definedName name="IQ_RETAINED_EARN" hidden="1">"c1420"</definedName>
    <definedName name="IQ_RETURN_ASSETS_FS" hidden="1">"c1116"</definedName>
    <definedName name="SIG">#REF!</definedName>
    <definedName name="IQ_RETURN_CAPITAL" hidden="1">"c1117"</definedName>
    <definedName name="IQ_RETURN_INVESTMENT" hidden="1">"c1421"</definedName>
    <definedName name="IQ_GW_INTAN_AMORT_BR" hidden="1">"c1470"</definedName>
    <definedName name="IQ_REV" hidden="1">"c1122"</definedName>
    <definedName name="IQ_REV_UTI" hidden="1">"c1125"</definedName>
    <definedName name="sobrecusto">[41]Rates!$B$3</definedName>
    <definedName name="__________________Prj4">#REF!</definedName>
    <definedName name="IQ_REVENUE" hidden="1">"c1422"</definedName>
    <definedName name="IQ_ACCR_INT_RECEIV_CF" hidden="1">"c4"</definedName>
    <definedName name="IQ_REVISION_DATE_" hidden="1">39123.635474537</definedName>
    <definedName name="IQ_SALARY" hidden="1">"c1130"</definedName>
    <definedName name="Entity">#REF!</definedName>
    <definedName name="ActualT3000">[3]Feuil1!$S$59</definedName>
    <definedName name="IQ_SALE_INTAN_CF" hidden="1">"c1131"</definedName>
    <definedName name="IQ_SALE_INTAN_CF_FIN" hidden="1">"c1134"</definedName>
    <definedName name="IQ_SALE_PPE_CF" hidden="1">"c1137"</definedName>
    <definedName name="valTM7">'[50]31.12.03'!$O$62</definedName>
    <definedName name="IQ_COMMON_EQUITY_3YR_ANN_GROWTH" hidden="1">"c194"</definedName>
    <definedName name="IQ_SALE_PPE_CF_UTI" hidden="1">"c1142"</definedName>
    <definedName name="IQ_SALE_RE_ASSETS" hidden="1">"c1629"</definedName>
    <definedName name="IQ_SALE_REAL_ESTATE_CF_INS" hidden="1">"c1147"</definedName>
    <definedName name="IQ_SECURED_DEBT_PCT" hidden="1">"c2547"</definedName>
    <definedName name="IQ_SECURITY_BORROW" hidden="1">"c1152"</definedName>
    <definedName name="IQ_OTHER_FINANCE_ACT_SUPPL_UTI" hidden="1">"c905"</definedName>
    <definedName name="IQ_SECURITY_LEVEL" hidden="1">"c2159"</definedName>
    <definedName name="IQ_YTW_DATE" hidden="1">"c2164"</definedName>
    <definedName name="IQ_SECURITY_RESELL" hidden="1">"c1154"</definedName>
    <definedName name="AnzMaPraemie">[3]Feuil1!$G$6</definedName>
    <definedName name="IQ_SEPARATE_ACCT_ASSETS" hidden="1">"c1155"</definedName>
    <definedName name="Veh">#REF!</definedName>
    <definedName name="IQ_SGA_BNK" hidden="1">"c1159"</definedName>
    <definedName name="IQ_SGA_MARGIN" hidden="1">"c1898"</definedName>
    <definedName name="IQ_SGA_REIT" hidden="1">"c1161"</definedName>
    <definedName name="IQ_COST_BORROWING" hidden="1">"c2936"</definedName>
    <definedName name="IQ_RETAIL_CLOSED_FRANCHISE_STORES" hidden="1">"c2896"</definedName>
    <definedName name="IQ_SGA_SUPPL" hidden="1">"c1162"</definedName>
    <definedName name="IQ_UNEARN_REV_CURRENT_FIN" hidden="1">"c1325"</definedName>
    <definedName name="IQ_CALLABLE" hidden="1">"c2196"</definedName>
    <definedName name="IQ_SHAREOUTSTANDING" hidden="1">"c1347"</definedName>
    <definedName name="IQ_SHORT_INTEREST" hidden="1">"c1165"</definedName>
    <definedName name="IQ_SMALL_INT_BEAR_CD" hidden="1">"c1166"</definedName>
    <definedName name="IQ_SOURCE" hidden="1">"c1168"</definedName>
    <definedName name="IQ_CABLE_REV_PHONE" hidden="1">"c2879"</definedName>
    <definedName name="IQ_SP_BANK" hidden="1">"c2637"</definedName>
    <definedName name="IQ_SP_FIN_ENHANCE_FX" hidden="1">"c2631"</definedName>
    <definedName name="IQ_SP_FIN_ENHANCE_LC" hidden="1">"c2634"</definedName>
    <definedName name="___________Prj6">#REF!</definedName>
    <definedName name="IQ_SP_FIN_STRENGTH_LC_DATE_ST" hidden="1">"c2624"</definedName>
    <definedName name="IQ_SP_FIN_STRENGTH_LC_LT" hidden="1">"c2627"</definedName>
    <definedName name="IQ_SALE_INTAN_CF_REIT" hidden="1">"c1627"</definedName>
    <definedName name="IQ_SP_FX_ACTION_ST" hidden="1">"c2614"</definedName>
    <definedName name="IQ_SP_FX_DATE_ST" hidden="1">"c2612"</definedName>
    <definedName name="IQ_SP_FX_ST" hidden="1">"c2616"</definedName>
    <definedName name="Jun_02">#REF!</definedName>
    <definedName name="IQ_SP_ISSUE_DATE" hidden="1">"c2643"</definedName>
    <definedName name="IQ_SR_SUB_DEBT" hidden="1">"c2530"</definedName>
    <definedName name="IQ_SP_ISSUE_OUTLOOK_WATCH" hidden="1">"c2650"</definedName>
    <definedName name="Pareto_FTN">[3]Feuil1!$W$4:$X$36</definedName>
    <definedName name="Oct_02">#REF!</definedName>
    <definedName name="IQ_SP_ISSUE_RECOVER_ACTION" hidden="1">"c2647"</definedName>
    <definedName name="IQ_US_GAAP_TOTAL_REV_ADJ" hidden="1">"c2950"</definedName>
    <definedName name="Feb_02">#REF!</definedName>
    <definedName name="IQ_SP_ISSUE_RECOVER_DATE" hidden="1">"c2646"</definedName>
    <definedName name="IQ_SP_LC_ACTION_LT" hidden="1">"c2619"</definedName>
    <definedName name="IQ_SP_STATUS" hidden="1">"c2173"</definedName>
    <definedName name="hjhjhjhj" hidden="1">{#N/A,#N/A,FALSE,"Report";#N/A,#N/A,FALSE,"Credit Debit Notes";#N/A,#N/A,FALSE,"Explanations";#N/A,#N/A,FALSE,"Summary";#N/A,#N/A,FALSE,"Budget";#N/A,#N/A,FALSE,"Actua"}</definedName>
    <definedName name="IQ_SPECIAL_DIV_CF_REIT" hidden="1">"c1174"</definedName>
    <definedName name="IQ_CASH" hidden="1">"c1458"</definedName>
    <definedName name="IQ_SALE_PPE_CF_BNK" hidden="1">"c1138"</definedName>
    <definedName name="IQ_SPECIAL_DIV_CF_UTI" hidden="1">"c1175"</definedName>
    <definedName name="IQ_OG_PURCHASES_NGL" hidden="1">"c2916"</definedName>
    <definedName name="_All2002">#REF!</definedName>
    <definedName name="CASHFOR">#REF!</definedName>
    <definedName name="IQ_SR_DEBT_PCT" hidden="1">"c2527"</definedName>
    <definedName name="IQ_OPERATIONS_EXP" hidden="1">"c855"</definedName>
    <definedName name="IQ_SR_SUB_DEBT_EBITDA_CAPEX" hidden="1">"c2557"</definedName>
    <definedName name="donnees">[21]Donnees!$A$4:$BX$1182</definedName>
    <definedName name="IQ_DPS_7YR_ANN_GROWTH" hidden="1">"c342"</definedName>
    <definedName name="IQ_ST_DEBT" hidden="1">"c1176"</definedName>
    <definedName name="IQ_ST_DEBT_BNK" hidden="1">"c1177"</definedName>
    <definedName name="IQ_ST_DEBT_FIN" hidden="1">"c1179"</definedName>
    <definedName name="IQ_ST_DEBT_ISSUED" hidden="1">"c1181"</definedName>
    <definedName name="IQ_ST_DEBT_ISSUED_BNK" hidden="1">"c1182"</definedName>
    <definedName name="IQ_ST_DEBT_ISSUED_INS" hidden="1">"c1185"</definedName>
    <definedName name="IQ_PREPAID_EXP" hidden="1">"c1068"</definedName>
    <definedName name="IQ_ST_DEBT_ISSUED_UTI" hidden="1">"c1187"</definedName>
    <definedName name="IQ_US_GAAP_DILUT_NI" hidden="1">"c2979"</definedName>
    <definedName name="IQ_ST_DEBT_REIT" hidden="1">"c1188"</definedName>
    <definedName name="IQ_ST_DEBT_REPAID_BNK" hidden="1">"c1190"</definedName>
    <definedName name="IQ_ST_DEBT_REPAID_FIN" hidden="1">"c1192"</definedName>
    <definedName name="IQ_ST_DEBT_REPAID_REIT" hidden="1">"c1194"</definedName>
    <definedName name="IQ_US_GAAP_BASIC_EPS_INCL" hidden="1">"c2982"</definedName>
    <definedName name="IQ_ST_DEBT_REPAID_UTI" hidden="1">"c1195"</definedName>
    <definedName name="IQ_ST_DEBT_UTI" hidden="1">"c1196"</definedName>
    <definedName name="____________________RD2">#REF!</definedName>
    <definedName name="IQ_OG_OIL_PRICE_HEDGED" hidden="1">"c2055"</definedName>
    <definedName name="IQ_ST_INVEST" hidden="1">"c1197"</definedName>
    <definedName name="IQ_DAYS_SALES_OUTST" hidden="1">"c1363"</definedName>
    <definedName name="IQ_ST_INVEST_UTI" hidden="1">"c1198"</definedName>
    <definedName name="IQ_VOL_LAST_3MTH" hidden="1">"c1525"</definedName>
    <definedName name="IQ_STOCK_BASED_AT" hidden="1">"c2999"</definedName>
    <definedName name="IQ_STOCK_BASED_GA" hidden="1">"c2993"</definedName>
    <definedName name="Zprint3">#REF!</definedName>
    <definedName name="IQ_AIR_AVG_AGE" hidden="1">"c2843"</definedName>
    <definedName name="IQ_STOCK_BASED_SGA" hidden="1">"c2994"</definedName>
    <definedName name="IQ_STOCK_BASED_SM" hidden="1">"c2992"</definedName>
    <definedName name="IQ_SUB_BONDS_NOTES" hidden="1">"c2503"</definedName>
    <definedName name="IQ_SUB_DEBT_EBITDA_CAPEX" hidden="1">"c2559"</definedName>
    <definedName name="IQ_SUB_LEASE_INC_CY1" hidden="1">"c1209"</definedName>
    <definedName name="divisions">#REF!</definedName>
    <definedName name="IQ_CLASSA_OPTIONS_BEG_OS" hidden="1">"c2679"</definedName>
    <definedName name="IQ_SUB_LEASE_INC_CY4" hidden="1">"c1212"</definedName>
    <definedName name="IQ_SUB_LEASE_NEXT_FIVE" hidden="1">"c1213"</definedName>
    <definedName name="IQ_LT_DEBT_UTI" hidden="1">"c696"</definedName>
    <definedName name="IQ_TARGET_PRICE_NUM" hidden="1">"c1653"</definedName>
    <definedName name="L_1">#N/A</definedName>
    <definedName name="IQ_TARGET_PRICE_STDDEV" hidden="1">"c1654"</definedName>
    <definedName name="IQ_OG_OTHER_ADJ_GAS" hidden="1">"c2048"</definedName>
    <definedName name="IQ_TEV_EBIT_AVG" hidden="1">"c1221"</definedName>
    <definedName name="IQ_TEV_EBITDA" hidden="1">"c1222"</definedName>
    <definedName name="IQ_TEV_TOTAL_REV" hidden="1">"c1226"</definedName>
    <definedName name="IQ_TODAY" hidden="1">0</definedName>
    <definedName name="IQ_TOTAL_AR_REIT" hidden="1">"c1232"</definedName>
    <definedName name="IQ_TOTAL_AR_UTI" hidden="1">"c1233"</definedName>
    <definedName name="Nov_04">#REF!</definedName>
    <definedName name="IQ_DEF_BENEFIT_TOTAL_COST_DOMESTIC" hidden="1">"c2655"</definedName>
    <definedName name="IQ_TOTAL_ASSETS_1YR_ANN_GROWTH" hidden="1">"c1236"</definedName>
    <definedName name="IQ_TOTAL_ASSETS_7YR_ANN_GROWTH" hidden="1">"c1240"</definedName>
    <definedName name="IQ_TOTAL_CA" hidden="1">"c1243"</definedName>
    <definedName name="IQ_TOTAL_CAP" hidden="1">"c1507"</definedName>
    <definedName name="IQ_NET_INT_INC_3YR_ANN_GROWTH" hidden="1">"c761"</definedName>
    <definedName name="IQ_TOTAL_CASH_FINAN" hidden="1">"c1352"</definedName>
    <definedName name="_____BFR1">#REF!</definedName>
    <definedName name="_____MB2">#REF!</definedName>
    <definedName name="IQ_TOTAL_CASH_INVEST" hidden="1">"c1353"</definedName>
    <definedName name="IQ_TOTAL_CASH_OPER" hidden="1">"c1354"</definedName>
    <definedName name="IQ_AIR_TOTAL" hidden="1">"c2831"</definedName>
    <definedName name="IQ_CAPITAL_LEASES_TOTAL" hidden="1">"c3031"</definedName>
    <definedName name="IQ_TOTAL_CL" hidden="1">"c1245"</definedName>
    <definedName name="____________FES1" hidden="1">{#N/A,#N/A,FALSE,"Report";#N/A,#N/A,FALSE,"Credit Debit Notes";#N/A,#N/A,FALSE,"Explanations";#N/A,#N/A,FALSE,"Summary"}</definedName>
    <definedName name="IQ_TOTAL_COMMON_EQUITY" hidden="1">"c1246"</definedName>
    <definedName name="IQ_TOTAL_CURRENT_ASSETS" hidden="1">"c1430"</definedName>
    <definedName name="IQ_TOTAL_DEBT" hidden="1">"c1247"</definedName>
    <definedName name="IQ_TOTAL_DEBT_EXCL_FIN" hidden="1">"c2937"</definedName>
    <definedName name="IQ_TOTAL_DEBT_ISSUED" hidden="1">"c1251"</definedName>
    <definedName name="IQ_INSIDER_PERCENT" hidden="1">"c578"</definedName>
    <definedName name="IQ_TOTAL_DEBT_ISSUED_BNK" hidden="1">"c1252"</definedName>
    <definedName name="IQ_TOTAL_DEBT_ISSUED_FIN" hidden="1">"c1254"</definedName>
  </definedNames>
  <calcPr calcId="191029"/>
</workbook>
</file>

<file path=xl/sharedStrings.xml><?xml version="1.0" encoding="utf-8"?>
<sst xmlns="http://schemas.openxmlformats.org/spreadsheetml/2006/main" count="736" uniqueCount="736">
  <si>
    <t/>
  </si>
  <si>
    <t>备注</t>
  </si>
  <si>
    <t>反馈</t>
  </si>
  <si>
    <t>新项目支持</t>
  </si>
  <si>
    <t>其他</t>
  </si>
  <si>
    <t>上海</t>
  </si>
  <si>
    <t>未引用项目</t>
  </si>
  <si>
    <t>-</t>
  </si>
  <si>
    <t>1800保留</t>
  </si>
  <si>
    <t>小门-西周</t>
  </si>
  <si>
    <t>小门</t>
  </si>
  <si>
    <t>西周</t>
  </si>
  <si>
    <t>2601保留</t>
  </si>
  <si>
    <t>其他-先期制造部-门板-长春</t>
  </si>
  <si>
    <t>门板</t>
  </si>
  <si>
    <t>长春</t>
  </si>
  <si>
    <t>其他-项目-门板-长春</t>
  </si>
  <si>
    <t>无9999</t>
  </si>
  <si>
    <t>上汽奥迪-A5L-小门-西周</t>
  </si>
  <si>
    <t>上汽奥迪</t>
  </si>
  <si>
    <t>A5L</t>
  </si>
  <si>
    <t>华东二区</t>
  </si>
  <si>
    <t>上汽大众-AERO B-小门-西周</t>
  </si>
  <si>
    <t>上汽大众</t>
  </si>
  <si>
    <t>AERO B</t>
  </si>
  <si>
    <t>上汽奥迪-A5L-门板-常熟</t>
  </si>
  <si>
    <t>常熟</t>
  </si>
  <si>
    <t>华东一区</t>
  </si>
  <si>
    <t>上汽奥迪-A5L-立柱-常熟</t>
  </si>
  <si>
    <t>立柱</t>
  </si>
  <si>
    <t>一汽大众-劳伦斯-AUDI401-油漆饰条-西周</t>
  </si>
  <si>
    <t>一汽大众-劳伦斯</t>
  </si>
  <si>
    <t>AUDI401</t>
  </si>
  <si>
    <t>油漆饰条</t>
  </si>
  <si>
    <t>上汽大众-AU413-门板-常熟</t>
  </si>
  <si>
    <t>AU413</t>
  </si>
  <si>
    <t>一汽大众-BC326-小门-西周</t>
  </si>
  <si>
    <t>一汽大众</t>
  </si>
  <si>
    <t>BC326</t>
  </si>
  <si>
    <t>比亚迪-EHEA-门板-合肥</t>
  </si>
  <si>
    <t>比亚迪</t>
  </si>
  <si>
    <t>EHEA</t>
  </si>
  <si>
    <t>合肥</t>
  </si>
  <si>
    <t>比亚迪-SR-小门-西周</t>
  </si>
  <si>
    <t>SR</t>
  </si>
  <si>
    <t>比亚迪-SGHU-轮眉-西周</t>
  </si>
  <si>
    <t>SGHU</t>
  </si>
  <si>
    <t>轮眉</t>
  </si>
  <si>
    <t>吉祥-C5-小门-西周</t>
  </si>
  <si>
    <t>吉祥</t>
  </si>
  <si>
    <t>C5</t>
  </si>
  <si>
    <t>北汽新能源-C71KS-小门-西周</t>
  </si>
  <si>
    <t>北汽新能源</t>
  </si>
  <si>
    <t>C71KS</t>
  </si>
  <si>
    <t>长安-CD701-小门-西周</t>
  </si>
  <si>
    <t>长安</t>
  </si>
  <si>
    <t>CD701</t>
  </si>
  <si>
    <t>其它-CDX707-其它-宁波</t>
  </si>
  <si>
    <t>CDX707</t>
  </si>
  <si>
    <t>宁波</t>
  </si>
  <si>
    <t>极氪-CX1E-门板-宁波</t>
  </si>
  <si>
    <t>极氪</t>
  </si>
  <si>
    <t>CX1E</t>
  </si>
  <si>
    <t>T客户-E80-门板-上海</t>
  </si>
  <si>
    <t>特斯拉</t>
  </si>
  <si>
    <t>E80</t>
  </si>
  <si>
    <t>赛力斯-F1L六座-立柱-重庆</t>
  </si>
  <si>
    <t>赛力斯</t>
  </si>
  <si>
    <t>F1L六座</t>
  </si>
  <si>
    <t>重庆</t>
  </si>
  <si>
    <t>西南&amp;华南区</t>
  </si>
  <si>
    <t>赛力斯-F1L-门板-重庆</t>
  </si>
  <si>
    <t>F1L</t>
  </si>
  <si>
    <t>赛力斯-F1L-仪表板-重庆</t>
  </si>
  <si>
    <t>仪表板</t>
  </si>
  <si>
    <t>赛力斯-F1L-侧围-重庆</t>
  </si>
  <si>
    <t>侧围</t>
  </si>
  <si>
    <t>赛力斯-F1L-立柱-重庆</t>
  </si>
  <si>
    <t>上汽大众-Lavida-小门-西周</t>
  </si>
  <si>
    <t>Lavida</t>
  </si>
  <si>
    <t>上汽智己-P12LM1-门板-宁波</t>
  </si>
  <si>
    <t>上汽智己</t>
  </si>
  <si>
    <t>P12LM1</t>
  </si>
  <si>
    <t>上汽大众-PASSAT B9  PHEV-门板-扬州</t>
  </si>
  <si>
    <t>PASSAT B9  PHEV</t>
  </si>
  <si>
    <t>扬州</t>
  </si>
  <si>
    <t>上汽大众-Passat B9-门板-扬州</t>
  </si>
  <si>
    <t>Passat B9</t>
  </si>
  <si>
    <t>上汽智己-S12L-小门-西周</t>
  </si>
  <si>
    <t>S12L</t>
  </si>
  <si>
    <t>比亚迪-SA6-小门-西周</t>
  </si>
  <si>
    <t>SA6</t>
  </si>
  <si>
    <t>蔚来-Sirius NT2.5-立柱-合肥</t>
  </si>
  <si>
    <t>蔚来</t>
  </si>
  <si>
    <t>Sirius NT2.5</t>
  </si>
  <si>
    <t>比亚迪-SL2-小门-西周</t>
  </si>
  <si>
    <t>SL2</t>
  </si>
  <si>
    <t>比亚迪-SRE-小门-西周</t>
  </si>
  <si>
    <t>SRE</t>
  </si>
  <si>
    <t>T客户-TOD-门板-上海</t>
  </si>
  <si>
    <t>TOD</t>
  </si>
  <si>
    <t>特斯拉-劳伦斯-TSWI-油漆饰条-西周</t>
  </si>
  <si>
    <t>特斯拉-劳伦斯</t>
  </si>
  <si>
    <t>TSWI</t>
  </si>
  <si>
    <t>比亚迪-URE-门板-西安</t>
  </si>
  <si>
    <t>URE</t>
  </si>
  <si>
    <t>西安</t>
  </si>
  <si>
    <t>一汽大众-劳伦斯-VW336-油漆饰条-西周</t>
  </si>
  <si>
    <t>VW336</t>
  </si>
  <si>
    <t>一汽大众-劳伦斯-VW380-油漆饰条-西周</t>
  </si>
  <si>
    <t>VW380</t>
  </si>
  <si>
    <t>北京奔驰-V174/178 -门板-天津</t>
  </si>
  <si>
    <t>北京奔驰</t>
  </si>
  <si>
    <t>V174/178</t>
  </si>
  <si>
    <t>天津</t>
  </si>
  <si>
    <t>北方区</t>
  </si>
  <si>
    <t>北京奔驰-V520 DP-门板-天津</t>
  </si>
  <si>
    <t>V520 DP</t>
  </si>
  <si>
    <t>北京奔驰-X244 249-门板-天津</t>
  </si>
  <si>
    <t>X244 249</t>
  </si>
  <si>
    <t>比亚迪-EUEA-小门-西周</t>
  </si>
  <si>
    <t>EUEA</t>
  </si>
  <si>
    <t>比亚迪-SK2-轮眉-西周</t>
  </si>
  <si>
    <t>SK2</t>
  </si>
  <si>
    <t>比亚迪-QZH-顶棚-佛山</t>
  </si>
  <si>
    <t>QZH</t>
  </si>
  <si>
    <t>顶棚</t>
  </si>
  <si>
    <t>佛山</t>
  </si>
  <si>
    <t>老项目。无IBP，可删除</t>
  </si>
  <si>
    <t>26年有数据，27年删除</t>
  </si>
  <si>
    <t>长安福特-CD542-仪表板-重庆</t>
  </si>
  <si>
    <t>长安福特</t>
  </si>
  <si>
    <t>CD542</t>
  </si>
  <si>
    <t>长安福特-CX483 MY25-中央通道-重庆</t>
  </si>
  <si>
    <t>CX483 MY25</t>
  </si>
  <si>
    <t>中央通道</t>
  </si>
  <si>
    <t>长安福特-U625 MY26-门板-重庆</t>
  </si>
  <si>
    <t>U625 MY26</t>
  </si>
  <si>
    <t>比亚迪-ENEA-顶棚-合肥</t>
  </si>
  <si>
    <t>ENEA</t>
  </si>
  <si>
    <t>一汽大众-VW311/0-顶棚-合肥</t>
  </si>
  <si>
    <t>VW311/0</t>
  </si>
  <si>
    <t>一汽大众-VW313/2-顶棚-合肥</t>
  </si>
  <si>
    <t>VW313/2</t>
  </si>
  <si>
    <t>一汽大众-VW416/9-顶棚-合肥</t>
  </si>
  <si>
    <t>VW416/9</t>
  </si>
  <si>
    <t>一汽红旗-E111-04离线-小门-西周</t>
  </si>
  <si>
    <t>一汽红旗</t>
  </si>
  <si>
    <t>E111-04</t>
  </si>
  <si>
    <t>一汽红旗-P601-小门-西周</t>
  </si>
  <si>
    <t>P601</t>
  </si>
  <si>
    <t>台湾鸿华-D21F-门外把手-西周</t>
  </si>
  <si>
    <t>台湾鸿华</t>
  </si>
  <si>
    <t>D21</t>
  </si>
  <si>
    <t>其他外饰</t>
  </si>
  <si>
    <t>极星-P61-仪表板-重庆</t>
  </si>
  <si>
    <t>极星</t>
  </si>
  <si>
    <t>P61</t>
  </si>
  <si>
    <t>极星-P61-行李箱系统-重庆</t>
  </si>
  <si>
    <t>行李箱系统</t>
  </si>
  <si>
    <t>江淮-X6-小门-西周</t>
  </si>
  <si>
    <t>江淮</t>
  </si>
  <si>
    <t>X6</t>
  </si>
  <si>
    <t>长安马自达-J90K-中央通道-常熟</t>
  </si>
  <si>
    <t>长安马自达</t>
  </si>
  <si>
    <t>J90K</t>
  </si>
  <si>
    <t>长安马自达-J90K-仪表板-常熟</t>
  </si>
  <si>
    <t>奇瑞-E08-仪表板-常熟</t>
  </si>
  <si>
    <t>奇瑞</t>
  </si>
  <si>
    <t>E08</t>
  </si>
  <si>
    <t>奇瑞-E0Y-仪表板-常熟</t>
  </si>
  <si>
    <t>E0Y</t>
  </si>
  <si>
    <t>奇瑞-T28-顶棚-青岛</t>
  </si>
  <si>
    <t>T28</t>
  </si>
  <si>
    <t>青岛</t>
  </si>
  <si>
    <t>老项目。无IBP，有设变ECN</t>
  </si>
  <si>
    <t>OK</t>
  </si>
  <si>
    <t>赛力斯-F1C MY25-门板-重庆</t>
  </si>
  <si>
    <t>F1C MY25</t>
  </si>
  <si>
    <t>赛力斯-X1L-门板-重庆</t>
  </si>
  <si>
    <t>X1L</t>
  </si>
  <si>
    <t>上汽集团-SHB-小门-西周</t>
  </si>
  <si>
    <t>上汽集团</t>
  </si>
  <si>
    <t>SHB</t>
  </si>
  <si>
    <t>长安深蓝-D587-顶棚-天津</t>
  </si>
  <si>
    <t>长安深蓝</t>
  </si>
  <si>
    <t>D587</t>
  </si>
  <si>
    <t>老项目。有设变ECN</t>
  </si>
  <si>
    <t>SCANIA-HERO-顶棚-芜湖</t>
  </si>
  <si>
    <t>SCANIA</t>
  </si>
  <si>
    <t>HERO</t>
  </si>
  <si>
    <t>芜湖</t>
  </si>
  <si>
    <t>一汽奔腾-E541-顶棚-芜湖</t>
  </si>
  <si>
    <t>一汽奔腾</t>
  </si>
  <si>
    <t>E541</t>
  </si>
  <si>
    <t>奇瑞-E01-顶棚-芜湖</t>
  </si>
  <si>
    <t>E01</t>
  </si>
  <si>
    <t>老项目，可删除</t>
  </si>
  <si>
    <t>奇瑞-V23-顶棚-芜湖</t>
  </si>
  <si>
    <t>V23</t>
  </si>
  <si>
    <t>奥迪新能源-AU416/2-顶棚-长春</t>
  </si>
  <si>
    <t>奥迪新能源</t>
  </si>
  <si>
    <t>AU416/2</t>
  </si>
  <si>
    <t>奥迪新能源-AU416/3-顶棚-长春</t>
  </si>
  <si>
    <t>AU416/3</t>
  </si>
  <si>
    <t>奥迪新能源-AU513/4-顶棚-长春</t>
  </si>
  <si>
    <t>AU513/4</t>
  </si>
  <si>
    <t>一汽奔腾-D511-顶棚-长春</t>
  </si>
  <si>
    <t>D511</t>
  </si>
  <si>
    <t>一汽大众-AU426/1-顶棚-长春</t>
  </si>
  <si>
    <t>AU426/1</t>
  </si>
  <si>
    <t>一汽大众-AU591-顶棚-长春</t>
  </si>
  <si>
    <t>AU591</t>
  </si>
  <si>
    <t>一汽丰田-312D-顶棚-长春</t>
  </si>
  <si>
    <t>一汽丰田</t>
  </si>
  <si>
    <t>312D</t>
  </si>
  <si>
    <t>一汽红旗-C100-顶棚-长春</t>
  </si>
  <si>
    <t>C100</t>
  </si>
  <si>
    <t>一汽红旗-C206(2)-顶棚-长春</t>
  </si>
  <si>
    <t>C206(2)</t>
  </si>
  <si>
    <t>一汽红旗-E001-顶棚-长春</t>
  </si>
  <si>
    <t>E001</t>
  </si>
  <si>
    <t>一汽红旗-E009-顶棚-长春</t>
  </si>
  <si>
    <t>E009</t>
  </si>
  <si>
    <t>一汽红旗-E111/2-顶棚-长春</t>
  </si>
  <si>
    <t>E111/2</t>
  </si>
  <si>
    <t>一汽红旗-P301-顶棚-长春</t>
  </si>
  <si>
    <t>P301</t>
  </si>
  <si>
    <t>斯特兰蒂斯-J4U-顶棚-长春</t>
  </si>
  <si>
    <t>斯特兰蒂斯</t>
  </si>
  <si>
    <t>J4U</t>
  </si>
  <si>
    <t>奇瑞汽车-E03FL-仪表板-常熟</t>
  </si>
  <si>
    <t>E03FL</t>
  </si>
  <si>
    <t>宝马-G67-注塑件-沈阳</t>
  </si>
  <si>
    <t>宝马</t>
  </si>
  <si>
    <t>G67</t>
  </si>
  <si>
    <t>注塑件</t>
  </si>
  <si>
    <t>沈阳</t>
  </si>
  <si>
    <t>大众安徽-VW313-HUD盖板总成-合肥</t>
  </si>
  <si>
    <t>大众安徽</t>
  </si>
  <si>
    <t>VW313</t>
  </si>
  <si>
    <t>HUD盖板总成</t>
  </si>
  <si>
    <t>一汽丰田-960D-顶棚-长春</t>
  </si>
  <si>
    <t>960D</t>
  </si>
  <si>
    <t>IBP编制中，未申报</t>
  </si>
  <si>
    <t>北汽新能源-N82KS-顶棚-天津</t>
  </si>
  <si>
    <t>N82KS</t>
  </si>
  <si>
    <t>北汽新能源-X81KS-声学包-天津</t>
  </si>
  <si>
    <t>X81KS</t>
  </si>
  <si>
    <t>声学包</t>
  </si>
  <si>
    <t>北汽新能源-X90KS-地毯-天津</t>
  </si>
  <si>
    <t>X90KS</t>
  </si>
  <si>
    <t>地毯</t>
  </si>
  <si>
    <t>现代-EA1C-顶棚-天津</t>
  </si>
  <si>
    <t>现代</t>
  </si>
  <si>
    <t>EA1C</t>
  </si>
  <si>
    <t>一汽大众-J01-顶棚-成都</t>
  </si>
  <si>
    <t>J01</t>
  </si>
  <si>
    <t>成都</t>
  </si>
  <si>
    <t>北汽新能源-X91KS-顶棚-天津</t>
  </si>
  <si>
    <t>X91KS</t>
  </si>
  <si>
    <t>北汽新能源-X91KS-挡泥板&amp;底护板-天津</t>
  </si>
  <si>
    <t>挡泥板&amp;底护板</t>
  </si>
  <si>
    <t>北汽新能源-X91KS-行李箱系统-天津</t>
  </si>
  <si>
    <t>北汽新能源-X91KS-声学包-天津</t>
  </si>
  <si>
    <t>比亚迪-ST2H-顶棚-佛山</t>
  </si>
  <si>
    <t>ST2H</t>
  </si>
  <si>
    <t>老项目，没有IBP</t>
  </si>
  <si>
    <t>赛力斯-E68-立柱-重庆</t>
  </si>
  <si>
    <t>E68</t>
  </si>
  <si>
    <t>北汽新能源-X81KS-挡泥板-天津</t>
  </si>
  <si>
    <t>挡泥板</t>
  </si>
  <si>
    <t>北汽新能源-X90KS-挡泥板-天津</t>
  </si>
  <si>
    <t>上汽通用-GL8-世纪框/尾门/侧围-上海-ECN</t>
  </si>
  <si>
    <t>上汽通用</t>
  </si>
  <si>
    <t>GL8</t>
  </si>
  <si>
    <t>世纪框/尾门/侧围</t>
  </si>
  <si>
    <t>ECN</t>
  </si>
  <si>
    <t>奇瑞汽车-T22-顶棚-青岛-ECN</t>
  </si>
  <si>
    <t>T22</t>
  </si>
  <si>
    <t>EC_T22 HL_001-F03-A</t>
  </si>
  <si>
    <t>奇瑞汽车-T28-顶棚-青岛-ECN</t>
  </si>
  <si>
    <t xml:space="preserve"> EC_T28 HL_001-F03-A</t>
  </si>
  <si>
    <t>大众安徽-MY4225-门板-合肥</t>
  </si>
  <si>
    <t>MY4225</t>
  </si>
  <si>
    <t>一汽红旗-V506-小门-西周</t>
  </si>
  <si>
    <t>V506</t>
  </si>
  <si>
    <t>一汽红旗-P301-小门-西周</t>
  </si>
  <si>
    <t>上汽集团-BS5PR-仪表板-常熟-共创</t>
  </si>
  <si>
    <t>BS5PR</t>
  </si>
  <si>
    <t>共创</t>
  </si>
  <si>
    <t>一汽大众-劳伦斯-VW416-2 PA-油漆饰条-西周</t>
  </si>
  <si>
    <t>VW416-2 PA</t>
  </si>
  <si>
    <t>大众安徽-MM1-小门-西周</t>
  </si>
  <si>
    <t>MM1</t>
  </si>
  <si>
    <t>上汽智己-S12L T1-小门-西周</t>
  </si>
  <si>
    <t>S12L T1</t>
  </si>
  <si>
    <t>比亚迪-HKHA-小门-西周</t>
  </si>
  <si>
    <t>HKHA</t>
  </si>
  <si>
    <t>一汽大众-劳伦斯-AU591-油漆饰条-西周</t>
  </si>
  <si>
    <t>上汽智己-S12L M2-小门-西周</t>
  </si>
  <si>
    <t>S12L M2</t>
  </si>
  <si>
    <t>一汽红旗-P201离线-小门-西周</t>
  </si>
  <si>
    <t>P201</t>
  </si>
  <si>
    <t>比亚迪-劳伦斯-HTEBE-油漆饰条-西周</t>
  </si>
  <si>
    <t>比亚迪-劳伦斯</t>
  </si>
  <si>
    <t>HTEBE</t>
  </si>
  <si>
    <t>比亚迪-EKEA-小门-西周</t>
  </si>
  <si>
    <t>EKEA</t>
  </si>
  <si>
    <t>大众安徽-VW316-小门-西周</t>
  </si>
  <si>
    <t>VW316</t>
  </si>
  <si>
    <t>大众安徽-MM2-小门-西周</t>
  </si>
  <si>
    <t>MM2</t>
  </si>
  <si>
    <t>比亚迪-SGHAZ-轮眉-西周</t>
  </si>
  <si>
    <t>SGHAZ</t>
  </si>
  <si>
    <t>长安-B216-小门-西周</t>
  </si>
  <si>
    <t>B216</t>
  </si>
  <si>
    <t>一汽红旗-P567-小门-西周</t>
  </si>
  <si>
    <t>P567</t>
  </si>
  <si>
    <t>一汽红旗-E702-小门-西周</t>
  </si>
  <si>
    <t>E702</t>
  </si>
  <si>
    <t>上汽大众-B SUV EREV 6S-小门-西周</t>
  </si>
  <si>
    <t>B SUV EREV 6S</t>
  </si>
  <si>
    <t>一汽红旗-E111-03-小门-西周</t>
  </si>
  <si>
    <t>E111-03</t>
  </si>
  <si>
    <t>阿维塔-Avatr E16-小门-西周</t>
  </si>
  <si>
    <t>阿维塔</t>
  </si>
  <si>
    <t>Avatr E16</t>
  </si>
  <si>
    <t>一汽捷达-J01-小门-西周</t>
  </si>
  <si>
    <t>一汽捷达</t>
  </si>
  <si>
    <t>一汽大众-CN0-小门-西周</t>
  </si>
  <si>
    <t>CN0</t>
  </si>
  <si>
    <t>广汽华望-F03-小门-西周</t>
  </si>
  <si>
    <t>广汽华望</t>
  </si>
  <si>
    <t>F03</t>
  </si>
  <si>
    <t>长安福特-CX810-小门-西周</t>
  </si>
  <si>
    <t>CX810</t>
  </si>
  <si>
    <t>阿维塔-Avatr E15-小门-西周</t>
  </si>
  <si>
    <t>Avatr E15</t>
  </si>
  <si>
    <t>一汽大众-劳伦斯-VW336 PHEV-油漆饰条-西周</t>
  </si>
  <si>
    <t>VW336 PHEV</t>
  </si>
  <si>
    <t>上汽大众-B SUV EREV 5S-小门-西周</t>
  </si>
  <si>
    <t>B SUV EREV 5S</t>
  </si>
  <si>
    <t>北汽新能源-X90KS-小门-西周</t>
  </si>
  <si>
    <t>一汽大众-劳伦斯-VW380 PA-油漆饰条-西周</t>
  </si>
  <si>
    <t>VW380 PA</t>
  </si>
  <si>
    <t>东风岚图-H56E-小门-西周</t>
  </si>
  <si>
    <t>东风岚图</t>
  </si>
  <si>
    <t>H56E</t>
  </si>
  <si>
    <t>东风岚图-H47A-小门-西周</t>
  </si>
  <si>
    <t>H47A</t>
  </si>
  <si>
    <t>东风岚图-H66A-小门-西周</t>
  </si>
  <si>
    <t>H66A</t>
  </si>
  <si>
    <t>北汽新能源-N65QB-小门-西周</t>
  </si>
  <si>
    <t>N65QB</t>
  </si>
  <si>
    <t>江铃-JP360 PHEV-小门-西周</t>
  </si>
  <si>
    <t>江铃</t>
  </si>
  <si>
    <t>JP360 PHEV</t>
  </si>
  <si>
    <t>江铃-V362-小门-西周</t>
  </si>
  <si>
    <t>V362</t>
  </si>
  <si>
    <t>江铃-JCE3-BUS-小门-西周</t>
  </si>
  <si>
    <t>JCE3-BUS</t>
  </si>
  <si>
    <t>上汽集团-IS4GR-小门-西周</t>
  </si>
  <si>
    <t>IS4GR</t>
  </si>
  <si>
    <t>创新-X项目&amp;VS20项目-其他-宁波-创新</t>
  </si>
  <si>
    <t>创新</t>
  </si>
  <si>
    <t>上汽大众-A7L SB-门板-常熟</t>
  </si>
  <si>
    <t>A7L SB</t>
  </si>
  <si>
    <t>上汽大众-A7L Premium-门板-常熟</t>
  </si>
  <si>
    <t>A7L Premium</t>
  </si>
  <si>
    <t>零跑-D21-门板-金华</t>
  </si>
  <si>
    <t>零跑</t>
  </si>
  <si>
    <t>金华</t>
  </si>
  <si>
    <t>上汽大众-CMP21D-门板-常熟</t>
  </si>
  <si>
    <t>CMP21D</t>
  </si>
  <si>
    <t>福建奔驰-VAN.EA-前门尾门-宁波</t>
  </si>
  <si>
    <t>福建奔驰</t>
  </si>
  <si>
    <t>VAN.EA</t>
  </si>
  <si>
    <t>前门尾门</t>
  </si>
  <si>
    <t>福建奔驰-VAN.EA-中门后侧围-宁波</t>
  </si>
  <si>
    <t>中门后侧围</t>
  </si>
  <si>
    <t>创新-VS20门板材料国产化项目-其他-宁波-创新</t>
  </si>
  <si>
    <t>上汽大众-Tiguan MP26-门板-宁波</t>
  </si>
  <si>
    <t>Tiguan MP26</t>
  </si>
  <si>
    <t>一汽大众-CN0-门板-宁波</t>
  </si>
  <si>
    <t>奇瑞-EHX/EHU-宁波-共创</t>
  </si>
  <si>
    <t>零跑-C18-门板-金华</t>
  </si>
  <si>
    <t>C18</t>
  </si>
  <si>
    <t>创新-AIGC-创新-宁波-创新</t>
  </si>
  <si>
    <t>AIGC</t>
  </si>
  <si>
    <t>上汽大众-427 CNB-中央通道-常熟</t>
  </si>
  <si>
    <t>427 CNB</t>
  </si>
  <si>
    <t>福建奔驰-VAN.EA 1.5A-门板-宁波</t>
  </si>
  <si>
    <t>VAN.EA 1.5A</t>
  </si>
  <si>
    <t>长安福特-U625-门板-宁波</t>
  </si>
  <si>
    <t>U625</t>
  </si>
  <si>
    <t>上汽智己-P12L-门板-宁波-ECN</t>
  </si>
  <si>
    <t>P12L</t>
  </si>
  <si>
    <t>比亚迪-URE-门板-宁波-ECN</t>
  </si>
  <si>
    <t>比亚迪-EHEA-门板-宁波-ECN</t>
  </si>
  <si>
    <t>极氪-CX1E-门板-宁波-ECN</t>
  </si>
  <si>
    <t>一汽红旗-E702-顶棚-长春</t>
  </si>
  <si>
    <t>一汽红旗-C095/10-顶棚-长春</t>
  </si>
  <si>
    <t>C095/10</t>
  </si>
  <si>
    <t>一汽红旗-V506-顶棚-长春</t>
  </si>
  <si>
    <t>老项目，无IBP申请</t>
  </si>
  <si>
    <t>奇瑞-V25-顶棚-芜湖</t>
  </si>
  <si>
    <t>V25</t>
  </si>
  <si>
    <t>零跑-B10-顶棚-佛山</t>
  </si>
  <si>
    <t>B10</t>
  </si>
  <si>
    <t>一汽红旗-C206/10-顶棚-长春</t>
  </si>
  <si>
    <t>C206/10</t>
  </si>
  <si>
    <t>东风岚图-H56E-仪表板-武汉</t>
  </si>
  <si>
    <t>武汉</t>
  </si>
  <si>
    <t>路特斯-T132A-中央通道-武汉</t>
  </si>
  <si>
    <t>路特斯</t>
  </si>
  <si>
    <t>T132A</t>
  </si>
  <si>
    <t>东风岚图-H67A-仪表板-武汉</t>
  </si>
  <si>
    <t>H67A</t>
  </si>
  <si>
    <t>东风岚图-H66A-仪表板-武汉</t>
  </si>
  <si>
    <t>零跑-D19-顶棚-金华</t>
  </si>
  <si>
    <t>D19</t>
  </si>
  <si>
    <t>零跑-D21-顶棚-金华</t>
  </si>
  <si>
    <t>宝马-NA6-中央通道-沈阳</t>
  </si>
  <si>
    <t>NA6</t>
  </si>
  <si>
    <t>北京奔驰-C174-中央通道/门板-沈阳</t>
  </si>
  <si>
    <t>C174</t>
  </si>
  <si>
    <t>中央通道/门板</t>
  </si>
  <si>
    <t>北京奔驰-V254/V540-仪表板-沈阳</t>
  </si>
  <si>
    <t>V254/V540</t>
  </si>
  <si>
    <t>宝马-G45-立柱/密封条/行李箱/其他内饰-沈阳</t>
  </si>
  <si>
    <t>G45</t>
  </si>
  <si>
    <t>立柱/密封条/行李箱/其他内饰</t>
  </si>
  <si>
    <t>宝马-G78-立柱/密封条/行李箱/其他内饰-沈阳</t>
  </si>
  <si>
    <t>G78</t>
  </si>
  <si>
    <t>北京奔驰-X248-中央通道/门板-沈阳</t>
  </si>
  <si>
    <t>X248</t>
  </si>
  <si>
    <t>北京奔驰-W206-行李箱/其他内饰-沈阳</t>
  </si>
  <si>
    <t>W206</t>
  </si>
  <si>
    <t>行李箱/其他内饰</t>
  </si>
  <si>
    <t>北京安道拓-北京奔驰-V540-其他内饰-沈阳</t>
  </si>
  <si>
    <t>北京安道拓-北京奔驰</t>
  </si>
  <si>
    <t>V540</t>
  </si>
  <si>
    <t>其他内饰</t>
  </si>
  <si>
    <t>北京奔驰-V214/W214（长/短）/V520-其他内饰-沈阳</t>
  </si>
  <si>
    <t>V214/W214（长/短）/V520</t>
  </si>
  <si>
    <t>劳伦斯-一汽大众-AU591-仪表板-沈阳</t>
  </si>
  <si>
    <t>劳伦斯-一汽大众</t>
  </si>
  <si>
    <t>劳伦斯-一汽大众-AU336-仪表板-沈阳</t>
  </si>
  <si>
    <t>AU336</t>
  </si>
  <si>
    <t>宝马-G68(CN) | G60(DE)-立柱/其他内饰-沈阳</t>
  </si>
  <si>
    <t>G68(CN) | G60(DE)</t>
  </si>
  <si>
    <t>立柱/其他内饰</t>
  </si>
  <si>
    <t>宝马-G68(CN) | G60(DE)-其他内饰-沈阳</t>
  </si>
  <si>
    <t>宝马-U12-仪表板-沈阳</t>
  </si>
  <si>
    <t>U12</t>
  </si>
  <si>
    <t>罗马尼亚-VW492-其他内饰-沈阳</t>
  </si>
  <si>
    <t>罗马尼亚</t>
  </si>
  <si>
    <t>VW492</t>
  </si>
  <si>
    <t>墨西哥-VW426-其他内饰-沈阳</t>
  </si>
  <si>
    <t>墨西哥</t>
  </si>
  <si>
    <t>VW426</t>
  </si>
  <si>
    <t>劳伦斯-德国奥迪-A3PA-仪表板-沈阳</t>
  </si>
  <si>
    <t>劳伦斯-德国奥迪</t>
  </si>
  <si>
    <t>A3PA</t>
  </si>
  <si>
    <t>宝马南非-G45-立柱-沈阳</t>
  </si>
  <si>
    <t>宝马南非</t>
  </si>
  <si>
    <t>北京延锋-北京奔驰-V530-格栅/其他内饰-沈阳</t>
  </si>
  <si>
    <t>北京延锋-北京奔驰</t>
  </si>
  <si>
    <t>V530</t>
  </si>
  <si>
    <t>格栅/其他内饰</t>
  </si>
  <si>
    <t>北京安道拓-北京奔驰-T167-其他内饰-沈阳</t>
  </si>
  <si>
    <t>T167</t>
  </si>
  <si>
    <t>上汽大众-427C-SUV-中央通道-常熟</t>
  </si>
  <si>
    <t>427C-SUV</t>
  </si>
  <si>
    <t>奇瑞-E0V-中央通道-常熟</t>
  </si>
  <si>
    <t>E0V</t>
  </si>
  <si>
    <t>奇瑞-E0V-仪表板-常熟</t>
  </si>
  <si>
    <t>北京汽车-N40QB-中央通道-天津</t>
  </si>
  <si>
    <t>北京汽车</t>
  </si>
  <si>
    <t>N40QB</t>
  </si>
  <si>
    <t>北京汽车-N40QB-仪表板-天津</t>
  </si>
  <si>
    <t>北京奔驰-V530-轮毂-天津</t>
  </si>
  <si>
    <t>轮毂</t>
  </si>
  <si>
    <t>大众安徽-VW313/2-顶棚-合肥-ECN</t>
  </si>
  <si>
    <t>EC_VW313 HL_001-F03-A</t>
  </si>
  <si>
    <t>NBHX智能表面项目-创新</t>
  </si>
  <si>
    <t>赛力斯-F1L-座舱-重庆</t>
  </si>
  <si>
    <t>座舱</t>
  </si>
  <si>
    <t>福建奔驰-VAN.EA-仪表板-常熟</t>
  </si>
  <si>
    <t>北汽新能源-X91KS-门板-天津</t>
  </si>
  <si>
    <t>北汽新能源-X91KS-中央通道-天津</t>
  </si>
  <si>
    <t>北汽新能源-X91KS-仪表板-天津</t>
  </si>
  <si>
    <t>北汽新能源-X91KS-立柱侧围-天津</t>
  </si>
  <si>
    <t>立柱侧围</t>
  </si>
  <si>
    <t>北京奔驰-X244 248-门板-天津</t>
  </si>
  <si>
    <t>X244 248</t>
  </si>
  <si>
    <t>赛力斯-G19-仪表板-重庆</t>
  </si>
  <si>
    <t>G19</t>
  </si>
  <si>
    <t>小米-MS12 C下柱-立柱-天津</t>
  </si>
  <si>
    <t>小米</t>
  </si>
  <si>
    <t>MS12</t>
  </si>
  <si>
    <t>东风岚图-H77-仪表板-武汉</t>
  </si>
  <si>
    <t>H77</t>
  </si>
  <si>
    <t>一汽奔腾-E541-顶棚-芜湖-ECN</t>
  </si>
  <si>
    <t>EC_E541 HL_002-F03-A</t>
  </si>
  <si>
    <t>NICE BG LPP执行器-宁波-创新</t>
  </si>
  <si>
    <t>赛力斯-G19-门板-重庆</t>
  </si>
  <si>
    <t>赛力斯-G19-立柱-重庆</t>
  </si>
  <si>
    <t>赛力斯-G19-侧围-重庆</t>
  </si>
  <si>
    <t>赛力斯-G19-中央通道-重庆</t>
  </si>
  <si>
    <t>T客户-TOD-门板-上海-ECN</t>
  </si>
  <si>
    <t>T客户</t>
  </si>
  <si>
    <t>长安深蓝-D587-顶棚-天津-ECN</t>
  </si>
  <si>
    <t>EC_D587 HL_002-F03-A</t>
  </si>
  <si>
    <t>蔚来-Sirius&amp;Libra-立柱-合肥-ECN</t>
  </si>
  <si>
    <t>Sirius&amp;Libra</t>
  </si>
  <si>
    <t>宝马-G48LCI-立柱-沈阳-ECN</t>
  </si>
  <si>
    <t>G48LCI</t>
  </si>
  <si>
    <t>北京奔驰-V540 MOPF-注塑件-沈阳-ECN</t>
  </si>
  <si>
    <t>V540 MOPF</t>
  </si>
  <si>
    <t>一汽大众-VW311-小门-西周</t>
  </si>
  <si>
    <t>VW311</t>
  </si>
  <si>
    <t>奇瑞-E0DA-立柱-常熟-共创</t>
  </si>
  <si>
    <t>E0DA</t>
  </si>
  <si>
    <t>奇瑞-E0DA-副仪表板-常熟-共创</t>
  </si>
  <si>
    <t>奇瑞-E0DA-门板-常熟-共创</t>
  </si>
  <si>
    <t>奇瑞-E0DA-仪表板-常熟-共创</t>
  </si>
  <si>
    <t>奇瑞-E0AA-副仪表板-常熟-共创</t>
  </si>
  <si>
    <t>E0AA</t>
  </si>
  <si>
    <t>奇瑞-E0AA-仪表板-常熟-共创</t>
  </si>
  <si>
    <t>北京奔驰-V520-门板-天津</t>
  </si>
  <si>
    <t>V520</t>
  </si>
  <si>
    <t>长安马自达-J90K右舵-中央通道-ECN</t>
  </si>
  <si>
    <t>J90K右舵</t>
  </si>
  <si>
    <t>比亚迪-SRE-小门-西周-ECN</t>
  </si>
  <si>
    <t>奇瑞-E07A-仪表板-常熟-共创</t>
  </si>
  <si>
    <t>E07A</t>
  </si>
  <si>
    <t>峰梅-LG JF2 CCS-注塑支架-宁波</t>
  </si>
  <si>
    <t>峰梅</t>
  </si>
  <si>
    <t>LG JF2 CCS</t>
  </si>
  <si>
    <t>注塑支架</t>
  </si>
  <si>
    <t>东风岚图-DH97-立柱-武汉-ECN</t>
  </si>
  <si>
    <t>DH97</t>
  </si>
  <si>
    <t>上汽通用-C1UL-2 PHEV&amp;ICE-门板-上海-ECN</t>
  </si>
  <si>
    <t>C1UL</t>
  </si>
  <si>
    <t>东风乘用车-C65-仪表板-武汉-ECN</t>
  </si>
  <si>
    <t>东风乘用车</t>
  </si>
  <si>
    <t>C65</t>
  </si>
  <si>
    <t>东风乘用车-S59-立柱&amp;背门-武汉-ECN</t>
  </si>
  <si>
    <t>S59</t>
  </si>
  <si>
    <t>立柱&amp;背门</t>
  </si>
  <si>
    <t>北京奔驰-V214-立柱-ECN</t>
  </si>
  <si>
    <t>V214</t>
  </si>
  <si>
    <t>宝马-NB6-立柱-沈阳</t>
  </si>
  <si>
    <t>NB6</t>
  </si>
  <si>
    <t>上汽乘用车-BS4EM-仪表板-常熟</t>
  </si>
  <si>
    <t>上汽乘用车</t>
  </si>
  <si>
    <t>BS4EM</t>
  </si>
  <si>
    <t>上汽大众-A+SUV BEV -门板-常熟</t>
  </si>
  <si>
    <t>A+SUV BEV</t>
  </si>
  <si>
    <t>上汽大众-A SUV PHEV-门板-扬州</t>
  </si>
  <si>
    <t>A SUV PHEV</t>
  </si>
  <si>
    <t>现代XDA0超薄前格栅灯开发-共创</t>
  </si>
  <si>
    <t>一汽红旗-C100-10-小门-西周</t>
  </si>
  <si>
    <t>C100 PHEV</t>
  </si>
  <si>
    <t>一汽红旗-C001-06在线-小门-西周</t>
  </si>
  <si>
    <t>C001</t>
  </si>
  <si>
    <t>一汽红旗-E111-04在线-小门-西周</t>
  </si>
  <si>
    <t>E111</t>
  </si>
  <si>
    <t>一汽红旗-C101-01-小门-西周</t>
  </si>
  <si>
    <t>C101</t>
  </si>
  <si>
    <t>一汽红旗-P201在线-小门-西周</t>
  </si>
  <si>
    <t>P201在线</t>
  </si>
  <si>
    <t xml:space="preserve">东风岚图-DH56-仪表板&amp;立柱-武汉-ECN </t>
  </si>
  <si>
    <t>DH56</t>
  </si>
  <si>
    <t>仪表板&amp;立柱</t>
  </si>
  <si>
    <t>东风岚图-DH37B-仪表板-武汉-ECN</t>
  </si>
  <si>
    <t>DH37B</t>
  </si>
  <si>
    <t>一汽红旗-C101-01-顶棚-长春-ECN</t>
  </si>
  <si>
    <t>EC_C101-01 HL_001-F03-A</t>
  </si>
  <si>
    <t>台湾鸿华-D21F-门外把手-西周-ECN</t>
  </si>
  <si>
    <t>D21F</t>
  </si>
  <si>
    <t>门外把手</t>
  </si>
  <si>
    <t>一汽红旗-C001-06离线-小门-西周-ECN</t>
  </si>
  <si>
    <t>一汽红旗-E111-04离线-小门-西周-ECN</t>
  </si>
  <si>
    <t>东风岚图-H56E右舵-仪表板-武汉</t>
  </si>
  <si>
    <t>H56E右舵</t>
  </si>
  <si>
    <t>小鹏-F11-仪表板-武汉-共创</t>
  </si>
  <si>
    <t>小鹏</t>
  </si>
  <si>
    <t>F11</t>
  </si>
  <si>
    <t>小鹏-F11-中央通道-武汉-共创</t>
  </si>
  <si>
    <t>一汽红旗-C100/10-顶棚-长春-ECN</t>
  </si>
  <si>
    <t>C100/10</t>
  </si>
  <si>
    <t>北汽新能源-N82KS-仪表板-天津</t>
  </si>
  <si>
    <t>北汽新能源-N82KS-门板-天津</t>
  </si>
  <si>
    <t>北汽新能源-N66QB-门板-天津</t>
  </si>
  <si>
    <t>N66QB</t>
  </si>
  <si>
    <t>小鹏-D04-门板-佛山</t>
  </si>
  <si>
    <t>D04</t>
  </si>
  <si>
    <t>一汽丰田-835D-顶棚-成都-ECN</t>
  </si>
  <si>
    <t>835D</t>
  </si>
  <si>
    <t>NICE 1.0智能座舱-创新</t>
  </si>
  <si>
    <t>NICE 1.0智能座舱</t>
  </si>
  <si>
    <t>小米-曼岛Manne-仪表板-上海-共创</t>
  </si>
  <si>
    <t>曼岛Manne</t>
  </si>
  <si>
    <t>奇瑞-E03-仪表板&amp;中央通道-宁波-共创</t>
  </si>
  <si>
    <t>E03</t>
  </si>
  <si>
    <t>奇瑞-E0Z-仪表板/中央通道/门板-宁波-共创</t>
  </si>
  <si>
    <t>E0Z</t>
  </si>
  <si>
    <t>哈尔巴克通用归集项目</t>
  </si>
  <si>
    <t>奇瑞-E01MY-顶棚-芜湖-ECN</t>
  </si>
  <si>
    <t>E01MY</t>
  </si>
  <si>
    <t>北汽新能源-N82KS-中央通道-天津</t>
  </si>
  <si>
    <t>奇瑞-EHV右舵-仪表板-芜湖</t>
  </si>
  <si>
    <t>EHV右舵</t>
  </si>
  <si>
    <t>吉利-376-发光车标-上海-共创</t>
  </si>
  <si>
    <t>吉利</t>
  </si>
  <si>
    <t>长安福特-CD542-仪表板-重庆-ECN</t>
  </si>
  <si>
    <t>北京奔驰-VV214-立柱-天津</t>
  </si>
  <si>
    <t>VV214</t>
  </si>
  <si>
    <t>上汽大众-VW423 BNB-门板-宁波</t>
  </si>
  <si>
    <t>CSP B NB</t>
  </si>
  <si>
    <t>奇瑞-E0V右舵-中央通道-常熟</t>
  </si>
  <si>
    <t>E0V右舵</t>
  </si>
  <si>
    <t>吉利-P135-门板/主副仪表板-宁波-共创</t>
  </si>
  <si>
    <t>P135</t>
  </si>
  <si>
    <t>奇瑞-E0GA右舵-仪表板-芜湖-共创</t>
  </si>
  <si>
    <t>E0GA右舵</t>
  </si>
  <si>
    <t>奇瑞-E03FL1-中央通道-常熟</t>
  </si>
  <si>
    <t>E03FL1</t>
  </si>
  <si>
    <t>T客户-E10P-门板-上海</t>
  </si>
  <si>
    <t>E10P</t>
  </si>
  <si>
    <t>奇瑞-E0GA-门板-芜湖-共创</t>
  </si>
  <si>
    <t>E0GA</t>
  </si>
  <si>
    <t>上汽乘用车-AS5PM-小门-西周</t>
  </si>
  <si>
    <t>AS5PM</t>
  </si>
  <si>
    <t>奇瑞-T1FT-门板-合肥-共创</t>
  </si>
  <si>
    <t>T1FT</t>
  </si>
  <si>
    <t>奇瑞-E0GA-立柱-芜湖-共创</t>
  </si>
  <si>
    <t>一汽丰田-312D-顶棚-长春-ECN</t>
  </si>
  <si>
    <t>华晨宝马-F78-立柱-沈阳-ECN</t>
  </si>
  <si>
    <t>华晨宝马</t>
  </si>
  <si>
    <t>F78</t>
  </si>
  <si>
    <t>奇瑞-EHL-仪表板&amp;中央通道-芜湖-共创</t>
  </si>
  <si>
    <t>EHL</t>
  </si>
  <si>
    <t>奇瑞-E0GA-顶棚-芜湖-共创</t>
  </si>
  <si>
    <t>奇瑞-E03FL1-门板-常熟</t>
  </si>
  <si>
    <t>奇瑞-E03FL1-立柱-常熟</t>
  </si>
  <si>
    <t>上汽大众- PASSAT B9-门板-扬州-ECN</t>
  </si>
  <si>
    <t xml:space="preserve"> PASSAT B9</t>
  </si>
  <si>
    <t>北汽新能源-B70KS-顶棚-天津</t>
  </si>
  <si>
    <t>B70KS</t>
  </si>
  <si>
    <t>奇瑞-T2DA-立柱-常熟-共创</t>
  </si>
  <si>
    <t>T2DA</t>
  </si>
  <si>
    <t>T客户-E10L-门板-上海</t>
  </si>
  <si>
    <t>E10L</t>
  </si>
  <si>
    <t>吉利极星-P61A-仪表板-重庆-ECN</t>
  </si>
  <si>
    <t>吉利极星</t>
  </si>
  <si>
    <t>P61A</t>
  </si>
  <si>
    <t>一汽大众-Q5 NF-顶棚-长春-ECN</t>
  </si>
  <si>
    <t>Q5 NF</t>
  </si>
  <si>
    <t>奇瑞新能源-V23-顶棚-芜湖-ECN</t>
  </si>
  <si>
    <t>奇瑞新能源</t>
  </si>
  <si>
    <t>北京奔驰-V254 MOPF-门板-天津-ECN</t>
  </si>
  <si>
    <t>V254</t>
  </si>
  <si>
    <t>奇瑞-T2GT-仪表板-芜湖-共创</t>
  </si>
  <si>
    <t>T2GT</t>
  </si>
  <si>
    <t>丰田-983D-车标-上海</t>
  </si>
  <si>
    <t>丰田</t>
  </si>
  <si>
    <t>983D</t>
  </si>
  <si>
    <t>车标</t>
  </si>
  <si>
    <t>大众安徽-VW316-小门-西周-ECN</t>
  </si>
  <si>
    <t>长安福特-CD391-仪表板-重庆-ECN</t>
  </si>
  <si>
    <t>CD391</t>
  </si>
  <si>
    <t>奇瑞-E0GA-门板-芜湖</t>
  </si>
  <si>
    <t>奇瑞-E0GA-立柱-芜湖</t>
  </si>
  <si>
    <t>上汽大众-AU413 MP27-门板-常熟-ECN</t>
  </si>
  <si>
    <t>AU413 MP27</t>
  </si>
  <si>
    <t>一汽大众-C9-顶棚-长春-ECN</t>
  </si>
  <si>
    <t>C9</t>
  </si>
  <si>
    <t>上汽大众-Tiguan L Pro PA-中央通道-常熟</t>
  </si>
  <si>
    <t>Tiguan L Pro PA</t>
  </si>
  <si>
    <t>小米-MS12 C下柱-立柱-天津-ECN</t>
  </si>
  <si>
    <t>奇瑞-EHU-门板&amp;立柱-宁波-共创</t>
  </si>
  <si>
    <t>EHU</t>
  </si>
  <si>
    <t>奇瑞-E02FL-仪表板-芜湖-共创</t>
  </si>
  <si>
    <t>E02FL</t>
  </si>
  <si>
    <t>奇瑞-T1TP-JEACOO-立柱-芜湖-共创</t>
  </si>
  <si>
    <t>T1TP-JEACOO</t>
  </si>
  <si>
    <t>赛力斯-G19-中央通道-重庆-共创</t>
  </si>
  <si>
    <t>赛豆-G39-仪表板&amp;中央通道&amp;门板-重庆-共创</t>
  </si>
  <si>
    <t>赛豆</t>
  </si>
  <si>
    <t>G39</t>
  </si>
  <si>
    <t>仪表板&amp;中央通道&amp;门板</t>
  </si>
  <si>
    <t>零跑-BU21-门板-宁波</t>
  </si>
  <si>
    <t>BU21</t>
  </si>
  <si>
    <t>比亚迪-ENEA-顶棚-合肥-ECN</t>
  </si>
  <si>
    <t>上汽乘用车-BS5PR-仪表板-常熟</t>
  </si>
  <si>
    <t>长安福特-CDX707-中央通道-宁波-ECN</t>
  </si>
  <si>
    <t>一汽奔腾-D511-顶棚-长春-ECN</t>
  </si>
  <si>
    <t>一汽大众-A SUV-顶棚-天津-ECN</t>
  </si>
  <si>
    <t>A SUV</t>
  </si>
  <si>
    <t>一汽大众-A SUV NF-顶棚-天津-ECN</t>
  </si>
  <si>
    <t>A SUV NF</t>
  </si>
  <si>
    <t>奇瑞-EHV左舵-仪表板-芜湖-共创</t>
  </si>
  <si>
    <t>EHV左舵</t>
  </si>
  <si>
    <t>奇瑞-E0DA-仪表板-常熟</t>
  </si>
  <si>
    <t>上纬启元-启元T1-包覆件-宁波-共创</t>
  </si>
  <si>
    <t>上纬启元</t>
  </si>
  <si>
    <t>启元T1</t>
  </si>
  <si>
    <t>包覆件</t>
  </si>
  <si>
    <t>长安马自达-J90K-仪表板-常熟-ECN</t>
  </si>
  <si>
    <r>
      <rPr>
        <rFont val="Arial"/>
        <charset val="134"/>
        <family val="3"/>
        <b val="1"/>
        <color theme="0"/>
        <sz val="10"/>
      </rPr>
      <t>项目号</t>
    </r>
  </si>
  <si>
    <r>
      <rPr>
        <rFont val="Arial"/>
        <charset val="134"/>
        <family val="3"/>
        <b val="1"/>
        <color theme="0"/>
        <sz val="10"/>
      </rPr>
      <t>项目名称</t>
    </r>
  </si>
  <si>
    <r>
      <rPr>
        <rFont val="Arial"/>
        <charset val="134"/>
        <family val="3"/>
        <b val="1"/>
        <color theme="0"/>
        <sz val="10"/>
      </rPr>
      <t>主机厂</t>
    </r>
  </si>
  <si>
    <r>
      <rPr>
        <rFont val="Arial"/>
        <charset val="134"/>
        <family val="3"/>
        <b val="1"/>
        <color theme="0"/>
        <sz val="10"/>
      </rPr>
      <t>车型代号</t>
    </r>
  </si>
  <si>
    <r>
      <rPr>
        <rFont val="Arial"/>
        <charset val="134"/>
        <family val="3"/>
        <b val="1"/>
        <color theme="0"/>
        <sz val="10"/>
      </rPr>
      <t>产品类型</t>
    </r>
  </si>
  <si>
    <r>
      <rPr>
        <rFont val="Arial"/>
        <charset val="134"/>
        <family val="3"/>
        <b val="1"/>
        <color theme="0"/>
        <sz val="10"/>
      </rPr>
      <t>主生产地</t>
    </r>
  </si>
  <si>
    <r>
      <rPr>
        <rFont val="Arial"/>
        <charset val="134"/>
        <family val="3"/>
        <b val="1"/>
        <color theme="0"/>
        <sz val="10"/>
      </rPr>
      <t>项目类型</t>
    </r>
  </si>
  <si>
    <r>
      <rPr>
        <rFont val="Arial"/>
        <charset val="134"/>
        <family val="3"/>
        <b val="1"/>
        <color theme="0"/>
        <sz val="10"/>
      </rPr>
      <t>区域</t>
    </r>
  </si>
  <si>
    <r>
      <t>SOP</t>
    </r>
    <r>
      <rPr>
        <rFont val="Arial"/>
        <charset val="134"/>
        <family val="3"/>
        <b val="1"/>
        <color theme="0"/>
        <sz val="10"/>
      </rPr>
      <t>时间</t>
    </r>
  </si>
  <si>
    <r>
      <t>IBP</t>
    </r>
    <r>
      <rPr>
        <rFont val="Arial"/>
        <charset val="134"/>
        <family val="3"/>
        <b val="1"/>
        <color rgb="FFFFFFFF"/>
        <sz val="10"/>
      </rPr>
      <t>预算</t>
    </r>
  </si>
  <si>
    <r>
      <rPr>
        <rFont val="Arial"/>
        <charset val="134"/>
        <family val="3"/>
        <b val="1"/>
        <color theme="0"/>
        <sz val="10"/>
      </rPr>
      <t>试制材料</t>
    </r>
  </si>
  <si>
    <r>
      <rPr>
        <rFont val="Arial"/>
        <charset val="134"/>
        <family val="3"/>
        <b val="1"/>
        <color theme="0"/>
        <sz val="10"/>
      </rPr>
      <t>人员人工</t>
    </r>
  </si>
  <si>
    <r>
      <rPr>
        <rFont val="Arial"/>
        <charset val="134"/>
        <family val="3"/>
        <b val="1"/>
        <color theme="0"/>
        <sz val="10"/>
      </rPr>
      <t>试制费</t>
    </r>
  </si>
  <si>
    <r>
      <rPr>
        <rFont val="Arial"/>
        <charset val="134"/>
        <family val="3"/>
        <b val="1"/>
        <color theme="0"/>
        <sz val="10"/>
      </rPr>
      <t>差旅费</t>
    </r>
  </si>
  <si>
    <r>
      <rPr>
        <rFont val="Arial"/>
        <charset val="134"/>
        <family val="3"/>
        <b val="1"/>
        <color theme="0"/>
        <sz val="10"/>
      </rPr>
      <t>业务招待费</t>
    </r>
  </si>
  <si>
    <r>
      <rPr>
        <rFont val="Arial"/>
        <charset val="134"/>
        <family val="3"/>
        <b val="1"/>
        <color theme="0"/>
        <sz val="10"/>
      </rPr>
      <t>设计费</t>
    </r>
  </si>
  <si>
    <r>
      <rPr>
        <rFont val="Arial"/>
        <charset val="134"/>
        <family val="3"/>
        <b val="1"/>
        <color theme="0"/>
        <sz val="10"/>
      </rPr>
      <t>其他</t>
    </r>
  </si>
  <si>
    <r>
      <rPr>
        <rFont val="Arial"/>
        <charset val="134"/>
        <family val="3"/>
        <b val="1"/>
        <color theme="0"/>
        <sz val="10"/>
      </rPr>
      <t>年度预算</t>
    </r>
  </si>
  <si>
    <r>
      <rPr>
        <rFont val="Arial"/>
        <charset val="134"/>
        <family val="3"/>
        <b val="1"/>
        <color theme="0"/>
        <sz val="10"/>
      </rPr>
      <t>客户变更</t>
    </r>
  </si>
  <si>
    <r>
      <rPr>
        <rFont val="Arial"/>
        <charset val="134"/>
        <family val="3"/>
        <b val="1"/>
        <color theme="0"/>
        <sz val="10"/>
      </rPr>
      <t>超预算</t>
    </r>
  </si>
  <si>
    <r>
      <rPr>
        <rFont val="Arial"/>
        <charset val="134"/>
        <family val="3"/>
        <b val="1"/>
        <color theme="0"/>
        <sz val="10"/>
      </rPr>
      <t>其它预算</t>
    </r>
  </si>
  <si>
    <r>
      <rPr>
        <rFont val="Arial"/>
        <charset val="134"/>
        <family val="3"/>
        <color theme="0"/>
        <sz val="10"/>
      </rPr>
      <t xml:space="preserve"> 以前年度发生</t>
    </r>
  </si>
  <si>
    <r>
      <rPr>
        <rFont val="Arial"/>
        <b val="0"/>
        <i val="0"/>
        <strike val="0"/>
        <color rgb="FF000000"/>
        <sz val="10"/>
      </rPr>
      <t>西南</t>
    </r>
    <r>
      <rPr>
        <rFont val="Arial"/>
        <b val="0"/>
        <i val="0"/>
        <strike val="0"/>
        <color rgb="FF000000"/>
        <sz val="10"/>
      </rPr>
      <t>&amp;</t>
    </r>
    <r>
      <rPr>
        <rFont val="Arial"/>
        <b val="0"/>
        <i val="0"/>
        <strike val="0"/>
        <color rgb="FF000000"/>
        <sz val="10"/>
      </rPr>
      <t>华南区</t>
    </r>
  </si>
</sst>
</file>

<file path=xl/styles.xml><?xml version="1.0" encoding="utf-8"?>
<styleSheet xmlns="http://schemas.openxmlformats.org/spreadsheetml/2006/main">
  <numFmts count="5">
    <numFmt numFmtId="300" formatCode="0_ "/>
    <numFmt numFmtId="301" formatCode="#,##0_ "/>
    <numFmt numFmtId="302" formatCode="yyyy/m/d;@"/>
    <numFmt numFmtId="303" formatCode="General"/>
    <numFmt numFmtId="304" formatCode="yyyy/m/d"/>
  </numFmts>
  <fonts count="22">
    <font>
      <name val="等线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family val="2"/>
      <b val="1"/>
      <color theme="0"/>
      <sz val="10"/>
    </font>
    <font>
      <name val="Arial"/>
      <b val="1"/>
      <color theme="0"/>
      <sz val="10"/>
    </font>
    <font>
      <name val="Arial"/>
      <family val="2"/>
      <b val="1"/>
      <color rgb="FFFFFFFF"/>
      <sz val="10"/>
    </font>
    <font>
      <name val="Arial"/>
      <family val="2"/>
      <color theme="0"/>
      <sz val="10"/>
    </font>
    <font>
      <name val="Arial"/>
      <family val="2"/>
      <color rgb="FF000000"/>
      <sz val="10"/>
    </font>
    <font>
      <name val="Arial"/>
      <color rgb="FF000000"/>
      <sz val="10"/>
    </font>
    <font>
      <name val="Arial"/>
      <family val="2"/>
      <color rgb="FFFFFFFF"/>
      <sz val="10"/>
    </font>
    <font>
      <name val="Arial"/>
      <color rgb="FFFFFFFF"/>
      <sz val="10"/>
    </font>
    <font>
      <name val="Arial"/>
      <charset val="134"/>
      <family val="2"/>
      <color rgb="FF000000"/>
      <sz val="10"/>
    </font>
    <font>
      <name val="Arial"/>
      <charset val="134"/>
      <family val="3"/>
      <color rgb="FF000000"/>
      <sz val="10"/>
    </font>
    <font>
      <name val="Arial"/>
      <color rgb="FF000000"/>
      <sz val="10"/>
    </font>
    <font>
      <sz val="10"/>
    </font>
    <font>
      <sz val="10"/>
    </font>
    <font/>
    <font>
      <color rgb="FF000000"/>
    </font>
    <font>
      <name val="Arial"/>
      <family val="2"/>
      <color theme="1"/>
      <sz val="10"/>
    </font>
    <font>
      <name val="Arial"/>
      <color theme="1"/>
      <sz val="10"/>
    </font>
    <font>
      <name val="Arial"/>
      <family val="2"/>
      <color rgb="FFFFFFFF" theme="0"/>
      <sz val="10"/>
    </font>
    <font>
      <name val="等线"/>
      <family val="2"/>
      <color theme="1"/>
      <sz val="11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002060"/>
      </patternFill>
    </fill>
    <fill>
      <patternFill patternType="solid">
        <fgColor rgb="FF00B050"/>
        <bgColor indexed="64"/>
      </patternFill>
    </fill>
    <fill>
      <patternFill patternType="solid">
        <fgColor rgb="FF000000"/>
      </patternFill>
    </fill>
    <fill>
      <patternFill patternType="solid">
        <fgColor theme="0" tint="-0.499985"/>
        <bgColor indexed="64"/>
      </patternFill>
    </fill>
    <fill>
      <patternFill patternType="solid">
        <fgColor theme="1"/>
        <bgColor indexed="64"/>
      </patternFill>
    </fill>
    <fill>
      <patternFill patternType="none"/>
    </fill>
    <fill>
      <patternFill patternType="none"/>
    </fill>
    <fill>
      <patternFill patternType="solid">
        <fgColor rgb="FF000000" theme="1"/>
        <bgColor indexed="64"/>
      </patternFill>
    </fill>
    <fill>
      <patternFill patternType="none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/>
    <fill>
      <patternFill patternType="solid">
        <fgColor rgb="FF8CDDFA"/>
      </patternFill>
    </fill>
    <fill/>
    <fill/>
    <fill/>
    <fill>
      <patternFill patternType="solid">
        <fgColor rgb="FF000000" theme="1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rgb="FFB0B0B0"/>
      </top>
      <bottom style="thin">
        <color rgb="FFB0B0B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/>
    <border diagonalUp="1" diagonalDown="1">
      <left/>
      <right/>
      <top/>
      <bottom/>
      <diagonal/>
    </border>
    <border>
      <left/>
      <right/>
      <top/>
      <bottom/>
    </border>
    <border>
      <left/>
      <right/>
      <top/>
      <bottom/>
      <diagonal/>
    </border>
  </borders>
  <cellStyleXfs>
    <xf numFmtId="303" fontId="21" fillId="0" borderId="8" xfId="0"/>
  </cellStyleXfs>
  <cellXfs count="16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NumberFormat="1" applyFont="1" applyFill="1" applyBorder="1" applyAlignment="1">
      <alignment horizontal="left" wrapText="1"/>
    </xf>
    <xf numFmtId="303" fontId="3" fillId="2" borderId="1" xfId="0" applyFont="1" applyFill="1" applyBorder="1" applyAlignment="1">
      <alignment horizontal="left" wrapText="1"/>
    </xf>
    <xf numFmtId="303" fontId="3" fillId="3" borderId="1" xfId="0" applyFont="1" applyFill="1" applyBorder="1" applyAlignment="1">
      <alignment horizontal="left" wrapText="1"/>
    </xf>
    <xf fontId="4" fillId="2" borderId="2" xfId="0">
      <alignment horizontal="left" wrapText="1"/>
    </xf>
    <xf numFmtId="14" fontId="3" fillId="4" borderId="1" xfId="0" applyNumberFormat="1" applyFont="1" applyFill="1" applyBorder="1" applyAlignment="1">
      <alignment horizontal="left" wrapText="1"/>
    </xf>
    <xf numFmtId="14" fontId="5" fillId="4" borderId="1" xfId="0" applyNumberFormat="1" applyFont="1" applyFill="1" applyBorder="1" applyAlignment="1">
      <alignment horizontal="left" vertical="center" wrapText="1"/>
    </xf>
    <xf numFmtId="301" fontId="3" fillId="4" borderId="3" xfId="0" applyNumberFormat="1" applyFont="1" applyFill="1" applyBorder="1" applyAlignment="1">
      <alignment horizontal="left" vertical="center"/>
    </xf>
    <xf numFmtId="301" fontId="3" fillId="5" borderId="4" xfId="0" applyNumberFormat="1" applyFont="1" applyFill="1" applyBorder="1" applyAlignment="1">
      <alignment horizontal="left" vertical="center"/>
    </xf>
    <xf numFmtId="301" fontId="3" fillId="6" borderId="3" xfId="0" applyNumberFormat="1" applyFont="1" applyFill="1" applyBorder="1" applyAlignment="1">
      <alignment horizontal="left" vertical="center"/>
    </xf>
    <xf numFmtId="301" fontId="3" fillId="2" borderId="1" xfId="0" applyNumberFormat="1" applyFont="1" applyFill="1" applyBorder="1" applyAlignment="1">
      <alignment horizontal="left" vertical="center" wrapText="1"/>
    </xf>
    <xf numFmtId="301" fontId="3" fillId="4" borderId="1" xfId="0" applyNumberFormat="1" applyFont="1" applyFill="1" applyBorder="1" applyAlignment="1">
      <alignment horizontal="left" vertical="center" wrapText="1"/>
    </xf>
    <xf numFmtId="301" fontId="6" fillId="7" borderId="8" xfId="0" applyNumberFormat="1" applyFont="1" applyFill="1" applyAlignment="1">
      <alignment horizontal="left"/>
    </xf>
    <xf numFmtId="301" fontId="4" fillId="6" borderId="8" xfId="0" applyNumberFormat="1" applyFont="1" applyFill="1" applyAlignment="1">
      <alignment horizontal="left" vertical="center"/>
    </xf>
    <xf numFmtId="300" fontId="7" fillId="8" borderId="8" xfId="0" applyNumberFormat="1" applyFont="1" applyFill="1" applyAlignment="1">
      <alignment horizontal="left"/>
    </xf>
    <xf numFmtId="0" fontId="7" fillId="8" borderId="8" xfId="0" applyNumberFormat="1" applyFont="1" applyFill="1" applyAlignment="1">
      <alignment horizontal="left"/>
    </xf>
    <xf numFmtId="0" fontId="7" fillId="9" borderId="8" xfId="0" applyNumberFormat="1" applyFont="1" applyFill="1" applyAlignment="1">
      <alignment horizontal="left"/>
    </xf>
    <xf numFmtId="0" fontId="8" fillId="8" borderId="0" xfId="0">
      <alignment horizontal="left"/>
    </xf>
    <xf numFmtId="14" fontId="7" fillId="8" borderId="8" xfId="0" applyNumberFormat="1" applyFont="1" applyFill="1" applyAlignment="1">
      <alignment horizontal="left"/>
    </xf>
    <xf numFmtId="301" fontId="9" fillId="5" borderId="8" xfId="0" applyNumberFormat="1" applyFont="1" applyFill="1" applyAlignment="1">
      <alignment horizontal="left"/>
    </xf>
    <xf numFmtId="301" fontId="7" fillId="0" borderId="8" xfId="0" applyNumberFormat="1" applyFont="1" applyAlignment="1">
      <alignment horizontal="left"/>
    </xf>
    <xf numFmtId="301" fontId="8" fillId="10" borderId="5" xfId="0">
      <alignment horizontal="left"/>
    </xf>
    <xf numFmtId="301" fontId="8" fillId="11" borderId="5" xfId="0">
      <alignment horizontal="left"/>
    </xf>
    <xf numFmtId="301" fontId="8" fillId="7" borderId="5" xfId="0">
      <alignment horizontal="left"/>
    </xf>
    <xf numFmtId="301" fontId="8" fillId="0" borderId="8" xfId="0" applyNumberFormat="1" applyFont="1" applyAlignment="1">
      <alignment horizontal="left"/>
    </xf>
    <xf numFmtId="301" fontId="10" fillId="12" borderId="8" xfId="0" applyNumberFormat="1" applyFont="1" applyFill="1" applyAlignment="1">
      <alignment horizontal="left"/>
    </xf>
    <xf numFmtId="300" fontId="7" fillId="13" borderId="8" xfId="0" applyNumberFormat="1" applyFont="1" applyFill="1" applyAlignment="1">
      <alignment horizontal="left"/>
    </xf>
    <xf numFmtId="303" fontId="7" fillId="13" borderId="8" xfId="0" applyFont="1" applyFill="1" applyAlignment="1">
      <alignment horizontal="left"/>
    </xf>
    <xf numFmtId="303" fontId="7" fillId="14" borderId="8" xfId="0" applyFont="1" applyFill="1" applyAlignment="1">
      <alignment horizontal="left"/>
    </xf>
    <xf fontId="8" fillId="13" borderId="0" xfId="0">
      <alignment horizontal="left"/>
    </xf>
    <xf numFmtId="14" fontId="7" fillId="13" borderId="8" xfId="0" applyNumberFormat="1" applyFont="1" applyFill="1" applyAlignment="1">
      <alignment horizontal="left"/>
    </xf>
    <xf numFmtId="301" fontId="10" fillId="5" borderId="8" xfId="0" applyNumberFormat="1" applyFont="1" applyFill="1" applyAlignment="1">
      <alignment horizontal="left"/>
    </xf>
    <xf numFmtId="301" fontId="7" fillId="13" borderId="8" xfId="0" applyNumberFormat="1" applyFont="1" applyFill="1" applyAlignment="1">
      <alignment horizontal="left"/>
    </xf>
    <xf numFmtId="301" fontId="8" fillId="5" borderId="5" xfId="0">
      <alignment horizontal="left"/>
    </xf>
    <xf numFmtId="301" fontId="8" fillId="15" borderId="5" xfId="0">
      <alignment horizontal="left"/>
    </xf>
    <xf numFmtId="301" fontId="8" fillId="13" borderId="8" xfId="0" applyNumberFormat="1" applyFont="1" applyFill="1" applyAlignment="1">
      <alignment horizontal="left"/>
    </xf>
    <xf numFmtId="301" fontId="8" fillId="15" borderId="8" xfId="0" applyNumberFormat="1" applyFont="1" applyFill="1" applyAlignment="1">
      <alignment horizontal="left"/>
    </xf>
    <xf numFmtId="301" fontId="8" fillId="13" borderId="0" xfId="0">
      <alignment horizontal="left"/>
    </xf>
    <xf numFmtId="301" fontId="8" fillId="15" borderId="0" xfId="0">
      <alignment horizontal="left"/>
    </xf>
    <xf numFmtId="0" fontId="8" fillId="13" borderId="0" xfId="0">
      <alignment vertical="center" textRotation="0"/>
    </xf>
    <xf numFmtId="301" fontId="7" fillId="8" borderId="8" xfId="0" applyNumberFormat="1" applyFont="1" applyFill="1" applyAlignment="1">
      <alignment horizontal="left"/>
    </xf>
    <xf numFmtId="302" fontId="7" fillId="8" borderId="8" xfId="0" applyNumberFormat="1" applyFont="1" applyFill="1" applyAlignment="1">
      <alignment horizontal="left"/>
    </xf>
    <xf numFmtId="300" fontId="7" fillId="13" borderId="0" xfId="0">
      <alignment horizontal="left"/>
    </xf>
    <xf fontId="7" fillId="13" borderId="0" xfId="0">
      <alignment horizontal="left"/>
    </xf>
    <xf fontId="7" fillId="14" borderId="0" xfId="0">
      <alignment horizontal="left"/>
    </xf>
    <xf numFmtId="14" fontId="7" fillId="13" borderId="0" xfId="0">
      <alignment horizontal="left"/>
    </xf>
    <xf numFmtId="301" fontId="7" fillId="13" borderId="0" xfId="0">
      <alignment horizontal="left"/>
    </xf>
    <xf numFmtId="14" fontId="7" fillId="16" borderId="0" xfId="0">
      <alignment horizontal="left" vertical="bottom" textRotation="0"/>
    </xf>
    <xf numFmtId="301" fontId="7" fillId="0" borderId="0" xfId="0">
      <alignment horizontal="left" vertical="bottom" textRotation="0"/>
    </xf>
    <xf numFmtId="301" fontId="7" fillId="13" borderId="0" xfId="0">
      <alignment horizontal="left" vertical="bottom" textRotation="0"/>
    </xf>
    <xf numFmtId="301" fontId="7" fillId="0" borderId="0" xfId="0">
      <alignment horizontal="left"/>
    </xf>
    <xf numFmtId="14" fontId="7" fillId="0" borderId="0" xfId="0">
      <alignment horizontal="left" justifyLastLine="0" shrinkToFit="0"/>
    </xf>
    <xf numFmtId="0" fontId="7" fillId="13" borderId="8" xfId="0" applyNumberFormat="1" applyFont="1" applyFill="1" applyAlignment="1">
      <alignment vertical="bottom" textRotation="0"/>
    </xf>
    <xf numFmtId="0" fontId="7" fillId="8" borderId="6" xfId="0"/>
    <xf numFmtId="0" fontId="7" fillId="9" borderId="5" xfId="0"/>
    <xf numFmtId="0" fontId="8" fillId="8" borderId="6" xfId="0"/>
    <xf numFmtId="0" fontId="8" fillId="0" borderId="0" xfId="0">
      <alignment vertical="center" textRotation="0"/>
    </xf>
    <xf numFmtId="0" fontId="8" fillId="15" borderId="0" xfId="0">
      <alignment vertical="center" textRotation="0"/>
    </xf>
    <xf numFmtId="301" fontId="7" fillId="16" borderId="8" xfId="0" applyNumberFormat="1" applyFont="1" applyFill="1" applyAlignment="1">
      <alignment horizontal="left" vertical="bottom" textRotation="0"/>
    </xf>
    <xf numFmtId="301" fontId="7" fillId="0" borderId="8" xfId="0" applyNumberFormat="1" applyFont="1" applyAlignment="1">
      <alignment horizontal="left" vertical="center" textRotation="0"/>
    </xf>
    <xf numFmtId="0" fontId="7" fillId="13" borderId="8" xfId="0" applyNumberFormat="1" applyFont="1" applyFill="1" applyAlignment="1">
      <alignment horizontal="left"/>
    </xf>
    <xf numFmtId="0" fontId="7" fillId="14" borderId="8" xfId="0" applyNumberFormat="1" applyFont="1" applyFill="1" applyAlignment="1">
      <alignment horizontal="left"/>
    </xf>
    <xf numFmtId="0" fontId="8" fillId="13" borderId="0" xfId="0">
      <alignment horizontal="left"/>
    </xf>
    <xf numFmtId="302" fontId="7" fillId="0" borderId="0" xfId="0">
      <alignment horizontal="left"/>
    </xf>
    <xf numFmtId="301" fontId="7" fillId="16" borderId="0" xfId="0">
      <alignment horizontal="left"/>
    </xf>
    <xf numFmtId="301" fontId="7" fillId="16" borderId="7" xfId="0">
      <alignment horizontal="left"/>
    </xf>
    <xf numFmtId="301" fontId="7" fillId="8" borderId="8" xfId="0" applyNumberFormat="1" applyFont="1" applyFill="1" applyAlignment="1">
      <alignment horizontal="left" vertical="center" textRotation="0"/>
    </xf>
    <xf numFmtId="0" fontId="11" fillId="8" borderId="8" xfId="0" applyNumberFormat="1" applyFont="1" applyFill="1" applyAlignment="1">
      <alignment horizontal="left"/>
    </xf>
    <xf numFmtId="300" fontId="11" fillId="8" borderId="8" xfId="0" applyNumberFormat="1" applyFont="1" applyFill="1" applyAlignment="1">
      <alignment horizontal="left"/>
    </xf>
    <xf numFmtId="0" fontId="11" fillId="9" borderId="8" xfId="0" applyNumberFormat="1" applyFont="1" applyFill="1" applyAlignment="1">
      <alignment horizontal="left"/>
    </xf>
    <xf numFmtId="300" fontId="12" fillId="8" borderId="8" xfId="0" applyNumberFormat="1" applyFont="1" applyFill="1" applyAlignment="1">
      <alignment horizontal="left"/>
    </xf>
    <xf numFmtId="300" fontId="7" fillId="9" borderId="8" xfId="0" applyNumberFormat="1" applyFont="1" applyFill="1" applyAlignment="1">
      <alignment horizontal="left"/>
    </xf>
    <xf numFmtId="0" fontId="11" fillId="13" borderId="8" xfId="0" applyNumberFormat="1" applyFont="1" applyFill="1" applyAlignment="1">
      <alignment horizontal="left"/>
    </xf>
    <xf numFmtId="14" fontId="7" fillId="16" borderId="7" xfId="0">
      <alignment horizontal="left" vertical="bottom" textRotation="0"/>
    </xf>
    <xf numFmtId="300" fontId="8" fillId="8" borderId="8" xfId="0" applyNumberFormat="1" applyFont="1" applyFill="1" applyAlignment="1">
      <alignment horizontal="left" vertical="bottom" textRotation="0"/>
    </xf>
    <xf numFmtId="0" fontId="8" fillId="8" borderId="8" xfId="0" applyNumberFormat="1" applyFont="1" applyFill="1" applyAlignment="1">
      <alignment horizontal="left" vertical="bottom" textRotation="0"/>
    </xf>
    <xf numFmtId="300" fontId="7" fillId="8" borderId="8" xfId="0" applyNumberFormat="1" applyFont="1" applyFill="1" applyAlignment="1">
      <alignment horizontal="left" vertical="bottom" textRotation="0"/>
    </xf>
    <xf numFmtId="300" fontId="7" fillId="9" borderId="8" xfId="0" applyNumberFormat="1" applyFont="1" applyFill="1" applyAlignment="1">
      <alignment horizontal="left" vertical="bottom" textRotation="0"/>
    </xf>
    <xf numFmtId="0" fontId="8" fillId="8" borderId="0" xfId="0">
      <alignment horizontal="left" vertical="bottom" textRotation="0"/>
    </xf>
    <xf numFmtId="14" fontId="8" fillId="8" borderId="8" xfId="0" applyNumberFormat="1" applyFont="1" applyFill="1" applyAlignment="1">
      <alignment horizontal="left" vertical="bottom" textRotation="0"/>
    </xf>
    <xf numFmtId="301" fontId="8" fillId="0" borderId="0" xfId="0">
      <alignment horizontal="left"/>
    </xf>
    <xf numFmtId="301" fontId="8" fillId="8" borderId="8" xfId="0" applyNumberFormat="1" applyFont="1" applyFill="1" applyAlignment="1">
      <alignment horizontal="left"/>
    </xf>
    <xf numFmtId="300" fontId="8" fillId="9" borderId="8" xfId="0" applyNumberFormat="1" applyFont="1" applyFill="1" applyAlignment="1">
      <alignment horizontal="left" vertical="bottom" textRotation="0"/>
    </xf>
    <xf numFmtId="300" fontId="11" fillId="9" borderId="8" xfId="0" applyNumberFormat="1" applyFont="1" applyFill="1" applyAlignment="1">
      <alignment horizontal="left" vertical="bottom" textRotation="0"/>
    </xf>
    <xf numFmtId="301" fontId="8" fillId="16" borderId="8" xfId="0" applyNumberFormat="1" applyFont="1" applyFill="1" applyAlignment="1">
      <alignment horizontal="left"/>
    </xf>
    <xf numFmtId="300" fontId="8" fillId="0" borderId="0" xfId="0">
      <alignment horizontal="left" vertical="bottom" textRotation="0"/>
    </xf>
    <xf numFmtId="0" fontId="8" fillId="0" borderId="0" xfId="0">
      <alignment vertical="bottom" textRotation="0"/>
    </xf>
    <xf numFmtId="0" fontId="8" fillId="0" borderId="0" xfId="0">
      <alignment horizontal="left" vertical="bottom" textRotation="0"/>
    </xf>
    <xf numFmtId="302" fontId="8" fillId="0" borderId="0" xfId="0">
      <alignment horizontal="left" vertical="bottom" textRotation="0"/>
    </xf>
    <xf numFmtId="0" fontId="8" fillId="13" borderId="0" xfId="0">
      <alignment vertical="bottom" textRotation="0"/>
    </xf>
    <xf numFmtId="14" fontId="8" fillId="16" borderId="0" xfId="0">
      <alignment horizontal="left" vertical="bottom" textRotation="0"/>
    </xf>
    <xf numFmtId="14" fontId="8" fillId="0" borderId="0" xfId="0">
      <alignment horizontal="left" vertical="bottom" textRotation="0"/>
    </xf>
    <xf numFmtId="301" fontId="8" fillId="16" borderId="7" xfId="0">
      <alignment horizontal="left"/>
    </xf>
    <xf numFmtId="301" fontId="8" fillId="8" borderId="8" xfId="0" applyNumberFormat="1" applyFont="1" applyFill="1" applyAlignment="1">
      <alignment horizontal="left" vertical="center" textRotation="0"/>
    </xf>
    <xf numFmtId="301" fontId="8" fillId="0" borderId="8" xfId="0" applyNumberFormat="1" applyFont="1" applyAlignment="1">
      <alignment horizontal="left" vertical="center" textRotation="0"/>
    </xf>
    <xf fontId="8" fillId="0" borderId="0" xfId="0">
      <alignment vertical="bottom" textRotation="0"/>
    </xf>
    <xf numFmtId="300" fontId="8" fillId="8" borderId="8" xfId="0" applyNumberFormat="1" applyFont="1" applyFill="1" applyAlignment="1">
      <alignment horizontal="left"/>
    </xf>
    <xf numFmtId="0" fontId="8" fillId="0" borderId="0" xfId="0">
      <alignment vertical="bottom" textRotation="0" indent="0" justifyLastLine="0" shrinkToFit="0"/>
    </xf>
    <xf numFmtId="0" fontId="8" fillId="0" borderId="8" xfId="0" applyNumberFormat="1" applyFont="1" applyAlignment="1">
      <alignment horizontal="left" vertical="bottom" textRotation="0"/>
    </xf>
    <xf numFmtId="0" fontId="8" fillId="0" borderId="8" xfId="0" applyNumberFormat="1" applyFont="1" applyAlignment="1">
      <alignment vertical="bottom" textRotation="0"/>
    </xf>
    <xf numFmtId="302" fontId="8" fillId="0" borderId="0" xfId="0">
      <alignment horizontal="left" vertical="bottom" textRotation="0" indent="0" justifyLastLine="0" shrinkToFit="0"/>
    </xf>
    <xf numFmtId="0" fontId="8" fillId="17" borderId="0" xfId="0">
      <alignment vertical="bottom" textRotation="0" indent="0" justifyLastLine="0" shrinkToFit="0"/>
    </xf>
    <xf numFmtId="301" fontId="8" fillId="16" borderId="0" xfId="0">
      <alignment horizontal="left"/>
    </xf>
    <xf numFmtId="300" fontId="8" fillId="0" borderId="0" xfId="0">
      <alignment horizontal="right" vertical="bottom" textRotation="0" indent="0" justifyLastLine="0" shrinkToFit="0"/>
    </xf>
    <xf numFmtId="301" fontId="8" fillId="18" borderId="7" xfId="0">
      <alignment horizontal="left"/>
    </xf>
    <xf numFmtId="301" fontId="8" fillId="11" borderId="8" xfId="0" applyNumberFormat="1" applyFont="1" applyFill="1" applyAlignment="1">
      <alignment horizontal="left" vertical="center" textRotation="0"/>
    </xf>
    <xf numFmtId="0" fontId="8" fillId="8" borderId="8" xfId="0" applyNumberFormat="1" applyFont="1" applyFill="1" applyAlignment="1">
      <alignment horizontal="left"/>
    </xf>
    <xf numFmtId="0" fontId="8" fillId="9" borderId="8" xfId="0" applyNumberFormat="1" applyFont="1" applyFill="1" applyAlignment="1">
      <alignment horizontal="left"/>
    </xf>
    <xf numFmtId="300" fontId="8" fillId="0" borderId="0" xfId="0">
      <alignment horizontal="left" vertical="bottom" textRotation="0" indent="0" justifyLastLine="0" shrinkToFit="0"/>
    </xf>
    <xf numFmtId="300" fontId="8" fillId="0" borderId="8" xfId="0" applyNumberFormat="1" applyFont="1" applyAlignment="1">
      <alignment horizontal="left"/>
    </xf>
    <xf numFmtId="303" fontId="8" fillId="0" borderId="8" xfId="0" applyFont="1" applyAlignment="1">
      <alignment horizontal="left"/>
    </xf>
    <xf numFmtId="14" fontId="8" fillId="0" borderId="8" xfId="0" applyNumberFormat="1" applyFont="1" applyAlignment="1">
      <alignment horizontal="left"/>
    </xf>
    <xf numFmtId="0" fontId="13" fillId="11" borderId="5" xfId="0" applyNumberFormat="1" applyFont="1" applyFill="1" applyBorder="1" applyAlignment="1">
      <alignment horizontal="left"/>
    </xf>
    <xf numFmtId="0" fontId="8" fillId="11" borderId="0" xfId="0">
      <alignment horizontal="left"/>
    </xf>
    <xf numFmtId="300" fontId="8" fillId="19" borderId="0" xfId="0">
      <alignment horizontal="right" vertical="bottom" textRotation="0" indent="0" justifyLastLine="0" shrinkToFit="0"/>
    </xf>
    <xf numFmtId="0" fontId="8" fillId="19" borderId="0" xfId="0">
      <alignment vertical="bottom" textRotation="0" indent="0" justifyLastLine="0" shrinkToFit="0"/>
    </xf>
    <xf numFmtId="300" fontId="8" fillId="19" borderId="0" xfId="0">
      <alignment horizontal="left" vertical="bottom" textRotation="0" indent="0" justifyLastLine="0" shrinkToFit="0"/>
    </xf>
    <xf numFmtId="303" fontId="13" fillId="11" borderId="5" xfId="0" applyFont="1" applyFill="1" applyBorder="1" applyAlignment="1">
      <alignment horizontal="left"/>
    </xf>
    <xf numFmtId="300" fontId="8" fillId="0" borderId="0" xfId="0">
      <alignment horizontal="left"/>
    </xf>
    <xf numFmtId="14" fontId="8" fillId="16" borderId="0" xfId="0">
      <alignment horizontal="left"/>
    </xf>
    <xf numFmtId="301" fontId="8" fillId="19" borderId="0" xfId="0">
      <alignment horizontal="left"/>
    </xf>
    <xf numFmtId="300" fontId="8" fillId="18" borderId="0" xfId="0">
      <alignment horizontal="right" vertical="bottom" textRotation="0" indent="0" justifyLastLine="0" shrinkToFit="0"/>
    </xf>
    <xf numFmtId="0" fontId="8" fillId="18" borderId="0" xfId="0">
      <alignment vertical="bottom" textRotation="0" indent="0" justifyLastLine="0" shrinkToFit="0"/>
    </xf>
    <xf numFmtId="300" fontId="8" fillId="18" borderId="0" xfId="0">
      <alignment horizontal="left" vertical="bottom" textRotation="0" indent="0" justifyLastLine="0" shrinkToFit="0"/>
    </xf>
    <xf numFmtId="300" fontId="13" fillId="11" borderId="8" xfId="0" applyNumberFormat="1" applyFont="1" applyFill="1" applyAlignment="1">
      <alignment horizontal="left" vertical="bottom" textRotation="0"/>
    </xf>
    <xf numFmtId="301" fontId="8" fillId="18" borderId="5" xfId="0">
      <alignment horizontal="left"/>
    </xf>
    <xf numFmtId="301" fontId="8" fillId="11" borderId="8" xfId="0" applyNumberFormat="1" applyFont="1" applyFill="1" applyAlignment="1">
      <alignment horizontal="left"/>
    </xf>
    <xf numFmtId="0" fontId="14" fillId="18" borderId="0" xfId="0">
      <alignment vertical="bottom" textRotation="0"/>
    </xf>
    <xf numFmtId="0" fontId="15" fillId="18" borderId="5" xfId="0" applyNumberFormat="1" applyFont="1" applyFill="1" applyBorder="1" applyAlignment="1">
      <alignment vertical="bottom" textRotation="0"/>
    </xf>
    <xf numFmtId="0" fontId="15" fillId="18" borderId="0" xfId="0">
      <alignment vertical="bottom" textRotation="0"/>
    </xf>
    <xf numFmtId="0" fontId="14" fillId="16" borderId="5" xfId="0">
      <alignment vertical="bottom" textRotation="0"/>
    </xf>
    <xf numFmtId="0" fontId="14" fillId="19" borderId="0" xfId="0">
      <alignment vertical="bottom" textRotation="0"/>
    </xf>
    <xf numFmtId="302" fontId="16" fillId="20" borderId="0" xfId="0">
      <alignment horizontal="left" vertical="bottom" textRotation="0" indent="0" justifyLastLine="0" shrinkToFit="0"/>
    </xf>
    <xf numFmtId="301" fontId="8" fillId="21" borderId="0" xfId="0">
      <alignment horizontal="left"/>
    </xf>
    <xf numFmtId="301" fontId="8" fillId="8" borderId="0" xfId="0">
      <alignment horizontal="left"/>
    </xf>
    <xf numFmtId="301" fontId="8" fillId="22" borderId="0" xfId="0">
      <alignment horizontal="left"/>
    </xf>
    <xf numFmtId="0" fontId="8" fillId="15" borderId="0" xfId="0">
      <alignment vertical="bottom" textRotation="0" indent="0" justifyLastLine="0" shrinkToFit="0"/>
    </xf>
    <xf numFmtId="0" fontId="15" fillId="18" borderId="5" xfId="0">
      <alignment vertical="bottom" textRotation="0"/>
    </xf>
    <xf numFmtId="300" fontId="8" fillId="0" borderId="8" xfId="0" applyNumberFormat="1" applyFont="1" applyAlignment="1">
      <alignment horizontal="left" vertical="bottom" textRotation="0"/>
    </xf>
    <xf numFmtId="301" fontId="8" fillId="18" borderId="0" xfId="0">
      <alignment horizontal="left"/>
    </xf>
    <xf numFmtId="300" fontId="8" fillId="19" borderId="0" xfId="0">
      <alignment horizontal="left"/>
    </xf>
    <xf numFmtId="300" fontId="8" fillId="18" borderId="0" xfId="0">
      <alignment horizontal="right" vertical="bottom" textRotation="0" justifyLastLine="0" shrinkToFit="0"/>
    </xf>
    <xf numFmtId="0" fontId="8" fillId="15" borderId="0" xfId="0">
      <alignment vertical="bottom" textRotation="0" justifyLastLine="0" shrinkToFit="0"/>
    </xf>
    <xf numFmtId="302" fontId="16" fillId="20" borderId="0" xfId="0">
      <alignment horizontal="left" vertical="bottom" textRotation="0" justifyLastLine="0" shrinkToFit="0"/>
    </xf>
    <xf numFmtId="301" fontId="8" fillId="9" borderId="0" xfId="0">
      <alignment horizontal="left"/>
    </xf>
    <xf numFmtId="0" fontId="14" fillId="18" borderId="5" xfId="0">
      <alignment vertical="bottom" textRotation="0"/>
    </xf>
    <xf fontId="14" fillId="18" borderId="0" xfId="0">
      <alignment vertical="bottom" textRotation="0"/>
    </xf>
    <xf numFmtId="302" fontId="16" fillId="18" borderId="0" xfId="0">
      <alignment horizontal="left" vertical="bottom" textRotation="0" indent="0" justifyLastLine="0" shrinkToFit="0"/>
    </xf>
    <xf numFmtId="301" fontId="8" fillId="10" borderId="0" xfId="0">
      <alignment horizontal="left"/>
    </xf>
    <xf numFmtId="301" fontId="8" fillId="11" borderId="0" xfId="0">
      <alignment horizontal="left"/>
    </xf>
    <xf numFmtId="301" fontId="8" fillId="7" borderId="0" xfId="0">
      <alignment horizontal="left"/>
    </xf>
    <xf fontId="14" fillId="16" borderId="0" xfId="0">
      <alignment vertical="bottom" textRotation="0"/>
    </xf>
    <xf fontId="17" fillId="0" borderId="0" xfId="0"/>
    <xf fontId="17" fillId="15" borderId="0" xfId="0"/>
    <xf numFmtId="300" fontId="18" fillId="11" borderId="8" xfId="0" applyNumberFormat="1" applyFont="1" applyFill="1" applyBorder="1" applyAlignment="1">
      <alignment horizontal="left"/>
    </xf>
    <xf numFmtId="303" fontId="18" fillId="11" borderId="8" xfId="0" applyNumberFormat="1" applyFont="1" applyFill="1" applyBorder="1" applyAlignment="1">
      <alignment horizontal="left"/>
    </xf>
    <xf numFmtId="303" fontId="19" fillId="11" borderId="5" xfId="0" applyFont="1" applyFill="1" applyBorder="1" applyAlignment="1">
      <alignment horizontal="left"/>
    </xf>
    <xf numFmtId="304" fontId="18" fillId="11" borderId="8" xfId="0" applyNumberFormat="1" applyFont="1" applyFill="1" applyBorder="1" applyAlignment="1">
      <alignment horizontal="left"/>
    </xf>
    <xf numFmtId="303" fontId="20" fillId="10" borderId="8" xfId="0" applyNumberFormat="1" applyFont="1" applyFill="1" applyBorder="1" applyAlignment="1">
      <alignment horizontal="left"/>
    </xf>
    <xf numFmtId="301" fontId="18" fillId="11" borderId="8" xfId="0" applyNumberFormat="1" applyFont="1" applyFill="1" applyBorder="1" applyAlignment="1">
      <alignment horizontal="left"/>
    </xf>
    <xf numFmtId="301" fontId="6" fillId="10" borderId="8" xfId="0" applyNumberFormat="1" applyFont="1" applyFill="1" applyBorder="1" applyAlignment="1">
      <alignment horizontal="left"/>
    </xf>
    <xf numFmtId="301" fontId="6" fillId="7" borderId="8" xfId="0" applyNumberFormat="1" applyFont="1" applyFill="1" applyBorder="1" applyAlignment="1">
      <alignment horizontal="left"/>
    </xf>
    <xf numFmtId="301" fontId="19" fillId="11" borderId="5" xfId="0" applyNumberFormat="1" applyFont="1" applyFill="1" applyBorder="1" applyAlignment="1">
      <alignment horizontal="left"/>
    </xf>
  </cellXfs>
  <cellStyles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2F2F2"/>
          <bgColor rgb="FFF2F2F2"/>
        </patternFill>
      </fill>
    </dxf>
    <dxf>
      <border>
        <left style="thin">
          <color rgb="FFD9D9D9"/>
        </left>
        <right style="thin">
          <color rgb="FFD9D9D9"/>
        </right>
        <top style="thin">
          <color rgb="FFD9D9D9"/>
        </top>
        <bottom style="medium">
          <color rgb="FF808080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55" Type="http://schemas.openxmlformats.org/officeDocument/2006/relationships/externalLink" Target="externalLinks/externalLink52.xml" /><Relationship Id="rId5" Type="http://schemas.openxmlformats.org/officeDocument/2006/relationships/externalLink" Target="externalLinks/externalLink2.xml" /><Relationship Id="rId49" Type="http://schemas.openxmlformats.org/officeDocument/2006/relationships/externalLink" Target="externalLinks/externalLink46.xml" /><Relationship Id="rId48" Type="http://schemas.openxmlformats.org/officeDocument/2006/relationships/externalLink" Target="externalLinks/externalLink45.xml" /><Relationship Id="rId54" Type="http://schemas.openxmlformats.org/officeDocument/2006/relationships/externalLink" Target="externalLinks/externalLink51.xml" /><Relationship Id="rId47" Type="http://schemas.openxmlformats.org/officeDocument/2006/relationships/externalLink" Target="externalLinks/externalLink44.xml" /><Relationship Id="rId44" Type="http://schemas.openxmlformats.org/officeDocument/2006/relationships/externalLink" Target="externalLinks/externalLink41.xml" /><Relationship Id="rId43" Type="http://schemas.openxmlformats.org/officeDocument/2006/relationships/externalLink" Target="externalLinks/externalLink40.xml" /><Relationship Id="rId42" Type="http://schemas.openxmlformats.org/officeDocument/2006/relationships/externalLink" Target="externalLinks/externalLink39.xml" /><Relationship Id="rId37" Type="http://schemas.openxmlformats.org/officeDocument/2006/relationships/externalLink" Target="externalLinks/externalLink34.xml" /><Relationship Id="rId1" Type="http://schemas.openxmlformats.org/officeDocument/2006/relationships/theme" Target="theme/theme1.xml" /><Relationship Id="rId7" Type="http://schemas.openxmlformats.org/officeDocument/2006/relationships/externalLink" Target="externalLinks/externalLink4.xml" /><Relationship Id="rId19" Type="http://schemas.openxmlformats.org/officeDocument/2006/relationships/externalLink" Target="externalLinks/externalLink16.xml" /><Relationship Id="rId20" Type="http://schemas.openxmlformats.org/officeDocument/2006/relationships/externalLink" Target="externalLinks/externalLink17.xml" /><Relationship Id="rId2" Type="http://schemas.openxmlformats.org/officeDocument/2006/relationships/styles" Target="styles.xml" /><Relationship Id="rId53" Type="http://schemas.openxmlformats.org/officeDocument/2006/relationships/externalLink" Target="externalLinks/externalLink50.xml" /><Relationship Id="rId46" Type="http://schemas.openxmlformats.org/officeDocument/2006/relationships/externalLink" Target="externalLinks/externalLink43.xml" /><Relationship Id="rId12" Type="http://schemas.openxmlformats.org/officeDocument/2006/relationships/externalLink" Target="externalLinks/externalLink9.xml" /><Relationship Id="rId15" Type="http://schemas.openxmlformats.org/officeDocument/2006/relationships/externalLink" Target="externalLinks/externalLink12.xml" /><Relationship Id="rId0" Type="http://schemas.openxmlformats.org/officeDocument/2006/relationships/sharedStrings" Target="sharedStrings.xml" /><Relationship Id="rId18" Type="http://schemas.openxmlformats.org/officeDocument/2006/relationships/externalLink" Target="externalLinks/externalLink15.xml" /><Relationship Id="rId21" Type="http://schemas.openxmlformats.org/officeDocument/2006/relationships/externalLink" Target="externalLinks/externalLink18.xml" /><Relationship Id="rId24" Type="http://schemas.openxmlformats.org/officeDocument/2006/relationships/externalLink" Target="externalLinks/externalLink21.xml" /><Relationship Id="rId33" Type="http://schemas.openxmlformats.org/officeDocument/2006/relationships/externalLink" Target="externalLinks/externalLink30.xml" /><Relationship Id="rId52" Type="http://schemas.openxmlformats.org/officeDocument/2006/relationships/externalLink" Target="externalLinks/externalLink49.xml" /><Relationship Id="rId14" Type="http://schemas.openxmlformats.org/officeDocument/2006/relationships/externalLink" Target="externalLinks/externalLink11.xml" /><Relationship Id="rId10" Type="http://schemas.openxmlformats.org/officeDocument/2006/relationships/externalLink" Target="externalLinks/externalLink7.xml" /><Relationship Id="rId16" Type="http://schemas.openxmlformats.org/officeDocument/2006/relationships/externalLink" Target="externalLinks/externalLink13.xml" /><Relationship Id="rId11" Type="http://schemas.openxmlformats.org/officeDocument/2006/relationships/externalLink" Target="externalLinks/externalLink8.xml" /><Relationship Id="rId9" Type="http://schemas.openxmlformats.org/officeDocument/2006/relationships/externalLink" Target="externalLinks/externalLink6.xml" /><Relationship Id="rId45" Type="http://schemas.openxmlformats.org/officeDocument/2006/relationships/externalLink" Target="externalLinks/externalLink42.xml" /><Relationship Id="rId25" Type="http://schemas.openxmlformats.org/officeDocument/2006/relationships/externalLink" Target="externalLinks/externalLink22.xml" /><Relationship Id="rId13" Type="http://schemas.openxmlformats.org/officeDocument/2006/relationships/externalLink" Target="externalLinks/externalLink10.xml" /><Relationship Id="rId23" Type="http://schemas.openxmlformats.org/officeDocument/2006/relationships/externalLink" Target="externalLinks/externalLink20.xml" /><Relationship Id="rId28" Type="http://schemas.openxmlformats.org/officeDocument/2006/relationships/externalLink" Target="externalLinks/externalLink25.xml" /><Relationship Id="rId32" Type="http://schemas.openxmlformats.org/officeDocument/2006/relationships/externalLink" Target="externalLinks/externalLink29.xml" /><Relationship Id="rId31" Type="http://schemas.openxmlformats.org/officeDocument/2006/relationships/externalLink" Target="externalLinks/externalLink28.xml" /><Relationship Id="rId17" Type="http://schemas.openxmlformats.org/officeDocument/2006/relationships/externalLink" Target="externalLinks/externalLink14.xml" /><Relationship Id="rId26" Type="http://schemas.openxmlformats.org/officeDocument/2006/relationships/externalLink" Target="externalLinks/externalLink23.xml" /><Relationship Id="rId27" Type="http://schemas.openxmlformats.org/officeDocument/2006/relationships/externalLink" Target="externalLinks/externalLink24.xml" /><Relationship Id="rId29" Type="http://schemas.openxmlformats.org/officeDocument/2006/relationships/externalLink" Target="externalLinks/externalLink26.xml" /><Relationship Id="rId8" Type="http://schemas.openxmlformats.org/officeDocument/2006/relationships/externalLink" Target="externalLinks/externalLink5.xml" /><Relationship Id="rId50" Type="http://schemas.openxmlformats.org/officeDocument/2006/relationships/externalLink" Target="externalLinks/externalLink47.xml" /><Relationship Id="rId36" Type="http://schemas.openxmlformats.org/officeDocument/2006/relationships/externalLink" Target="externalLinks/externalLink33.xml" /><Relationship Id="rId3" Type="http://schemas.openxmlformats.org/officeDocument/2006/relationships/worksheet" Target="worksheets/sheet1.xml" /><Relationship Id="rId41" Type="http://schemas.openxmlformats.org/officeDocument/2006/relationships/externalLink" Target="externalLinks/externalLink38.xml" /><Relationship Id="rId30" Type="http://schemas.openxmlformats.org/officeDocument/2006/relationships/externalLink" Target="externalLinks/externalLink27.xml" /><Relationship Id="rId34" Type="http://schemas.openxmlformats.org/officeDocument/2006/relationships/externalLink" Target="externalLinks/externalLink31.xml" /><Relationship Id="rId51" Type="http://schemas.openxmlformats.org/officeDocument/2006/relationships/externalLink" Target="externalLinks/externalLink48.xml" /><Relationship Id="rId4" Type="http://schemas.openxmlformats.org/officeDocument/2006/relationships/externalLink" Target="externalLinks/externalLink1.xml" /><Relationship Id="rId6" Type="http://schemas.openxmlformats.org/officeDocument/2006/relationships/externalLink" Target="externalLinks/externalLink3.xml" /><Relationship Id="rId35" Type="http://schemas.openxmlformats.org/officeDocument/2006/relationships/externalLink" Target="externalLinks/externalLink32.xml" /><Relationship Id="rId38" Type="http://schemas.openxmlformats.org/officeDocument/2006/relationships/externalLink" Target="externalLinks/externalLink35.xml" /><Relationship Id="rId22" Type="http://schemas.openxmlformats.org/officeDocument/2006/relationships/externalLink" Target="externalLinks/externalLink19.xml" /><Relationship Id="rId39" Type="http://schemas.openxmlformats.org/officeDocument/2006/relationships/externalLink" Target="externalLinks/externalLink36.xml" /><Relationship Id="rId40" Type="http://schemas.openxmlformats.org/officeDocument/2006/relationships/externalLink" Target="externalLinks/externalLink37.xml" /></Relationships>
</file>

<file path=xl/externalLinks/_rels/externalLink1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ABTEILUN\BC\USER\BUCHHALT\Monat_2001\01-12\Hyperion\booklet_DE03stGEI_2.xls" TargetMode="External"/></Relationships>
</file>

<file path=xl/externalLinks/_rels/externalLink2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VALADE\Archives\Espagne%2006-08\CG\BUDGET%20S2_2008\PL%20RD%20Europe%202008%20budget%20S1%20v5.xls" TargetMode="External"/></Relationships>
</file>

<file path=xl/externalLinks/_rels/externalLink3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FRHQRFLS0002\Datacom$\test.xls" TargetMode="External"/></Relationships>
</file>

<file path=xl/externalLinks/_rels/externalLink4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DASHBOARD\2000%2011\IVBA_2000_11%20jcfrey.xls" TargetMode="External"/></Relationships>
</file>

<file path=xl/externalLinks/_rels/externalLink5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antolin\&#36130;&#21153;&#37096;\Documents%20and%20Settings\xuefn\Local%20Settings\Temporary%20Internet%20Files\Content.IE5\USHXJ3J3\&#20117;&#19978;\2011&#24180;&#25237;&#36164;&#26126;&#32454;\fesc\2010&#24180;&#39044;&#31639;\&#20462;&#35746;\2010-S1-Budget-Asia-Dashboard-Entity%20%20Changchun9.29.xls" TargetMode="External"/></Relationships>
</file>

<file path=xl/externalLinks/_rels/externalLink6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TEMP\BUSINESS%20PLAN%20Novembre.xls" TargetMode="External"/></Relationships>
</file>

<file path=xl/externalLinks/_rels/externalLink7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Documents%20and%20Settings\ANDRIEU\Local%20Settings\Temporary%20Internet%20Files\OLK6\TEMP\z0745\Division_2000_10.xls" TargetMode="External"/></Relationships>
</file>

<file path=xl/externalLinks/_rels/externalLink8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ESPG\0906\5%20Comments\New%20P&amp;L%20Std\PL%20en%20Standard%20-%20Act%20vs%20BDG%20old.xls" TargetMode="External"/></Relationships>
</file>

<file path=xl/externalLinks/_rels/externalLink9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WINNT\Profiles\z120851\Personnel\sauve_frederic\Prive\DAP\K9\K9%20Officiel\RFQA%20%20K9K%20E4%20revue%20de%20contrat%20avec%20ceram.xls" TargetMode="External"/></Relationships>
</file>

<file path=xl/externalLinks/_rels/externalLink10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temp\IVBA_2000_12(definitif)%20jcfrey.xls" TargetMode="External"/></Relationships>
</file>

<file path=xl/externalLinks/_rels/externalLink11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Documents%20and%20Settings\ANDRIEU\Local%20Settings\Temporary%20Internet%20Files\OLK6\Divers\Reporting_IT_Actual.xls" TargetMode="External"/></Relationships>
</file>

<file path=xl/externalLinks/_rels/externalLink12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Ctrlgest\Gestion\Central\FSA\std02\STD_FR01BRC.xls" TargetMode="External"/></Relationships>
</file>

<file path=xl/externalLinks/_rels/externalLink13.xml.rels><?xml version="1.0" encoding="UTF-8" standalone="yes"?><Relationships xmlns="http://schemas.openxmlformats.org/package/2006/relationships"><Relationship Id="rId0" Type="http://schemas.openxmlformats.org/officeDocument/2006/relationships/externalLinkPath" Target="http://intranet.faurecia/CTRLGEST/COMMUN/HYP_RAP/ARCHIVES/1999/TABTYPES/TBBORD/tb99_12.xls" TargetMode="External"/></Relationships>
</file>

<file path=xl/externalLinks/_rels/externalLink14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nbahx-backup\&#36130;&#21153;&#37096;\Business\SGM980\IP&amp;GBOX&amp;KBOLSTER\024%20SGM980%20GBOX%20+%20KBOLSTER.xls" TargetMode="External"/></Relationships>
</file>

<file path=xl/externalLinks/_rels/externalLink15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Controle_gestion_FIB\BUDGET-PMT\BUDGET%202006%20S1\Financials\P&amp;L%20Conso%20FIB%20Budget%202006%20S1.xls" TargetMode="External"/></Relationships>
</file>

<file path=xl/externalLinks/_rels/externalLink16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ALEMA\A-CALC\SIEGE\D82\VENTE\1996\12-07-96.XLS" TargetMode="External"/></Relationships>
</file>

<file path=xl/externalLinks/_rels/externalLink17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TEMP\Pre%20import%20file.xls" TargetMode="External"/></Relationships>
</file>

<file path=xl/externalLinks/_rels/externalLink18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Documents%20and%20Settings\Doree\Bureau\Booklet%20Budget%20S1%202005%20Summary%20&amp;%20Excel%20Reports.xls" TargetMode="External"/></Relationships>
</file>

<file path=xl/externalLinks/_rels/externalLink19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Programs%20R&amp;D\Program%20Reporting\2004\0406\IS\Envoi%20Divisions\BDG\FAU-T-LS-3237%20-%20Appendix%20Create%20Dashboard%202.1.xls" TargetMode="External"/></Relationships>
</file>

<file path=xl/externalLinks/_rels/externalLink20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DOKUME~1\MVYSOC~1\LOKALE~1\Temp\Eingang%20Budget%20zentr.%20KSt\FC%20T3T4_2002%20zentr.%20KSt%20(versendete%20Unterlagen).xls" TargetMode="External"/></Relationships>
</file>

<file path=xl/externalLinks/_rels/externalLink21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Documents%20and%20Settings\z143299\Local%20Settings\Temp\Proposition%20PAP%202004S2.xls" TargetMode="External"/></Relationships>
</file>

<file path=xl/externalLinks/_rels/externalLink22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hurtrelo\PMT%202005-2007\par%20activit&#233;\PMT%20template%20accessoires.xls" TargetMode="External"/></Relationships>
</file>

<file path=xl/externalLinks/_rels/externalLink23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B_A_L\MKT-MR\MKT-IBD\LAURENT\F8Q_1101.XLS" TargetMode="External"/></Relationships>
</file>

<file path=xl/externalLinks/_rels/externalLink24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Gest98\RevB2000\Vlc\Grupo\Vlcrev02.xls" TargetMode="External"/></Relationships>
</file>

<file path=xl/externalLinks/_rels/externalLink25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WINDOWS\TEMP\A42%2018-10-99.xls" TargetMode="External"/></Relationships>
</file>

<file path=xl/externalLinks/_rels/externalLink26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FREHRING\FIB.xls" TargetMode="External"/></Relationships>
</file>

<file path=xl/externalLinks/_rels/externalLink27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Ctrlgest\CGP\REPORTIN\0012\PSA\T5\BT500201.xls" TargetMode="External"/></Relationships>
</file>

<file path=xl/externalLinks/_rels/externalLink28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Documents%20and%20Settings\ANDRIEU\Local%20Settings\Temporary%20Internet%20Files\OLK6\DOCUME~1\andrieu\LOCALS~1\Temp\deroul&#233;%20sales%20by%20customer.xls" TargetMode="External"/></Relationships>
</file>

<file path=xl/externalLinks/_rels/externalLink29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FREHRING\IOP.xls" TargetMode="External"/></Relationships>
</file>

<file path=xl/externalLinks/_rels/externalLink30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%23BF\doc\PROGRAM%20DASHBOARD.xls" TargetMode="External"/></Relationships>
</file>

<file path=xl/externalLinks/_rels/externalLink31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Ctrlgest\Gestion\Sce_Ct\JOELLE\2003\EFFECTIFS2003\Reel%202003\Effectifs_2003.xls" TargetMode="External"/></Relationships>
</file>

<file path=xl/externalLinks/_rels/externalLink32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TEMP\COMMENTS%20February.xls" TargetMode="External"/></Relationships>
</file>

<file path=xl/externalLinks/_rels/externalLink33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nbahx-backup\&#36130;&#21153;&#37096;\Kalkulation\Team\Projekte\China%20allg\Projekte\Passat%20B5-GP\Miko\Kalkulation%20Ablage\A3-C-1138-PE.xls" TargetMode="External"/></Relationships>
</file>

<file path=xl/externalLinks/_rels/externalLink34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Bur-hqr-03\HQR-GRP\CTRLGEST\COMMUN\HYP_RAP\2002\Synth&#232;se%20Groupe%20Mensuelle\10_2002%20October\11%20Forecasts\MS%20-%20CA%20Activit&#233;%20Pr&#233;v%201002.xls" TargetMode="External"/></Relationships>
</file>

<file path=xl/externalLinks/_rels/externalLink35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DOCUME~1\suicmez\LOCALS~1\Temp\Headcount%20spreadsheet_ind2.xls" TargetMode="External"/></Relationships>
</file>

<file path=xl/externalLinks/_rels/externalLink36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TEMP\Budget%20S1_05%20NOM_STD.xls" TargetMode="External"/></Relationships>
</file>

<file path=xl/externalLinks/_rels/externalLink37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HQR-GRP-COMPTABILITE-CONSO\CONSO\2004\IFRS\IAS39\MtoM122003\Tableau%20CA01.xls" TargetMode="External"/></Relationships>
</file>

<file path=xl/externalLinks/_rels/externalLink38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Donnees\CBU\International\Mercosur\X65\K4M_0704.XLS" TargetMode="External"/></Relationships>
</file>

<file path=xl/externalLinks/_rels/externalLink39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ESPG-ASIA\Asia\2009-ESPG-Asia-Cash-Dashboard.xls" TargetMode="External"/></Relationships>
</file>

<file path=xl/externalLinks/_rels/externalLink40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2003\F100_F9Qt\F100_offre\kta%20mod%20F9Q%20oval(4x2).xls" TargetMode="External"/></Relationships>
</file>

<file path=xl/externalLinks/_rels/externalLink41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Documents%20and%20Settings\ANDRIEU\Local%20Settings\Temporary%20Internet%20Files\OLK6\TEMP\PAP%20S2%202002%20rev.2%20AL.XLS" TargetMode="External"/></Relationships>
</file>

<file path=xl/externalLinks/_rels/externalLink42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PWC\Delivrable%20PWC%20du%2011-07-2002\Base%20de%20donn&#233;es%20au%2008072002\RSA\business%20plans\D&amp;D%20stocks\%23BF\doc\-%20Seating\KEY%20PROGRAMS%20SEATING.xls" TargetMode="External"/></Relationships>
</file>

<file path=xl/externalLinks/_rels/externalLink43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FRHQRFLS0002\Datacom$\Programs%20R&amp;D\Program%20Reporting\2004\0404\IS\ISBG%20program%20profitability%20targets%20per%20div%20bu%20pres.xls" TargetMode="External"/></Relationships>
</file>

<file path=xl/externalLinks/_rels/externalLink44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Kf24\B21\Business\SGM980\IP&amp;GBOX&amp;KBOLSTER\024%20SGM980%20GBOX%20+%20KBOLSTER.xls" TargetMode="External"/></Relationships>
</file>

<file path=xl/externalLinks/_rels/externalLink45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GF\VOL1\CONTR\Division_VW_Group\Standard_&amp;_Start-Up-Cost\2001\SUC_2001\START-UP_04_2001_VWGroup.xls" TargetMode="External"/></Relationships>
</file>

<file path=xl/externalLinks/_rels/externalLink46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144\10_PROJE\PQ24\KALKULAT\LAT\AR\ROHR.XLS" TargetMode="External"/></Relationships>
</file>

<file path=xl/externalLinks/_rels/externalLink47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Frhqrfls0001\HQR-Common$\HQR-GRP-CTRLGEST\Closing%202006\02%20-%20F&#233;vrier\Resultat\Varesop\Varesop%20Groupe\New%20Varesop%200602.xls" TargetMode="External"/></Relationships>
</file>

<file path=xl/externalLinks/_rels/externalLink48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Budget%202003\Volumes%20Budget%202003%20-%20articles%20v2.xls" TargetMode="External"/></Relationships>
</file>

<file path=xl/externalLinks/_rels/externalLink49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WINNT\Temporary%20Internet%20Files\OLK4D7\MOD%20rates%20EPR%20norms%2014-03-2003.xls" TargetMode="External"/></Relationships>
</file>

<file path=xl/externalLinks/_rels/externalLink50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HQR-GRP-COMPTABILITE-CONSO\CONSO\2004\IFRS\IAS39\MtM062004\Tableau%20ZA03%2006%2004.xls" TargetMode="External"/></Relationships>
</file>

<file path=xl/externalLinks/_rels/externalLink51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Documents%20and%20Settings\ANDRIEU\Local%20Settings\Temporary%20Internet%20Files\OLK6\Ctrlgest\Business%20Group\Dashboard\Maquette-BG-Part2_octobre_2001.xls" TargetMode="External"/></Relationships>
</file>

<file path=xl/externalLinks/_rels/externalLink52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\\192.168.3.52\&#36130;&#21153;&#37096;\&#32993;&#27874;&#39134;\&#39033;&#30446;&#39044;&#31639;&#24037;&#20316;&#20869;&#23481;\temp\Division_A_YYYY_MM1.xls" TargetMode="External"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0">
    <sheetNames>
      <sheetName val="INTRO"/>
      <sheetName val="Comments"/>
      <sheetName val="Key Figures By Plant"/>
      <sheetName val="SUMSCHED"/>
      <sheetName val="SALESCUST"/>
      <sheetName val="CAACT"/>
      <sheetName val="FOREC1"/>
      <sheetName val="AIS"/>
      <sheetName val="GROSSM"/>
      <sheetName val="STANDVAR"/>
      <sheetName val="VA"/>
      <sheetName val="HEADC"/>
      <sheetName val="INDLAB I "/>
      <sheetName val="INDLAB II"/>
      <sheetName val="INVENT"/>
      <sheetName val="INVEST"/>
      <sheetName val="EXCEL 2"/>
      <sheetName val="Analysis"/>
      <sheetName val="Gross Margin"/>
      <sheetName val="Material"/>
      <sheetName val="Labour"/>
      <sheetName val="Manufacturing Key Data"/>
      <sheetName val="PIT Report"/>
      <sheetName val="Instrument"/>
    </sheetNames>
    <sheetDataSet>
      <sheetData sheetId="0"/>
      <sheetData sheetId="1" refreshError="1"/>
      <sheetData sheetId="2" refreshError="1"/>
      <sheetData sheetId="3" refreshError="1">
        <row r="3">
          <cell r="C3" t="str">
            <v>SUMMARY SCHEDULE</v>
          </cell>
        </row>
        <row r="4">
          <cell r="C4" t="str">
            <v>Décember 2001</v>
          </cell>
        </row>
        <row r="6">
          <cell r="C6" t="str">
            <v>Activity : Frames</v>
          </cell>
          <cell r="H6" t="str">
            <v>Currency :</v>
          </cell>
          <cell r="J6" t="str">
            <v>EUR</v>
          </cell>
          <cell r="L6" t="str">
            <v>Devise :</v>
          </cell>
        </row>
        <row r="7">
          <cell r="C7" t="str">
            <v>Entity : FAURECIA AUTOSIZE ST GEISELHORING</v>
          </cell>
          <cell r="H7" t="str">
            <v>Unit :</v>
          </cell>
          <cell r="J7" t="str">
            <v>Thousands</v>
          </cell>
          <cell r="L7" t="str">
            <v>Unité :</v>
          </cell>
        </row>
        <row r="9">
          <cell r="C9" t="str">
            <v>MONTH</v>
          </cell>
          <cell r="G9" t="str">
            <v>YEAR TO DATE</v>
          </cell>
          <cell r="L9" t="str">
            <v>VISION ANNUELLE</v>
          </cell>
          <cell r="O9" t="str">
            <v>TOTAL
YEAR</v>
          </cell>
        </row>
        <row r="10">
          <cell r="C10" t="str">
            <v>ACTUAL</v>
          </cell>
          <cell r="D10" t="str">
            <v>BUDGET</v>
          </cell>
          <cell r="E10" t="str">
            <v>Variance</v>
          </cell>
          <cell r="G10" t="str">
            <v>ACTUAL</v>
          </cell>
          <cell r="H10" t="str">
            <v>BUDGET</v>
          </cell>
          <cell r="I10" t="str">
            <v>PRIOR</v>
          </cell>
          <cell r="J10" t="str">
            <v>Variance</v>
          </cell>
          <cell r="L10" t="str">
            <v>PREVISIONS</v>
          </cell>
          <cell r="M10" t="str">
            <v>BS1_2001</v>
          </cell>
          <cell r="N10" t="str">
            <v>BS2_2001</v>
          </cell>
          <cell r="O10" t="str">
            <v>REEL</v>
          </cell>
        </row>
        <row r="11">
          <cell r="D11">
            <v>2001</v>
          </cell>
          <cell r="H11">
            <v>2001</v>
          </cell>
          <cell r="I11" t="str">
            <v>YEAR</v>
          </cell>
          <cell r="K11" t="str">
            <v>Py</v>
          </cell>
          <cell r="L11">
            <v>2001</v>
          </cell>
          <cell r="O11" t="str">
            <v>N-1</v>
          </cell>
        </row>
        <row r="12">
          <cell r="J12" t="str">
            <v>*</v>
          </cell>
        </row>
        <row r="13">
          <cell r="C13">
            <v>12481.24</v>
          </cell>
          <cell r="D13">
            <v>11592.009953999996</v>
          </cell>
          <cell r="E13">
            <v>7.6710600623075054E-2</v>
          </cell>
          <cell r="F13" t="str">
            <v>Sales             Products (excl. Monoliths)</v>
          </cell>
          <cell r="G13">
            <v>182601.06009899997</v>
          </cell>
          <cell r="H13">
            <v>175484.37472699999</v>
          </cell>
          <cell r="I13">
            <v>0</v>
          </cell>
          <cell r="J13">
            <v>4.0554524487273376E-2</v>
          </cell>
          <cell r="K13">
            <v>0</v>
          </cell>
          <cell r="L13">
            <v>172761.33990999998</v>
          </cell>
          <cell r="M13">
            <v>89590.509120000002</v>
          </cell>
          <cell r="N13">
            <v>83170.830789999993</v>
          </cell>
          <cell r="O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 t="str">
            <v>Monoliths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 t="str">
            <v>Non Product Sales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C16">
            <v>12481.24</v>
          </cell>
          <cell r="D16">
            <v>11592.009953999996</v>
          </cell>
          <cell r="E16">
            <v>7.6710600623075054E-2</v>
          </cell>
          <cell r="F16" t="str">
            <v>Produits</v>
          </cell>
          <cell r="G16">
            <v>182601.06009899997</v>
          </cell>
          <cell r="H16">
            <v>175484.37472699999</v>
          </cell>
          <cell r="I16">
            <v>0</v>
          </cell>
          <cell r="J16">
            <v>4.0554524487273376E-2</v>
          </cell>
          <cell r="K16">
            <v>0</v>
          </cell>
          <cell r="L16">
            <v>172761.33990999998</v>
          </cell>
          <cell r="M16">
            <v>89590.509120000002</v>
          </cell>
          <cell r="N16">
            <v>83170.830789999993</v>
          </cell>
          <cell r="O16">
            <v>0</v>
          </cell>
        </row>
        <row r="17">
          <cell r="C17">
            <v>12481.24</v>
          </cell>
          <cell r="D17">
            <v>11592.009953999996</v>
          </cell>
          <cell r="E17">
            <v>7.6710600623075054E-2</v>
          </cell>
          <cell r="F17" t="str">
            <v>Total</v>
          </cell>
          <cell r="G17">
            <v>182601.06009899997</v>
          </cell>
          <cell r="H17">
            <v>175484.37472699999</v>
          </cell>
          <cell r="I17">
            <v>0</v>
          </cell>
          <cell r="J17">
            <v>4.0554524487273376E-2</v>
          </cell>
          <cell r="K17">
            <v>0</v>
          </cell>
          <cell r="L17">
            <v>172761.33990999998</v>
          </cell>
          <cell r="M17">
            <v>89590.509120000002</v>
          </cell>
          <cell r="N17">
            <v>83170.830789999993</v>
          </cell>
          <cell r="O17">
            <v>0</v>
          </cell>
        </row>
        <row r="18">
          <cell r="C18">
            <v>12481.24</v>
          </cell>
          <cell r="D18">
            <v>11592.009953999996</v>
          </cell>
          <cell r="G18">
            <v>182601.06009899997</v>
          </cell>
          <cell r="H18">
            <v>175484.37472699999</v>
          </cell>
          <cell r="I18">
            <v>0</v>
          </cell>
          <cell r="L18">
            <v>172761.33990999998</v>
          </cell>
          <cell r="M18">
            <v>89590.509120000002</v>
          </cell>
          <cell r="N18">
            <v>83170.830789999993</v>
          </cell>
          <cell r="O18">
            <v>0</v>
          </cell>
        </row>
        <row r="19">
          <cell r="L19">
            <v>0</v>
          </cell>
        </row>
        <row r="20">
          <cell r="C20">
            <v>2650.24</v>
          </cell>
          <cell r="D20">
            <v>2395.402546999991</v>
          </cell>
          <cell r="E20">
            <v>254.83745300000874</v>
          </cell>
          <cell r="F20" t="str">
            <v>Variable Costs Margin</v>
          </cell>
          <cell r="G20">
            <v>38325.147668999969</v>
          </cell>
          <cell r="H20">
            <v>36784.163642999985</v>
          </cell>
          <cell r="I20">
            <v>0</v>
          </cell>
          <cell r="J20">
            <v>1540.9840259999837</v>
          </cell>
          <cell r="K20">
            <v>38325.147668999969</v>
          </cell>
          <cell r="L20">
            <v>36192.704755999992</v>
          </cell>
          <cell r="M20">
            <v>18873.714229000001</v>
          </cell>
          <cell r="N20">
            <v>17318.990526999987</v>
          </cell>
          <cell r="O20">
            <v>0</v>
          </cell>
        </row>
        <row r="21">
          <cell r="C21">
            <v>0.21233787668532933</v>
          </cell>
          <cell r="D21">
            <v>0.20664255435472792</v>
          </cell>
          <cell r="F21" t="str">
            <v>% Sales</v>
          </cell>
          <cell r="G21">
            <v>0.20988458472377652</v>
          </cell>
          <cell r="H21">
            <v>0.20961503666765141</v>
          </cell>
          <cell r="I21">
            <v>0</v>
          </cell>
          <cell r="L21">
            <v>0.20949539274732751</v>
          </cell>
          <cell r="M21">
            <v>0.2106664468634733</v>
          </cell>
          <cell r="N21">
            <v>0.20823394887961524</v>
          </cell>
          <cell r="O21">
            <v>0</v>
          </cell>
        </row>
        <row r="22">
          <cell r="C22">
            <v>2650.24</v>
          </cell>
          <cell r="D22">
            <v>2395.4025469999929</v>
          </cell>
          <cell r="E22">
            <v>254.83745300000692</v>
          </cell>
          <cell r="F22" t="str">
            <v>Marge sur frais variables produits hors mono.</v>
          </cell>
          <cell r="G22">
            <v>38325.14766900002</v>
          </cell>
          <cell r="H22">
            <v>36784.163642999993</v>
          </cell>
          <cell r="I22">
            <v>0</v>
          </cell>
          <cell r="J22">
            <v>1540.9840260000274</v>
          </cell>
          <cell r="K22">
            <v>38325.14766900002</v>
          </cell>
          <cell r="L22" t="e">
            <v>#VALUE!</v>
          </cell>
          <cell r="M22">
            <v>18873.714228999972</v>
          </cell>
          <cell r="N22">
            <v>17318.990526999987</v>
          </cell>
          <cell r="O22">
            <v>0</v>
          </cell>
        </row>
        <row r="23">
          <cell r="C23">
            <v>0.21233787668532933</v>
          </cell>
          <cell r="D23">
            <v>0.20664255435472806</v>
          </cell>
          <cell r="F23" t="str">
            <v>% Product Sales exc. Monoliths</v>
          </cell>
          <cell r="G23">
            <v>0.2098845847237768</v>
          </cell>
          <cell r="H23">
            <v>0.20961503666765147</v>
          </cell>
          <cell r="I23">
            <v>0</v>
          </cell>
          <cell r="L23" t="e">
            <v>#VALUE!</v>
          </cell>
          <cell r="M23">
            <v>0.21066644686347297</v>
          </cell>
          <cell r="N23">
            <v>0.20823394887961524</v>
          </cell>
          <cell r="O23">
            <v>0</v>
          </cell>
        </row>
        <row r="25">
          <cell r="C25">
            <v>1945.24</v>
          </cell>
          <cell r="D25">
            <v>977.07881599998939</v>
          </cell>
          <cell r="E25">
            <v>968.16118400001062</v>
          </cell>
          <cell r="F25" t="str">
            <v>Gross Margin</v>
          </cell>
          <cell r="G25">
            <v>23258.633976999969</v>
          </cell>
          <cell r="H25">
            <v>20864.579043999984</v>
          </cell>
          <cell r="I25">
            <v>0</v>
          </cell>
          <cell r="J25">
            <v>2394.0549329999849</v>
          </cell>
          <cell r="K25">
            <v>23258.633976999969</v>
          </cell>
          <cell r="L25">
            <v>20167.794024999992</v>
          </cell>
          <cell r="M25">
            <v>11226.832572000005</v>
          </cell>
          <cell r="N25">
            <v>8940.9614529999872</v>
          </cell>
          <cell r="O25">
            <v>0</v>
          </cell>
        </row>
        <row r="26">
          <cell r="C26">
            <v>0.15585310433899197</v>
          </cell>
          <cell r="D26">
            <v>8.4288990423341884E-2</v>
          </cell>
          <cell r="F26" t="str">
            <v>% Sales</v>
          </cell>
          <cell r="G26">
            <v>0.12737403585932056</v>
          </cell>
          <cell r="H26">
            <v>0.11889707603003907</v>
          </cell>
          <cell r="I26">
            <v>0</v>
          </cell>
          <cell r="L26">
            <v>0.11673788843908252</v>
          </cell>
          <cell r="M26">
            <v>0.12531274442209581</v>
          </cell>
          <cell r="N26">
            <v>0.10750116799452483</v>
          </cell>
          <cell r="O26">
            <v>0</v>
          </cell>
        </row>
        <row r="27">
          <cell r="C27">
            <v>1945.24</v>
          </cell>
          <cell r="D27">
            <v>977.07881599999121</v>
          </cell>
          <cell r="E27">
            <v>968.1611840000088</v>
          </cell>
          <cell r="F27" t="str">
            <v>Marge Brute produits hors monolithes</v>
          </cell>
          <cell r="G27">
            <v>23258.63397700002</v>
          </cell>
          <cell r="H27">
            <v>20864.579043999991</v>
          </cell>
          <cell r="I27">
            <v>0</v>
          </cell>
          <cell r="J27">
            <v>2394.0549330000285</v>
          </cell>
          <cell r="K27">
            <v>23258.63397700002</v>
          </cell>
          <cell r="L27" t="e">
            <v>#VALUE!</v>
          </cell>
          <cell r="M27">
            <v>11226.832571999976</v>
          </cell>
          <cell r="N27">
            <v>8940.9614529999872</v>
          </cell>
          <cell r="O27">
            <v>0</v>
          </cell>
        </row>
        <row r="28">
          <cell r="C28">
            <v>0.15585310433899197</v>
          </cell>
          <cell r="D28">
            <v>8.4288990423342036E-2</v>
          </cell>
          <cell r="F28" t="str">
            <v>% Product Sales exc. Monoliths</v>
          </cell>
          <cell r="G28">
            <v>0.12737403585932083</v>
          </cell>
          <cell r="H28">
            <v>0.11889707603003911</v>
          </cell>
          <cell r="I28">
            <v>0</v>
          </cell>
          <cell r="L28" t="e">
            <v>#VALUE!</v>
          </cell>
          <cell r="M28">
            <v>0.1253127444220955</v>
          </cell>
          <cell r="N28">
            <v>0.10750116799452483</v>
          </cell>
          <cell r="O28">
            <v>0</v>
          </cell>
        </row>
        <row r="30">
          <cell r="C30">
            <v>1720.24</v>
          </cell>
          <cell r="D30">
            <v>1336.0057299999892</v>
          </cell>
          <cell r="E30">
            <v>384.23427000001084</v>
          </cell>
          <cell r="F30" t="str">
            <v>EBITDA</v>
          </cell>
          <cell r="G30">
            <v>25956.60196799997</v>
          </cell>
          <cell r="H30">
            <v>24421.12550099998</v>
          </cell>
          <cell r="I30">
            <v>0</v>
          </cell>
          <cell r="J30">
            <v>1535.4764669999895</v>
          </cell>
          <cell r="K30">
            <v>25956.60196799997</v>
          </cell>
          <cell r="L30">
            <v>23770.356752999993</v>
          </cell>
          <cell r="M30">
            <v>12816.439089000005</v>
          </cell>
          <cell r="N30">
            <v>10953.917663999986</v>
          </cell>
          <cell r="O30">
            <v>0</v>
          </cell>
        </row>
        <row r="31">
          <cell r="C31">
            <v>0.13782604933484174</v>
          </cell>
          <cell r="D31">
            <v>0.11525229320036777</v>
          </cell>
          <cell r="F31" t="str">
            <v>% Sales</v>
          </cell>
          <cell r="G31">
            <v>0.14214924028331052</v>
          </cell>
          <cell r="H31">
            <v>0.13916410243927291</v>
          </cell>
          <cell r="I31">
            <v>0</v>
          </cell>
          <cell r="L31">
            <v>0.13759071772297646</v>
          </cell>
          <cell r="M31">
            <v>0.14305576801481631</v>
          </cell>
          <cell r="N31">
            <v>0.1317038384726226</v>
          </cell>
          <cell r="O31">
            <v>0</v>
          </cell>
        </row>
        <row r="33">
          <cell r="C33">
            <v>1898.24</v>
          </cell>
          <cell r="D33">
            <v>931.57383699999002</v>
          </cell>
          <cell r="E33">
            <v>966.66616300000999</v>
          </cell>
          <cell r="F33" t="str">
            <v>Operating Income</v>
          </cell>
          <cell r="G33">
            <v>22901.70621799997</v>
          </cell>
          <cell r="H33">
            <v>20534.284476999983</v>
          </cell>
          <cell r="I33">
            <v>0</v>
          </cell>
          <cell r="J33">
            <v>2367.4217409999874</v>
          </cell>
          <cell r="K33">
            <v>22901.70621799997</v>
          </cell>
          <cell r="L33">
            <v>19837.499457999991</v>
          </cell>
          <cell r="M33">
            <v>11226.832572000005</v>
          </cell>
          <cell r="N33">
            <v>8610.6668859999863</v>
          </cell>
          <cell r="O33">
            <v>0</v>
          </cell>
        </row>
        <row r="34">
          <cell r="C34">
            <v>0.15208745284923614</v>
          </cell>
          <cell r="D34">
            <v>8.0363443500886284E-2</v>
          </cell>
          <cell r="F34" t="str">
            <v>% Sales</v>
          </cell>
          <cell r="G34">
            <v>0.12541934973205227</v>
          </cell>
          <cell r="H34">
            <v>0.11701488812861571</v>
          </cell>
          <cell r="I34">
            <v>0</v>
          </cell>
          <cell r="L34">
            <v>0.11482603381250885</v>
          </cell>
          <cell r="M34">
            <v>0.12531274442209581</v>
          </cell>
          <cell r="N34">
            <v>0.10352988907542915</v>
          </cell>
          <cell r="O34">
            <v>0</v>
          </cell>
        </row>
        <row r="36">
          <cell r="C36">
            <v>1248.24</v>
          </cell>
          <cell r="D36">
            <v>931.57383699999002</v>
          </cell>
          <cell r="E36">
            <v>316.66616300000999</v>
          </cell>
          <cell r="F36" t="str">
            <v>Net Income</v>
          </cell>
          <cell r="G36">
            <v>22251.70621799997</v>
          </cell>
          <cell r="H36">
            <v>20534.284476999983</v>
          </cell>
          <cell r="I36">
            <v>0</v>
          </cell>
          <cell r="J36">
            <v>1717.4217409999874</v>
          </cell>
          <cell r="K36">
            <v>22251.70621799997</v>
          </cell>
          <cell r="L36">
            <v>19837.499457999991</v>
          </cell>
          <cell r="M36">
            <v>11226.832572000005</v>
          </cell>
          <cell r="N36">
            <v>8610.6668859999863</v>
          </cell>
          <cell r="O36">
            <v>0</v>
          </cell>
        </row>
        <row r="37">
          <cell r="C37">
            <v>0.1000092939483577</v>
          </cell>
          <cell r="D37">
            <v>8.0363443500886284E-2</v>
          </cell>
          <cell r="F37" t="str">
            <v>% Sales</v>
          </cell>
          <cell r="G37">
            <v>0.12185967707928895</v>
          </cell>
          <cell r="H37">
            <v>0.11701488812861571</v>
          </cell>
          <cell r="I37">
            <v>0</v>
          </cell>
          <cell r="L37">
            <v>0.11482603381250885</v>
          </cell>
          <cell r="M37">
            <v>0.12531274442209581</v>
          </cell>
          <cell r="N37">
            <v>0.10352988907542915</v>
          </cell>
          <cell r="O37">
            <v>0</v>
          </cell>
        </row>
        <row r="39">
          <cell r="F39" t="str">
            <v>Operating Cash Flow</v>
          </cell>
          <cell r="G39">
            <v>18076.150291999969</v>
          </cell>
          <cell r="H39">
            <v>15222.98421999998</v>
          </cell>
          <cell r="I39">
            <v>0</v>
          </cell>
          <cell r="J39">
            <v>2853.1660719999891</v>
          </cell>
          <cell r="K39">
            <v>18076.150291999969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1">
          <cell r="F41" t="str">
            <v>Net Debt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3">
          <cell r="F43" t="str">
            <v>Total Inventories</v>
          </cell>
          <cell r="G43">
            <v>4195</v>
          </cell>
          <cell r="H43">
            <v>3711.979194</v>
          </cell>
          <cell r="I43">
            <v>0</v>
          </cell>
          <cell r="J43">
            <v>-483.02080599999999</v>
          </cell>
          <cell r="K43">
            <v>-4195</v>
          </cell>
          <cell r="L43">
            <v>3711.979194</v>
          </cell>
          <cell r="M43">
            <v>3456.3332440000004</v>
          </cell>
          <cell r="N43">
            <v>3711.979194</v>
          </cell>
          <cell r="O43">
            <v>0</v>
          </cell>
        </row>
        <row r="44">
          <cell r="F44" t="str">
            <v>% Chiffre d'affaires</v>
          </cell>
          <cell r="G44">
            <v>2.297357965898783E-2</v>
          </cell>
          <cell r="H44">
            <v>2.1152761889910165E-2</v>
          </cell>
          <cell r="I44">
            <v>0</v>
          </cell>
          <cell r="L44">
            <v>2.1486168120331526E-2</v>
          </cell>
          <cell r="M44">
            <v>3.8579234317895124E-2</v>
          </cell>
          <cell r="N44">
            <v>4.4630781714474689E-2</v>
          </cell>
          <cell r="O44">
            <v>0</v>
          </cell>
        </row>
        <row r="45">
          <cell r="F45" t="str">
            <v>Total Production Inventories</v>
          </cell>
          <cell r="G45">
            <v>4195</v>
          </cell>
          <cell r="H45">
            <v>3711.979194</v>
          </cell>
          <cell r="I45">
            <v>0</v>
          </cell>
          <cell r="J45">
            <v>-483.02080599999999</v>
          </cell>
          <cell r="K45">
            <v>-4195</v>
          </cell>
          <cell r="L45">
            <v>3711.979194</v>
          </cell>
          <cell r="M45">
            <v>3456.3332440000004</v>
          </cell>
          <cell r="N45">
            <v>3711.979194</v>
          </cell>
          <cell r="O45">
            <v>0</v>
          </cell>
        </row>
        <row r="46">
          <cell r="F46" t="str">
            <v>% Product Sales</v>
          </cell>
          <cell r="G46">
            <v>2.297357965898783E-2</v>
          </cell>
          <cell r="H46">
            <v>2.1152761889910165E-2</v>
          </cell>
          <cell r="I46">
            <v>0</v>
          </cell>
          <cell r="L46" t="e">
            <v>#DIV/0!</v>
          </cell>
          <cell r="M46">
            <v>3.8579234317895124E-2</v>
          </cell>
          <cell r="N46">
            <v>4.4630781714474689E-2</v>
          </cell>
          <cell r="O46">
            <v>0</v>
          </cell>
        </row>
        <row r="48">
          <cell r="C48">
            <v>88.582999999999998</v>
          </cell>
          <cell r="D48">
            <v>124.7552230000007</v>
          </cell>
          <cell r="E48">
            <v>36.172223000000699</v>
          </cell>
          <cell r="F48" t="str">
            <v>Capital Expenditures</v>
          </cell>
          <cell r="G48">
            <v>3685.4516760000001</v>
          </cell>
          <cell r="H48">
            <v>5486.1620870000006</v>
          </cell>
          <cell r="I48">
            <v>0</v>
          </cell>
          <cell r="J48">
            <v>1800.7104110000005</v>
          </cell>
          <cell r="K48">
            <v>-3685.4516760000001</v>
          </cell>
          <cell r="L48">
            <v>5717.2660260000011</v>
          </cell>
          <cell r="M48">
            <v>2777.8488930000003</v>
          </cell>
          <cell r="N48">
            <v>2939.4171330000004</v>
          </cell>
          <cell r="O48">
            <v>0</v>
          </cell>
        </row>
        <row r="50">
          <cell r="F50" t="str">
            <v>Headcount      Direct Labor</v>
          </cell>
          <cell r="G50">
            <v>528</v>
          </cell>
          <cell r="H50">
            <v>501</v>
          </cell>
          <cell r="I50">
            <v>0</v>
          </cell>
          <cell r="J50">
            <v>-27</v>
          </cell>
          <cell r="K50">
            <v>-528</v>
          </cell>
          <cell r="L50">
            <v>501</v>
          </cell>
          <cell r="M50">
            <v>455</v>
          </cell>
          <cell r="N50">
            <v>501</v>
          </cell>
          <cell r="O50">
            <v>0</v>
          </cell>
        </row>
        <row r="51">
          <cell r="F51" t="str">
            <v>Indirect Labor</v>
          </cell>
          <cell r="G51">
            <v>175</v>
          </cell>
          <cell r="H51">
            <v>180</v>
          </cell>
          <cell r="I51">
            <v>0</v>
          </cell>
          <cell r="J51">
            <v>5</v>
          </cell>
          <cell r="K51">
            <v>-175</v>
          </cell>
          <cell r="L51">
            <v>180</v>
          </cell>
          <cell r="M51">
            <v>180</v>
          </cell>
          <cell r="N51">
            <v>180</v>
          </cell>
          <cell r="O51">
            <v>0</v>
          </cell>
        </row>
        <row r="52">
          <cell r="F52" t="str">
            <v>Headcount Total</v>
          </cell>
          <cell r="G52">
            <v>703</v>
          </cell>
          <cell r="H52">
            <v>681</v>
          </cell>
          <cell r="I52">
            <v>0</v>
          </cell>
          <cell r="J52">
            <v>-22</v>
          </cell>
          <cell r="K52">
            <v>-703</v>
          </cell>
          <cell r="L52">
            <v>681</v>
          </cell>
          <cell r="M52">
            <v>635</v>
          </cell>
          <cell r="N52">
            <v>681</v>
          </cell>
          <cell r="O52">
            <v>0</v>
          </cell>
        </row>
        <row r="53">
          <cell r="G53">
            <v>703</v>
          </cell>
          <cell r="H53">
            <v>681</v>
          </cell>
          <cell r="I53">
            <v>0</v>
          </cell>
          <cell r="L53">
            <v>681</v>
          </cell>
          <cell r="M53">
            <v>635</v>
          </cell>
          <cell r="N53">
            <v>681</v>
          </cell>
          <cell r="O53">
            <v>0</v>
          </cell>
        </row>
        <row r="55">
          <cell r="K55" t="str">
            <v>Average Exchange Rate :</v>
          </cell>
          <cell r="O55">
            <v>1</v>
          </cell>
        </row>
      </sheetData>
      <sheetData sheetId="4" refreshError="1">
        <row r="3">
          <cell r="D3" t="str">
            <v>SALES BY CUSTOMER</v>
          </cell>
        </row>
        <row r="4">
          <cell r="D4" t="str">
            <v>Décember 2001</v>
          </cell>
        </row>
        <row r="8">
          <cell r="D8" t="str">
            <v>Activity : Frames</v>
          </cell>
          <cell r="P8" t="str">
            <v>Currency :</v>
          </cell>
          <cell r="R8" t="str">
            <v>EUR</v>
          </cell>
        </row>
        <row r="9">
          <cell r="D9" t="str">
            <v>Entity : FAURECIA AUTOSIZE ST GEISELHORING</v>
          </cell>
          <cell r="P9" t="str">
            <v>Unit :</v>
          </cell>
          <cell r="R9" t="str">
            <v>Thousands</v>
          </cell>
        </row>
        <row r="11">
          <cell r="D11" t="str">
            <v>MONTH</v>
          </cell>
          <cell r="L11" t="str">
            <v>YEAR TO DATE</v>
          </cell>
        </row>
        <row r="12">
          <cell r="D12" t="str">
            <v>ACTUAL</v>
          </cell>
          <cell r="E12" t="str">
            <v>BUDGET</v>
          </cell>
          <cell r="F12" t="str">
            <v>ACTUAL</v>
          </cell>
          <cell r="G12" t="str">
            <v>Ecart Réel vs :</v>
          </cell>
          <cell r="H12" t="str">
            <v>Variance</v>
          </cell>
          <cell r="L12" t="str">
            <v>ACTUAL</v>
          </cell>
          <cell r="M12" t="str">
            <v>BUDGET</v>
          </cell>
          <cell r="N12" t="str">
            <v>ACTUAL</v>
          </cell>
          <cell r="O12" t="str">
            <v>Ecart Réel vs :</v>
          </cell>
          <cell r="P12" t="str">
            <v>Variance</v>
          </cell>
        </row>
        <row r="13">
          <cell r="F13" t="str">
            <v>M -1</v>
          </cell>
          <cell r="G13" t="str">
            <v>Budget</v>
          </cell>
          <cell r="H13" t="str">
            <v>Budget</v>
          </cell>
          <cell r="I13" t="str">
            <v>N-1</v>
          </cell>
          <cell r="J13" t="str">
            <v>M -1</v>
          </cell>
          <cell r="M13">
            <v>2001</v>
          </cell>
          <cell r="N13" t="str">
            <v>M -1</v>
          </cell>
          <cell r="O13" t="str">
            <v>Budget</v>
          </cell>
          <cell r="P13" t="str">
            <v>Budget</v>
          </cell>
          <cell r="Q13" t="str">
            <v>Py</v>
          </cell>
          <cell r="R13" t="str">
            <v>M -1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 t="str">
            <v>PSA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 t="str">
            <v>Renault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 t="str">
            <v>BMW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 t="str">
            <v>Rover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 t="str">
            <v>BMW, Rover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 t="str">
            <v>Volkswagen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 t="str">
            <v>Audi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 t="str">
            <v>Seat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 t="str">
            <v>Skoda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 t="str">
            <v>Volkswagen, Audi, Seat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 t="str">
            <v>Ford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 t="str">
            <v>Volvo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 t="str">
            <v>Ford, Volvo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 t="str">
            <v>GM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 t="str">
            <v>Opel/Vauxhall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 t="str">
            <v>Saab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 t="str">
            <v>Opel, General Motors, Saab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 t="str">
            <v>Mercedes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 t="str">
            <v>Chrysler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 t="str">
            <v>Mercedes, Chrysler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 t="str">
            <v>Fiat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 t="str">
            <v>Honda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 t="str">
            <v>Toyota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 t="str">
            <v>Nissan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 t="str">
            <v>Mitsubishi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 t="str">
            <v>Suzuki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 t="str">
            <v>Autres Japon/Corée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 t="str">
            <v>Others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J43">
            <v>0</v>
          </cell>
          <cell r="K43" t="str">
            <v>Japanese Customers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 t="str">
            <v>Others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 t="str">
            <v>External Customers Products (exc. Mono.)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 t="str">
            <v>InterCompanies non Consolidated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 t="str">
            <v>France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 t="str">
            <v>Spain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>Portugal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D50">
            <v>12481.24</v>
          </cell>
          <cell r="E50">
            <v>11592.009954000003</v>
          </cell>
          <cell r="F50">
            <v>17133.520000000008</v>
          </cell>
          <cell r="G50">
            <v>889.23004599999695</v>
          </cell>
          <cell r="H50">
            <v>7.6710600623074374E-2</v>
          </cell>
          <cell r="I50">
            <v>-4652.2800000000079</v>
          </cell>
          <cell r="J50">
            <v>-0.27153089382683804</v>
          </cell>
          <cell r="K50" t="str">
            <v>Germany</v>
          </cell>
          <cell r="L50">
            <v>182601.06009899999</v>
          </cell>
          <cell r="M50">
            <v>175484.37472699999</v>
          </cell>
          <cell r="N50">
            <v>170119.820099</v>
          </cell>
          <cell r="O50">
            <v>7116.6853720000072</v>
          </cell>
          <cell r="P50">
            <v>4.0554524487273542E-2</v>
          </cell>
          <cell r="Q50">
            <v>12481.239999999991</v>
          </cell>
          <cell r="R50">
            <v>7.3367347747820472E-2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 t="str">
            <v>UK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 t="str">
            <v>North America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 t="str">
            <v>Others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D54">
            <v>12481.24</v>
          </cell>
          <cell r="E54">
            <v>11592.009954000003</v>
          </cell>
          <cell r="F54">
            <v>17133.520000000008</v>
          </cell>
          <cell r="G54">
            <v>889.23004599999695</v>
          </cell>
          <cell r="H54">
            <v>7.6710600623074374E-2</v>
          </cell>
          <cell r="I54">
            <v>-4652.2800000000079</v>
          </cell>
          <cell r="J54">
            <v>-0.27153089382683804</v>
          </cell>
          <cell r="K54" t="str">
            <v>InterCompanies Products (exc. Monoliths)</v>
          </cell>
          <cell r="L54">
            <v>182601.06009899999</v>
          </cell>
          <cell r="M54">
            <v>175484.37472699999</v>
          </cell>
          <cell r="N54">
            <v>170119.820099</v>
          </cell>
          <cell r="O54">
            <v>7116.6853720000072</v>
          </cell>
          <cell r="P54">
            <v>4.0554524487273542E-2</v>
          </cell>
          <cell r="Q54">
            <v>12481.239999999991</v>
          </cell>
          <cell r="R54">
            <v>7.3367347747820472E-2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 t="str">
            <v>Monoliths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 t="str">
            <v>Tooling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 t="str">
            <v>Studies / Prototypes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Others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Non Product Sales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D60">
            <v>12481.24</v>
          </cell>
          <cell r="E60">
            <v>11592.009953999996</v>
          </cell>
          <cell r="F60">
            <v>17133.52</v>
          </cell>
          <cell r="G60">
            <v>889.23004600000422</v>
          </cell>
          <cell r="H60">
            <v>7.6710600623075054E-2</v>
          </cell>
          <cell r="I60">
            <v>-4652.2800000000007</v>
          </cell>
          <cell r="J60">
            <v>-0.2715308938268377</v>
          </cell>
          <cell r="K60" t="str">
            <v>Total Sales</v>
          </cell>
          <cell r="L60">
            <v>182601.06009899999</v>
          </cell>
          <cell r="M60">
            <v>175484.37472700002</v>
          </cell>
          <cell r="N60">
            <v>170119.820099</v>
          </cell>
          <cell r="O60">
            <v>7116.6853719999781</v>
          </cell>
          <cell r="P60">
            <v>4.0554524487273369E-2</v>
          </cell>
          <cell r="Q60">
            <v>12481.239999999991</v>
          </cell>
          <cell r="R60">
            <v>7.3367347747820472E-2</v>
          </cell>
        </row>
        <row r="61">
          <cell r="O61" t="str">
            <v>Cours de change moyen :</v>
          </cell>
          <cell r="P61" t="str">
            <v>Average Exchange Rate :</v>
          </cell>
          <cell r="R61">
            <v>1</v>
          </cell>
        </row>
      </sheetData>
      <sheetData sheetId="5" refreshError="1"/>
      <sheetData sheetId="6" refreshError="1">
        <row r="3">
          <cell r="D3" t="str">
            <v>SALES SHORT TERM FORECASTS</v>
          </cell>
        </row>
        <row r="4">
          <cell r="D4" t="str">
            <v>- Vs Budget 2001 -</v>
          </cell>
        </row>
        <row r="5">
          <cell r="D5" t="str">
            <v>Décember 2001</v>
          </cell>
        </row>
        <row r="8">
          <cell r="D8" t="str">
            <v>Activity : Frames</v>
          </cell>
          <cell r="V8" t="str">
            <v>Currency :</v>
          </cell>
          <cell r="W8" t="str">
            <v>€</v>
          </cell>
          <cell r="X8" t="str">
            <v>EUR</v>
          </cell>
        </row>
        <row r="9">
          <cell r="D9" t="str">
            <v>Entity : FAURECIA AUTOSIZE ST GEISELHORING</v>
          </cell>
          <cell r="V9" t="str">
            <v>Unit :</v>
          </cell>
          <cell r="W9" t="str">
            <v>Thousands</v>
          </cell>
          <cell r="X9" t="str">
            <v>Thousands</v>
          </cell>
        </row>
        <row r="11">
          <cell r="E11" t="str">
            <v>MONTH M+1</v>
          </cell>
          <cell r="I11" t="str">
            <v>MONTH M+2</v>
          </cell>
          <cell r="M11" t="str">
            <v>MONTH M+3</v>
          </cell>
          <cell r="Q11" t="str">
            <v>M+1 à M+3</v>
          </cell>
          <cell r="U11" t="str">
            <v>M+3-end</v>
          </cell>
        </row>
        <row r="12">
          <cell r="D12" t="str">
            <v>FORECASTS</v>
          </cell>
          <cell r="E12" t="str">
            <v>BUDGET</v>
          </cell>
          <cell r="F12" t="str">
            <v>Ecart</v>
          </cell>
          <cell r="G12" t="str">
            <v>Variance</v>
          </cell>
          <cell r="H12" t="str">
            <v>FORECASTS</v>
          </cell>
          <cell r="I12" t="str">
            <v>BUDGET</v>
          </cell>
          <cell r="J12" t="str">
            <v>Ecart</v>
          </cell>
          <cell r="K12" t="str">
            <v>Variance</v>
          </cell>
          <cell r="L12" t="str">
            <v>FORECASTS</v>
          </cell>
          <cell r="M12" t="str">
            <v>BUDGET</v>
          </cell>
          <cell r="N12" t="str">
            <v>Ecart</v>
          </cell>
          <cell r="O12" t="str">
            <v>Variance</v>
          </cell>
          <cell r="Q12" t="str">
            <v>FORECASTS</v>
          </cell>
          <cell r="R12" t="str">
            <v>BUDGET</v>
          </cell>
          <cell r="S12" t="str">
            <v>Ecart</v>
          </cell>
          <cell r="T12" t="str">
            <v>Variance</v>
          </cell>
          <cell r="U12" t="str">
            <v>ACTUAL</v>
          </cell>
          <cell r="V12" t="str">
            <v>BUDGET</v>
          </cell>
          <cell r="W12" t="str">
            <v>Ecart</v>
          </cell>
          <cell r="X12" t="str">
            <v>Variance</v>
          </cell>
        </row>
        <row r="13">
          <cell r="D13">
            <v>2001</v>
          </cell>
          <cell r="E13">
            <v>2001</v>
          </cell>
          <cell r="H13">
            <v>2001</v>
          </cell>
          <cell r="I13">
            <v>2001</v>
          </cell>
          <cell r="L13">
            <v>2001</v>
          </cell>
          <cell r="M13">
            <v>2001</v>
          </cell>
          <cell r="Q13">
            <v>2001</v>
          </cell>
          <cell r="R13">
            <v>2001</v>
          </cell>
          <cell r="U13" t="str">
            <v>+ FOR</v>
          </cell>
          <cell r="V13">
            <v>2001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 t="str">
            <v>PSA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 t="str">
            <v>Renault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D17">
            <v>6014</v>
          </cell>
          <cell r="E17">
            <v>5591</v>
          </cell>
          <cell r="F17">
            <v>-5591</v>
          </cell>
          <cell r="G17">
            <v>7.5657306385262024E-2</v>
          </cell>
          <cell r="H17">
            <v>6333</v>
          </cell>
          <cell r="I17">
            <v>5778</v>
          </cell>
          <cell r="J17">
            <v>-5778</v>
          </cell>
          <cell r="K17">
            <v>9.6053997923156803E-2</v>
          </cell>
          <cell r="L17">
            <v>6968</v>
          </cell>
          <cell r="M17">
            <v>6040</v>
          </cell>
          <cell r="N17">
            <v>-6040</v>
          </cell>
          <cell r="O17">
            <v>0.15364238410596026</v>
          </cell>
          <cell r="P17" t="str">
            <v>BMW</v>
          </cell>
          <cell r="Q17">
            <v>19315</v>
          </cell>
          <cell r="R17">
            <v>17409</v>
          </cell>
          <cell r="S17">
            <v>1906</v>
          </cell>
          <cell r="T17">
            <v>0.10948360043655581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 t="str">
            <v>Rover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D19">
            <v>6014</v>
          </cell>
          <cell r="E19">
            <v>5591</v>
          </cell>
          <cell r="F19">
            <v>-5591</v>
          </cell>
          <cell r="G19">
            <v>7.5657306385262024E-2</v>
          </cell>
          <cell r="H19">
            <v>6333</v>
          </cell>
          <cell r="I19">
            <v>5778</v>
          </cell>
          <cell r="J19">
            <v>-5778</v>
          </cell>
          <cell r="K19">
            <v>9.6053997923156803E-2</v>
          </cell>
          <cell r="L19">
            <v>6968</v>
          </cell>
          <cell r="M19">
            <v>6040</v>
          </cell>
          <cell r="N19">
            <v>-6040</v>
          </cell>
          <cell r="O19">
            <v>0.15364238410596026</v>
          </cell>
          <cell r="P19" t="str">
            <v>BMW, Rover</v>
          </cell>
          <cell r="Q19">
            <v>19315</v>
          </cell>
          <cell r="R19">
            <v>17409</v>
          </cell>
          <cell r="S19">
            <v>1906</v>
          </cell>
          <cell r="T19">
            <v>0.10948360043655581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D20">
            <v>1904</v>
          </cell>
          <cell r="E20">
            <v>1860</v>
          </cell>
          <cell r="F20">
            <v>-1860</v>
          </cell>
          <cell r="G20">
            <v>2.3655913978494623E-2</v>
          </cell>
          <cell r="H20">
            <v>1888</v>
          </cell>
          <cell r="I20">
            <v>1799</v>
          </cell>
          <cell r="J20">
            <v>-1799</v>
          </cell>
          <cell r="K20">
            <v>4.9471928849360754E-2</v>
          </cell>
          <cell r="L20">
            <v>1820</v>
          </cell>
          <cell r="M20">
            <v>1899</v>
          </cell>
          <cell r="N20">
            <v>-1899</v>
          </cell>
          <cell r="O20">
            <v>-4.1600842548709847E-2</v>
          </cell>
          <cell r="P20" t="str">
            <v>Volkswagen</v>
          </cell>
          <cell r="Q20">
            <v>5612</v>
          </cell>
          <cell r="R20">
            <v>5558</v>
          </cell>
          <cell r="S20">
            <v>54</v>
          </cell>
          <cell r="T20">
            <v>9.7157250809643755E-3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D21">
            <v>2161</v>
          </cell>
          <cell r="E21">
            <v>2076</v>
          </cell>
          <cell r="F21">
            <v>-2076</v>
          </cell>
          <cell r="G21">
            <v>4.0944123314065509E-2</v>
          </cell>
          <cell r="H21">
            <v>2234</v>
          </cell>
          <cell r="I21">
            <v>2062</v>
          </cell>
          <cell r="J21">
            <v>-2062</v>
          </cell>
          <cell r="K21">
            <v>8.3414161008729393E-2</v>
          </cell>
          <cell r="L21">
            <v>2226</v>
          </cell>
          <cell r="M21">
            <v>2185</v>
          </cell>
          <cell r="N21">
            <v>-2185</v>
          </cell>
          <cell r="O21">
            <v>1.8764302059496567E-2</v>
          </cell>
          <cell r="P21" t="str">
            <v>Audi</v>
          </cell>
          <cell r="Q21">
            <v>6621</v>
          </cell>
          <cell r="R21">
            <v>6323</v>
          </cell>
          <cell r="S21">
            <v>298</v>
          </cell>
          <cell r="T21">
            <v>4.7129527123201009E-2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 t="str">
            <v>Seat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D23">
            <v>60</v>
          </cell>
          <cell r="E23">
            <v>47</v>
          </cell>
          <cell r="F23">
            <v>-47</v>
          </cell>
          <cell r="G23">
            <v>0.27659574468085107</v>
          </cell>
          <cell r="H23">
            <v>159</v>
          </cell>
          <cell r="I23">
            <v>100</v>
          </cell>
          <cell r="J23">
            <v>-100</v>
          </cell>
          <cell r="K23">
            <v>0.59</v>
          </cell>
          <cell r="L23">
            <v>175</v>
          </cell>
          <cell r="M23">
            <v>152</v>
          </cell>
          <cell r="N23">
            <v>-152</v>
          </cell>
          <cell r="O23">
            <v>0.15131578947368421</v>
          </cell>
          <cell r="P23" t="str">
            <v>Skoda</v>
          </cell>
          <cell r="Q23">
            <v>394</v>
          </cell>
          <cell r="R23">
            <v>299</v>
          </cell>
          <cell r="S23">
            <v>95</v>
          </cell>
          <cell r="T23">
            <v>0.31772575250836121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D24">
            <v>4125</v>
          </cell>
          <cell r="E24">
            <v>3983</v>
          </cell>
          <cell r="F24">
            <v>-3983</v>
          </cell>
          <cell r="G24">
            <v>3.5651518955561137E-2</v>
          </cell>
          <cell r="H24">
            <v>4281</v>
          </cell>
          <cell r="I24">
            <v>3961</v>
          </cell>
          <cell r="J24">
            <v>-3961</v>
          </cell>
          <cell r="K24">
            <v>8.0787679878818477E-2</v>
          </cell>
          <cell r="L24">
            <v>4221</v>
          </cell>
          <cell r="M24">
            <v>4236</v>
          </cell>
          <cell r="N24">
            <v>-4236</v>
          </cell>
          <cell r="O24">
            <v>-3.5410764872521247E-3</v>
          </cell>
          <cell r="P24" t="str">
            <v>Volkswagen, Audi, Seat</v>
          </cell>
          <cell r="Q24">
            <v>12627</v>
          </cell>
          <cell r="R24">
            <v>12180</v>
          </cell>
          <cell r="S24">
            <v>447</v>
          </cell>
          <cell r="T24">
            <v>3.6699507389162563E-2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 t="str">
            <v>Ford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 t="str">
            <v>Volvo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 t="str">
            <v>Ford, Volvo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 t="str">
            <v>GM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 t="str">
            <v>Opel/Vauxhall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 t="str">
            <v>Saab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 t="str">
            <v>Opel, General Motors, Saab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D32">
            <v>472</v>
          </cell>
          <cell r="E32">
            <v>494</v>
          </cell>
          <cell r="F32">
            <v>-494</v>
          </cell>
          <cell r="G32">
            <v>-4.4534412955465584E-2</v>
          </cell>
          <cell r="H32">
            <v>867</v>
          </cell>
          <cell r="I32">
            <v>879</v>
          </cell>
          <cell r="J32">
            <v>-879</v>
          </cell>
          <cell r="K32">
            <v>-1.3651877133105802E-2</v>
          </cell>
          <cell r="L32">
            <v>1136</v>
          </cell>
          <cell r="M32">
            <v>1213</v>
          </cell>
          <cell r="N32">
            <v>-1213</v>
          </cell>
          <cell r="O32">
            <v>-6.3478977741137671E-2</v>
          </cell>
          <cell r="P32" t="str">
            <v>Mercedes</v>
          </cell>
          <cell r="Q32">
            <v>2475</v>
          </cell>
          <cell r="R32">
            <v>2586</v>
          </cell>
          <cell r="S32">
            <v>-111</v>
          </cell>
          <cell r="T32">
            <v>-4.2923433874709975E-2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 t="str">
            <v>Chrysler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D34">
            <v>472</v>
          </cell>
          <cell r="E34">
            <v>494</v>
          </cell>
          <cell r="F34">
            <v>-494</v>
          </cell>
          <cell r="G34">
            <v>-4.4534412955465584E-2</v>
          </cell>
          <cell r="H34">
            <v>867</v>
          </cell>
          <cell r="I34">
            <v>879</v>
          </cell>
          <cell r="J34">
            <v>-879</v>
          </cell>
          <cell r="K34">
            <v>-1.3651877133105802E-2</v>
          </cell>
          <cell r="L34">
            <v>1136</v>
          </cell>
          <cell r="M34">
            <v>1213</v>
          </cell>
          <cell r="N34">
            <v>-1213</v>
          </cell>
          <cell r="O34">
            <v>-6.3478977741137671E-2</v>
          </cell>
          <cell r="P34" t="str">
            <v>Mercedes, Chrysler</v>
          </cell>
          <cell r="Q34">
            <v>2475</v>
          </cell>
          <cell r="R34">
            <v>2586</v>
          </cell>
          <cell r="S34">
            <v>-111</v>
          </cell>
          <cell r="T34">
            <v>-4.2923433874709975E-2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 t="str">
            <v>Fiat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 t="str">
            <v>Honda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 t="str">
            <v>Toyota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 t="str">
            <v>Nissan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 t="str">
            <v>Mitsubishi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 t="str">
            <v>Suzuki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 t="str">
            <v>Autres Japon/Corée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 t="str">
            <v>Others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 t="str">
            <v>Japanese Customers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 t="str">
            <v>Others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D45">
            <v>10611</v>
          </cell>
          <cell r="E45">
            <v>10068</v>
          </cell>
          <cell r="F45">
            <v>-10068</v>
          </cell>
          <cell r="G45">
            <v>5.3933253873659118E-2</v>
          </cell>
          <cell r="H45">
            <v>11481</v>
          </cell>
          <cell r="I45">
            <v>10618</v>
          </cell>
          <cell r="J45">
            <v>-10618</v>
          </cell>
          <cell r="K45">
            <v>8.1277076662271616E-2</v>
          </cell>
          <cell r="L45">
            <v>12325</v>
          </cell>
          <cell r="M45">
            <v>11489</v>
          </cell>
          <cell r="N45">
            <v>-11489</v>
          </cell>
          <cell r="O45">
            <v>7.2765253720950468E-2</v>
          </cell>
          <cell r="P45" t="str">
            <v>External Customers Products (exc. Mono.)</v>
          </cell>
          <cell r="Q45">
            <v>34417</v>
          </cell>
          <cell r="R45">
            <v>32175</v>
          </cell>
          <cell r="S45">
            <v>2242</v>
          </cell>
          <cell r="T45">
            <v>6.968142968142968E-2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 t="str">
            <v>InterCompanies non Consolidated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 t="str">
            <v>France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 t="str">
            <v>Spain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 t="str">
            <v>Portugal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</row>
        <row r="50">
          <cell r="D50">
            <v>5858</v>
          </cell>
          <cell r="E50">
            <v>5782</v>
          </cell>
          <cell r="F50">
            <v>-5782</v>
          </cell>
          <cell r="G50">
            <v>1.3144240747146317E-2</v>
          </cell>
          <cell r="H50">
            <v>6204</v>
          </cell>
          <cell r="I50">
            <v>6392</v>
          </cell>
          <cell r="J50">
            <v>-6392</v>
          </cell>
          <cell r="K50">
            <v>-2.9411764705882353E-2</v>
          </cell>
          <cell r="L50">
            <v>6322</v>
          </cell>
          <cell r="M50">
            <v>6602</v>
          </cell>
          <cell r="N50">
            <v>-6602</v>
          </cell>
          <cell r="O50">
            <v>-4.2411390487730988E-2</v>
          </cell>
          <cell r="P50" t="str">
            <v>Germany</v>
          </cell>
          <cell r="Q50">
            <v>18384</v>
          </cell>
          <cell r="R50">
            <v>18776</v>
          </cell>
          <cell r="S50">
            <v>-392</v>
          </cell>
          <cell r="T50">
            <v>-2.0877716233489562E-2</v>
          </cell>
          <cell r="U50">
            <v>182601.06009899999</v>
          </cell>
          <cell r="V50">
            <v>224565.12093499998</v>
          </cell>
          <cell r="W50">
            <v>-41964.06083599999</v>
          </cell>
          <cell r="X50">
            <v>-0.18686811496495229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 t="str">
            <v>UK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 t="str">
            <v>North America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 t="str">
            <v>Others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</row>
        <row r="54">
          <cell r="D54">
            <v>5858</v>
          </cell>
          <cell r="E54">
            <v>5782</v>
          </cell>
          <cell r="F54">
            <v>-5782</v>
          </cell>
          <cell r="G54">
            <v>1.3144240747146317E-2</v>
          </cell>
          <cell r="H54">
            <v>6204</v>
          </cell>
          <cell r="I54">
            <v>6392</v>
          </cell>
          <cell r="J54">
            <v>-6392</v>
          </cell>
          <cell r="K54">
            <v>-2.9411764705882353E-2</v>
          </cell>
          <cell r="L54">
            <v>6322</v>
          </cell>
          <cell r="M54">
            <v>6602</v>
          </cell>
          <cell r="N54">
            <v>-6602</v>
          </cell>
          <cell r="O54">
            <v>-4.2411390487730988E-2</v>
          </cell>
          <cell r="P54" t="str">
            <v>InterCompanies Products (exc. Monoliths)</v>
          </cell>
          <cell r="Q54">
            <v>18384</v>
          </cell>
          <cell r="R54">
            <v>18776</v>
          </cell>
          <cell r="S54">
            <v>-392</v>
          </cell>
          <cell r="T54">
            <v>-2.0877716233489562E-2</v>
          </cell>
          <cell r="U54">
            <v>182601.06009899999</v>
          </cell>
          <cell r="V54">
            <v>224565.12093499998</v>
          </cell>
          <cell r="W54">
            <v>-41964.06083599999</v>
          </cell>
          <cell r="X54">
            <v>-0.18686811496495229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 t="str">
            <v>Monoliths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 t="str">
            <v>Tooling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 t="str">
            <v>Studies / Prototypes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 t="str">
            <v>Others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 t="str">
            <v>Non Product Sales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</row>
        <row r="60">
          <cell r="D60">
            <v>16469</v>
          </cell>
          <cell r="E60">
            <v>15850</v>
          </cell>
          <cell r="F60">
            <v>-15850</v>
          </cell>
          <cell r="G60">
            <v>3.9053627760252368E-2</v>
          </cell>
          <cell r="H60">
            <v>17685</v>
          </cell>
          <cell r="I60">
            <v>17010</v>
          </cell>
          <cell r="J60">
            <v>-17010</v>
          </cell>
          <cell r="K60">
            <v>3.968253968253968E-2</v>
          </cell>
          <cell r="L60">
            <v>18647</v>
          </cell>
          <cell r="M60">
            <v>18091</v>
          </cell>
          <cell r="N60">
            <v>-18091</v>
          </cell>
          <cell r="O60">
            <v>3.073351390194019E-2</v>
          </cell>
          <cell r="P60" t="str">
            <v>Total Sales</v>
          </cell>
          <cell r="Q60">
            <v>52801</v>
          </cell>
          <cell r="R60">
            <v>50951</v>
          </cell>
          <cell r="S60">
            <v>1850</v>
          </cell>
          <cell r="T60">
            <v>3.630939530136798E-2</v>
          </cell>
          <cell r="U60">
            <v>182601.06009899999</v>
          </cell>
          <cell r="V60">
            <v>224565.12093499998</v>
          </cell>
          <cell r="W60">
            <v>-41964.06083599999</v>
          </cell>
          <cell r="X60">
            <v>-0.18686811496495229</v>
          </cell>
        </row>
        <row r="61">
          <cell r="V61" t="str">
            <v>Average Exchange Rate :</v>
          </cell>
          <cell r="W61">
            <v>1</v>
          </cell>
          <cell r="X61">
            <v>1</v>
          </cell>
        </row>
      </sheetData>
      <sheetData sheetId="7" refreshError="1">
        <row r="2">
          <cell r="C2" t="str">
            <v>INCOME STATEMENT BY DESTINATION</v>
          </cell>
        </row>
        <row r="3">
          <cell r="H3" t="str">
            <v>Décember 2001</v>
          </cell>
        </row>
        <row r="5">
          <cell r="C5" t="str">
            <v>Activity : Frames</v>
          </cell>
          <cell r="L5" t="str">
            <v>Currency :</v>
          </cell>
          <cell r="M5" t="str">
            <v>EUR</v>
          </cell>
        </row>
        <row r="6">
          <cell r="C6" t="str">
            <v>Entity : FAURECIA AUTOSIZE ST GEISELHORING</v>
          </cell>
          <cell r="L6" t="str">
            <v>Unit :</v>
          </cell>
          <cell r="M6" t="str">
            <v>Thousands</v>
          </cell>
        </row>
        <row r="8">
          <cell r="E8" t="str">
            <v>MONTH</v>
          </cell>
          <cell r="I8" t="str">
            <v>YEAR TO DATE</v>
          </cell>
        </row>
        <row r="9">
          <cell r="C9" t="str">
            <v>ACTUAL</v>
          </cell>
          <cell r="D9" t="str">
            <v>BUDGET</v>
          </cell>
          <cell r="E9" t="str">
            <v>ACTUAL</v>
          </cell>
          <cell r="F9" t="str">
            <v>Variance</v>
          </cell>
          <cell r="I9" t="str">
            <v>ACTUAL</v>
          </cell>
          <cell r="J9" t="str">
            <v>BUDGET</v>
          </cell>
          <cell r="K9" t="str">
            <v>ACTUAl</v>
          </cell>
          <cell r="L9" t="str">
            <v>Variance</v>
          </cell>
        </row>
        <row r="10">
          <cell r="D10" t="str">
            <v>2001</v>
          </cell>
          <cell r="E10" t="str">
            <v>M - 1</v>
          </cell>
          <cell r="F10" t="str">
            <v>Budget</v>
          </cell>
          <cell r="G10" t="str">
            <v>M - 1</v>
          </cell>
          <cell r="J10" t="str">
            <v>2001</v>
          </cell>
          <cell r="K10" t="str">
            <v>M - 1</v>
          </cell>
          <cell r="L10" t="str">
            <v>Budget</v>
          </cell>
          <cell r="M10" t="str">
            <v>M - 1</v>
          </cell>
        </row>
        <row r="11">
          <cell r="C11">
            <v>12481.24</v>
          </cell>
          <cell r="D11">
            <v>11592.009953999996</v>
          </cell>
          <cell r="E11">
            <v>17133.52</v>
          </cell>
          <cell r="F11">
            <v>889.23004600000422</v>
          </cell>
          <cell r="G11">
            <v>-4652.2800000000007</v>
          </cell>
          <cell r="H11" t="str">
            <v>Total Sales</v>
          </cell>
          <cell r="I11">
            <v>182601.06009899997</v>
          </cell>
          <cell r="J11">
            <v>175484.37472699999</v>
          </cell>
          <cell r="K11">
            <v>170119.82009899998</v>
          </cell>
          <cell r="L11">
            <v>7116.6853719999781</v>
          </cell>
          <cell r="M11">
            <v>12481.239999999991</v>
          </cell>
        </row>
        <row r="13">
          <cell r="C13">
            <v>-8764</v>
          </cell>
          <cell r="D13">
            <v>-8097.3298220000042</v>
          </cell>
          <cell r="E13">
            <v>-12002</v>
          </cell>
          <cell r="F13">
            <v>-666.67017799999576</v>
          </cell>
          <cell r="G13">
            <v>3238</v>
          </cell>
          <cell r="H13" t="str">
            <v>Materials, Subcontracting &amp; Services</v>
          </cell>
          <cell r="I13">
            <v>-126741.92141299999</v>
          </cell>
          <cell r="J13">
            <v>-121743.21522000001</v>
          </cell>
          <cell r="K13">
            <v>-117977.92141299999</v>
          </cell>
          <cell r="L13">
            <v>-4998.7061929999763</v>
          </cell>
          <cell r="M13">
            <v>-8764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Materials, Subcontracting &amp; Services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C15">
            <v>-8764</v>
          </cell>
          <cell r="D15">
            <v>-8097.3298220000042</v>
          </cell>
          <cell r="E15">
            <v>-12002</v>
          </cell>
          <cell r="F15">
            <v>-666.67017799999576</v>
          </cell>
          <cell r="G15">
            <v>3238</v>
          </cell>
          <cell r="H15" t="str">
            <v>Materials, Subcontracting &amp; Services</v>
          </cell>
          <cell r="I15">
            <v>-126741.92141299999</v>
          </cell>
          <cell r="J15">
            <v>-121743.21522000001</v>
          </cell>
          <cell r="K15">
            <v>-117977.92141299999</v>
          </cell>
          <cell r="L15">
            <v>-4998.7061929999763</v>
          </cell>
          <cell r="M15">
            <v>-8764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 t="str">
            <v>Materials, Subcontracting &amp; Services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 t="str">
            <v>Materials, Subcontracting &amp; Services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C18">
            <v>-1064</v>
          </cell>
          <cell r="D18">
            <v>-1094.1646659999992</v>
          </cell>
          <cell r="E18">
            <v>-1550.9999999999982</v>
          </cell>
          <cell r="F18">
            <v>30.164665999999215</v>
          </cell>
          <cell r="G18">
            <v>486.99999999999818</v>
          </cell>
          <cell r="H18" t="str">
            <v>Direct Labor</v>
          </cell>
          <cell r="I18">
            <v>-17470.997329999998</v>
          </cell>
          <cell r="J18">
            <v>-16893.595667999998</v>
          </cell>
          <cell r="K18">
            <v>-16406.997329999998</v>
          </cell>
          <cell r="L18">
            <v>-577.40166200000021</v>
          </cell>
          <cell r="M18">
            <v>-1064</v>
          </cell>
        </row>
        <row r="19">
          <cell r="C19">
            <v>-3</v>
          </cell>
          <cell r="D19">
            <v>-5.112918999999998</v>
          </cell>
          <cell r="E19">
            <v>-1</v>
          </cell>
          <cell r="F19">
            <v>2.112918999999998</v>
          </cell>
          <cell r="G19">
            <v>-2</v>
          </cell>
          <cell r="H19" t="str">
            <v>Freight-out</v>
          </cell>
          <cell r="I19">
            <v>-62.993687000000001</v>
          </cell>
          <cell r="J19">
            <v>-63.400195999999994</v>
          </cell>
          <cell r="K19">
            <v>-59.993687000000001</v>
          </cell>
          <cell r="L19">
            <v>0.40650899999999268</v>
          </cell>
          <cell r="M19">
            <v>-3</v>
          </cell>
        </row>
        <row r="20">
          <cell r="C20">
            <v>2650.24</v>
          </cell>
          <cell r="D20">
            <v>2395.402546999991</v>
          </cell>
          <cell r="E20">
            <v>3579.519999999985</v>
          </cell>
          <cell r="F20">
            <v>254.83745300000874</v>
          </cell>
          <cell r="G20">
            <v>-929.27999999998519</v>
          </cell>
          <cell r="H20" t="str">
            <v>Variable Costs Margin</v>
          </cell>
          <cell r="I20">
            <v>38325.147668999969</v>
          </cell>
          <cell r="J20">
            <v>36784.163642999985</v>
          </cell>
          <cell r="K20">
            <v>35674.907668999971</v>
          </cell>
          <cell r="L20">
            <v>1540.9840259999837</v>
          </cell>
          <cell r="M20">
            <v>2650.239999999998</v>
          </cell>
        </row>
        <row r="21">
          <cell r="C21">
            <v>0.21233787668532933</v>
          </cell>
          <cell r="D21">
            <v>0.20664255435472792</v>
          </cell>
          <cell r="E21">
            <v>0.20891912461654025</v>
          </cell>
          <cell r="H21" t="str">
            <v>% of Sales</v>
          </cell>
          <cell r="I21">
            <v>0.20988458472377652</v>
          </cell>
          <cell r="J21">
            <v>0.20961503666765141</v>
          </cell>
          <cell r="K21">
            <v>0.20970459319930634</v>
          </cell>
        </row>
        <row r="23">
          <cell r="C23">
            <v>-471</v>
          </cell>
          <cell r="D23">
            <v>-608.94865299999992</v>
          </cell>
          <cell r="E23">
            <v>-596</v>
          </cell>
          <cell r="F23">
            <v>137.94865299999992</v>
          </cell>
          <cell r="G23">
            <v>125</v>
          </cell>
          <cell r="H23" t="str">
            <v>Indirect Labor</v>
          </cell>
          <cell r="I23">
            <v>-7072.0228059999999</v>
          </cell>
          <cell r="J23">
            <v>-7262.3901480000004</v>
          </cell>
          <cell r="K23">
            <v>-6601.0228059999999</v>
          </cell>
          <cell r="L23">
            <v>190.36734200000046</v>
          </cell>
          <cell r="M23">
            <v>-471</v>
          </cell>
        </row>
        <row r="24">
          <cell r="C24">
            <v>-356.99999999999955</v>
          </cell>
          <cell r="D24">
            <v>-404.9431849999998</v>
          </cell>
          <cell r="E24">
            <v>-384.99999999999955</v>
          </cell>
          <cell r="F24">
            <v>47.943185000000256</v>
          </cell>
          <cell r="G24">
            <v>28</v>
          </cell>
          <cell r="H24" t="str">
            <v>Manufacturing Costs</v>
          </cell>
          <cell r="I24">
            <v>-4520.7676709999996</v>
          </cell>
          <cell r="J24">
            <v>-4809.7229029999999</v>
          </cell>
          <cell r="K24">
            <v>-4163.7676709999996</v>
          </cell>
          <cell r="L24">
            <v>288.95523200000025</v>
          </cell>
          <cell r="M24">
            <v>-357</v>
          </cell>
        </row>
        <row r="25">
          <cell r="C25">
            <v>-827.99999999999955</v>
          </cell>
          <cell r="D25">
            <v>-1013.8918379999998</v>
          </cell>
          <cell r="E25">
            <v>-980.99999999999955</v>
          </cell>
          <cell r="F25">
            <v>185.89183800000023</v>
          </cell>
          <cell r="G25">
            <v>153</v>
          </cell>
          <cell r="H25" t="str">
            <v>Indirect Labor &amp; Manufacturing Costs</v>
          </cell>
          <cell r="I25">
            <v>-11592.790476999999</v>
          </cell>
          <cell r="J25">
            <v>-12072.113051</v>
          </cell>
          <cell r="K25">
            <v>-10764.790476999999</v>
          </cell>
          <cell r="L25">
            <v>479.32257400000162</v>
          </cell>
          <cell r="M25">
            <v>-828</v>
          </cell>
        </row>
        <row r="26">
          <cell r="C26">
            <v>35</v>
          </cell>
          <cell r="D26">
            <v>-404.43189299999995</v>
          </cell>
          <cell r="E26">
            <v>-407</v>
          </cell>
          <cell r="F26">
            <v>439.43189299999995</v>
          </cell>
          <cell r="G26">
            <v>442</v>
          </cell>
          <cell r="H26" t="str">
            <v>Manufacturing Equipment Depreciation</v>
          </cell>
          <cell r="I26">
            <v>-3510.2281939999998</v>
          </cell>
          <cell r="J26">
            <v>-3851.0505910000002</v>
          </cell>
          <cell r="K26">
            <v>-3545.2281939999998</v>
          </cell>
          <cell r="L26">
            <v>340.82239700000036</v>
          </cell>
          <cell r="M26">
            <v>35</v>
          </cell>
        </row>
        <row r="27">
          <cell r="C27">
            <v>88</v>
          </cell>
          <cell r="D27">
            <v>0</v>
          </cell>
          <cell r="E27">
            <v>-52</v>
          </cell>
          <cell r="F27">
            <v>88</v>
          </cell>
          <cell r="G27">
            <v>140</v>
          </cell>
          <cell r="H27" t="str">
            <v>Inventories Increase/Decrease</v>
          </cell>
          <cell r="I27">
            <v>36.504978999999999</v>
          </cell>
          <cell r="J27">
            <v>3.5790430000000013</v>
          </cell>
          <cell r="K27">
            <v>-51.495021000000001</v>
          </cell>
          <cell r="L27">
            <v>32.925936</v>
          </cell>
          <cell r="M27">
            <v>88</v>
          </cell>
        </row>
        <row r="29">
          <cell r="C29">
            <v>1945.24</v>
          </cell>
          <cell r="D29">
            <v>977.07881599998939</v>
          </cell>
          <cell r="E29">
            <v>2139.519999999985</v>
          </cell>
          <cell r="F29">
            <v>968.16118400001062</v>
          </cell>
          <cell r="G29">
            <v>-194.27999999998497</v>
          </cell>
          <cell r="H29" t="str">
            <v>Gross Margin</v>
          </cell>
          <cell r="I29">
            <v>23258.633976999969</v>
          </cell>
          <cell r="J29">
            <v>20864.579043999984</v>
          </cell>
          <cell r="K29">
            <v>21313.393976999967</v>
          </cell>
          <cell r="L29">
            <v>2394.0549329999849</v>
          </cell>
          <cell r="M29">
            <v>1945.2400000000016</v>
          </cell>
        </row>
        <row r="30">
          <cell r="C30">
            <v>0.15585310433899197</v>
          </cell>
          <cell r="D30">
            <v>8.4288990423341884E-2</v>
          </cell>
          <cell r="E30">
            <v>0.12487334768337066</v>
          </cell>
          <cell r="H30" t="str">
            <v>% of Sales</v>
          </cell>
          <cell r="I30">
            <v>0.12737403585932056</v>
          </cell>
          <cell r="J30">
            <v>0.11889707603003907</v>
          </cell>
          <cell r="K30">
            <v>0.12528460213863848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Studies, R&amp;D Expenses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R&amp;D costs-Company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 t="str">
            <v>Services-R&amp;D costs-Company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R&amp;D costs-Country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 t="str">
            <v>R&amp;D costs-Business Group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 t="str">
            <v>Sales, General &amp; Administration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 t="str">
            <v>Overheads-company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H38" t="str">
            <v>Services-management fees-Company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H39" t="str">
            <v>Overheads-Country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H40" t="str">
            <v>Overheads-Business Group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 t="str">
            <v>Corporate Expenses - R&amp;D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 t="str">
            <v>R&amp;D costs-Group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 t="str">
            <v>Services-R&amp;D costs-Group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C44">
            <v>-47</v>
          </cell>
          <cell r="D44">
            <v>-45.504978999999992</v>
          </cell>
          <cell r="E44">
            <v>-66.999999999999943</v>
          </cell>
          <cell r="F44">
            <v>-1.4950210000000084</v>
          </cell>
          <cell r="G44">
            <v>19.999999999999943</v>
          </cell>
          <cell r="H44" t="str">
            <v>Corporate Expenses - S.G. &amp; A.</v>
          </cell>
          <cell r="I44">
            <v>-356.92775899999998</v>
          </cell>
          <cell r="J44">
            <v>-330.29456699999997</v>
          </cell>
          <cell r="K44">
            <v>-309.92775899999998</v>
          </cell>
          <cell r="L44">
            <v>-26.633192000000008</v>
          </cell>
          <cell r="M44">
            <v>-47</v>
          </cell>
        </row>
        <row r="45">
          <cell r="C45">
            <v>-47</v>
          </cell>
          <cell r="D45">
            <v>-45.504978999999992</v>
          </cell>
          <cell r="E45">
            <v>-66.999999999999943</v>
          </cell>
          <cell r="F45">
            <v>-1.4950210000000084</v>
          </cell>
          <cell r="G45">
            <v>19.999999999999943</v>
          </cell>
          <cell r="H45" t="str">
            <v>Services-management fees-Group</v>
          </cell>
          <cell r="I45">
            <v>-356.92775899999998</v>
          </cell>
          <cell r="J45">
            <v>-330.29456699999997</v>
          </cell>
          <cell r="K45">
            <v>-309.92775899999998</v>
          </cell>
          <cell r="L45">
            <v>-26.633192000000008</v>
          </cell>
          <cell r="M45">
            <v>-47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 t="str">
            <v>Overheads-Group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C47">
            <v>1898.24</v>
          </cell>
          <cell r="D47">
            <v>931.57383699999002</v>
          </cell>
          <cell r="E47">
            <v>2072.519999999985</v>
          </cell>
          <cell r="F47">
            <v>966.66616300000999</v>
          </cell>
          <cell r="G47">
            <v>-174.27999999998497</v>
          </cell>
          <cell r="H47" t="str">
            <v>Operating Income</v>
          </cell>
          <cell r="I47">
            <v>22901.70621799997</v>
          </cell>
          <cell r="J47">
            <v>20534.284476999983</v>
          </cell>
          <cell r="K47">
            <v>21003.466217999969</v>
          </cell>
          <cell r="L47">
            <v>2367.4217409999874</v>
          </cell>
          <cell r="M47">
            <v>1898.2400000000016</v>
          </cell>
        </row>
        <row r="48">
          <cell r="C48">
            <v>0.15208745284923614</v>
          </cell>
          <cell r="D48">
            <v>8.0363443500886284E-2</v>
          </cell>
          <cell r="E48">
            <v>0.12096288445106347</v>
          </cell>
          <cell r="H48" t="str">
            <v>% of Sales</v>
          </cell>
          <cell r="I48">
            <v>0.12541934973205227</v>
          </cell>
          <cell r="J48">
            <v>0.11701488812861571</v>
          </cell>
          <cell r="K48">
            <v>0.12346278173687908</v>
          </cell>
        </row>
        <row r="49">
          <cell r="C49">
            <v>-650</v>
          </cell>
          <cell r="D49">
            <v>0</v>
          </cell>
          <cell r="E49">
            <v>0</v>
          </cell>
          <cell r="F49">
            <v>-650</v>
          </cell>
          <cell r="G49">
            <v>-650</v>
          </cell>
          <cell r="H49" t="str">
            <v>Other Income or Expenses</v>
          </cell>
          <cell r="I49">
            <v>-650</v>
          </cell>
          <cell r="J49">
            <v>0</v>
          </cell>
          <cell r="K49">
            <v>0</v>
          </cell>
          <cell r="L49">
            <v>-650</v>
          </cell>
          <cell r="M49">
            <v>-650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 t="str">
            <v>Total downsizing costs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 t="str">
            <v>Total business discontinuation costs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C52">
            <v>-650</v>
          </cell>
          <cell r="D52">
            <v>0</v>
          </cell>
          <cell r="E52">
            <v>0</v>
          </cell>
          <cell r="F52">
            <v>-650</v>
          </cell>
          <cell r="G52">
            <v>-650</v>
          </cell>
          <cell r="H52" t="str">
            <v>Total other income</v>
          </cell>
          <cell r="I52">
            <v>-650</v>
          </cell>
          <cell r="J52">
            <v>0</v>
          </cell>
          <cell r="K52">
            <v>0</v>
          </cell>
          <cell r="L52">
            <v>-650</v>
          </cell>
          <cell r="M52">
            <v>-650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 t="str">
            <v>Net interest (expense) income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5">
          <cell r="C55">
            <v>1248.24</v>
          </cell>
          <cell r="D55">
            <v>931.57383699999002</v>
          </cell>
          <cell r="E55">
            <v>2072.519999999985</v>
          </cell>
          <cell r="F55">
            <v>316.66616300000999</v>
          </cell>
          <cell r="G55">
            <v>-824.27999999998497</v>
          </cell>
          <cell r="H55" t="str">
            <v>Income before Taxes</v>
          </cell>
          <cell r="I55">
            <v>22251.70621799997</v>
          </cell>
          <cell r="J55">
            <v>20534.284476999983</v>
          </cell>
          <cell r="K55">
            <v>21003.466217999969</v>
          </cell>
          <cell r="L55">
            <v>1717.4217409999874</v>
          </cell>
          <cell r="M55">
            <v>1248.2400000000016</v>
          </cell>
        </row>
        <row r="56">
          <cell r="C56">
            <v>0.1000092939483577</v>
          </cell>
          <cell r="D56">
            <v>8.0363443500886284E-2</v>
          </cell>
          <cell r="E56">
            <v>0.12096288445106347</v>
          </cell>
          <cell r="H56" t="str">
            <v>% of Sales</v>
          </cell>
          <cell r="I56">
            <v>0.12185967707928895</v>
          </cell>
          <cell r="J56">
            <v>0.11701488812861571</v>
          </cell>
          <cell r="K56">
            <v>0.12346278173687908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 t="str">
            <v>Total Goodwill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 t="str">
            <v>Income Taxes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C59">
            <v>1248.24</v>
          </cell>
          <cell r="D59">
            <v>931.57383699999002</v>
          </cell>
          <cell r="E59">
            <v>2072.519999999985</v>
          </cell>
          <cell r="F59">
            <v>316.66616300000999</v>
          </cell>
          <cell r="G59">
            <v>-824.27999999998497</v>
          </cell>
          <cell r="H59" t="str">
            <v>Net Income</v>
          </cell>
          <cell r="I59">
            <v>22251.70621799997</v>
          </cell>
          <cell r="J59">
            <v>20534.284476999983</v>
          </cell>
          <cell r="K59">
            <v>21003.466217999969</v>
          </cell>
          <cell r="L59">
            <v>1717.4217409999874</v>
          </cell>
          <cell r="M59">
            <v>1248.2400000000016</v>
          </cell>
        </row>
        <row r="60">
          <cell r="C60">
            <v>0.1000092939483577</v>
          </cell>
          <cell r="D60">
            <v>8.0363443500886284E-2</v>
          </cell>
          <cell r="E60">
            <v>0.12096288445106347</v>
          </cell>
          <cell r="H60" t="str">
            <v>% of Sales</v>
          </cell>
          <cell r="I60">
            <v>0.12185967707928895</v>
          </cell>
          <cell r="J60">
            <v>0.11701488812861571</v>
          </cell>
          <cell r="K60">
            <v>0.12346278173687908</v>
          </cell>
        </row>
        <row r="61">
          <cell r="L61" t="str">
            <v>Average Exchange Rate :</v>
          </cell>
          <cell r="M61">
            <v>1</v>
          </cell>
        </row>
      </sheetData>
      <sheetData sheetId="8" refreshError="1">
        <row r="2">
          <cell r="I2" t="str">
            <v>GROSS MARGIN</v>
          </cell>
        </row>
        <row r="3">
          <cell r="I3" t="str">
            <v>Décember 2001</v>
          </cell>
        </row>
        <row r="5">
          <cell r="D5" t="str">
            <v>Activity : Frames</v>
          </cell>
          <cell r="M5" t="str">
            <v>Currency :</v>
          </cell>
          <cell r="N5" t="str">
            <v>EUR</v>
          </cell>
        </row>
        <row r="6">
          <cell r="D6" t="str">
            <v>Entity : FAURECIA AUTOSIZE ST GEISELHORING</v>
          </cell>
          <cell r="H6">
            <v>0</v>
          </cell>
          <cell r="M6" t="str">
            <v>Unit :</v>
          </cell>
          <cell r="N6" t="str">
            <v>Thousands</v>
          </cell>
        </row>
        <row r="8">
          <cell r="F8" t="str">
            <v>MONTH</v>
          </cell>
          <cell r="J8" t="str">
            <v>YEAR TO DATE</v>
          </cell>
        </row>
        <row r="9">
          <cell r="D9" t="str">
            <v>ACTUAL</v>
          </cell>
          <cell r="E9" t="str">
            <v>BUDGET</v>
          </cell>
          <cell r="F9" t="str">
            <v>ACTUAL</v>
          </cell>
          <cell r="G9" t="str">
            <v>Variance</v>
          </cell>
          <cell r="J9" t="str">
            <v>ACTUAL</v>
          </cell>
          <cell r="K9" t="str">
            <v>BUDGET</v>
          </cell>
          <cell r="L9" t="str">
            <v>ACTUAL</v>
          </cell>
          <cell r="M9" t="str">
            <v>Variance</v>
          </cell>
        </row>
        <row r="10">
          <cell r="E10" t="str">
            <v>2001</v>
          </cell>
          <cell r="F10" t="str">
            <v>M - 1</v>
          </cell>
          <cell r="G10" t="str">
            <v>Budget</v>
          </cell>
          <cell r="H10" t="str">
            <v>M - 1</v>
          </cell>
          <cell r="K10" t="str">
            <v>2001</v>
          </cell>
          <cell r="L10" t="str">
            <v>M - 1</v>
          </cell>
          <cell r="M10" t="str">
            <v>Budget</v>
          </cell>
          <cell r="N10" t="str">
            <v>M - 1</v>
          </cell>
        </row>
        <row r="11">
          <cell r="D11">
            <v>12481.24</v>
          </cell>
          <cell r="E11">
            <v>11592.009954000012</v>
          </cell>
          <cell r="F11">
            <v>17133.52</v>
          </cell>
          <cell r="G11">
            <v>889.23004599998785</v>
          </cell>
          <cell r="H11">
            <v>-4652.2800000000007</v>
          </cell>
          <cell r="I11" t="str">
            <v>Product Sales (exc. Monoliths)</v>
          </cell>
          <cell r="J11">
            <v>182601.06009899997</v>
          </cell>
          <cell r="K11">
            <v>175484.37472700002</v>
          </cell>
          <cell r="L11">
            <v>170119.82009899998</v>
          </cell>
          <cell r="M11">
            <v>7116.685371999949</v>
          </cell>
          <cell r="N11">
            <v>12481.239999999991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 t="str">
            <v>Chiffre d'Affaires Produits (avec VA) HORS GROUPE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D13">
            <v>12481.24</v>
          </cell>
          <cell r="E13">
            <v>11592.009954000012</v>
          </cell>
          <cell r="F13">
            <v>17133.52</v>
          </cell>
          <cell r="G13">
            <v>889.23004599998785</v>
          </cell>
          <cell r="H13">
            <v>-4652.2800000000007</v>
          </cell>
          <cell r="I13" t="str">
            <v>Chiffre d'Affaires Produits (avec VA) INTRAGROUPE</v>
          </cell>
          <cell r="J13">
            <v>182601.06009899997</v>
          </cell>
          <cell r="K13">
            <v>175484.37472700002</v>
          </cell>
          <cell r="L13">
            <v>170119.82009899998</v>
          </cell>
          <cell r="M13">
            <v>7116.685371999949</v>
          </cell>
          <cell r="N13">
            <v>12481.239999999991</v>
          </cell>
        </row>
        <row r="14">
          <cell r="D14">
            <v>-8881.0001000000011</v>
          </cell>
          <cell r="E14">
            <v>-8339.6821830000044</v>
          </cell>
          <cell r="F14">
            <v>-12228</v>
          </cell>
          <cell r="G14">
            <v>-541.31791699999667</v>
          </cell>
          <cell r="H14">
            <v>3346.9998999999989</v>
          </cell>
          <cell r="I14" t="str">
            <v>Standard Material Cost</v>
          </cell>
          <cell r="J14">
            <v>-127266.96303499999</v>
          </cell>
          <cell r="K14">
            <v>-122708.02303500002</v>
          </cell>
          <cell r="L14">
            <v>-118385.96293499999</v>
          </cell>
          <cell r="M14">
            <v>-4558.9399999999732</v>
          </cell>
          <cell r="N14">
            <v>-8881.0001000000047</v>
          </cell>
        </row>
        <row r="15">
          <cell r="D15">
            <v>117.00010000000032</v>
          </cell>
          <cell r="E15">
            <v>242.35236100000009</v>
          </cell>
          <cell r="F15">
            <v>226</v>
          </cell>
          <cell r="G15">
            <v>-125.35226099999977</v>
          </cell>
          <cell r="H15">
            <v>-108.99989999999968</v>
          </cell>
          <cell r="I15" t="str">
            <v>Material Variance</v>
          </cell>
          <cell r="J15">
            <v>525.04162199999996</v>
          </cell>
          <cell r="K15">
            <v>964.80781500000012</v>
          </cell>
          <cell r="L15">
            <v>408.04152199999976</v>
          </cell>
          <cell r="M15">
            <v>-439.76619300000016</v>
          </cell>
          <cell r="N15">
            <v>117.0001000000002</v>
          </cell>
        </row>
        <row r="16">
          <cell r="D16">
            <v>186.00010000000032</v>
          </cell>
          <cell r="E16">
            <v>180.99733300000011</v>
          </cell>
          <cell r="F16">
            <v>231</v>
          </cell>
          <cell r="G16">
            <v>5.0027670000002047</v>
          </cell>
          <cell r="H16">
            <v>-44.999899999999684</v>
          </cell>
          <cell r="I16" t="str">
            <v>Ecart économique</v>
          </cell>
          <cell r="J16">
            <v>2219.3301430000001</v>
          </cell>
          <cell r="K16">
            <v>2181.1712459999999</v>
          </cell>
          <cell r="L16">
            <v>2033.3300429999999</v>
          </cell>
          <cell r="M16">
            <v>38.158897000000252</v>
          </cell>
          <cell r="N16">
            <v>186.0001000000002</v>
          </cell>
        </row>
        <row r="17">
          <cell r="D17">
            <v>113</v>
          </cell>
          <cell r="E17">
            <v>128.84555900000001</v>
          </cell>
          <cell r="F17">
            <v>161</v>
          </cell>
          <cell r="G17">
            <v>-15.845559000000009</v>
          </cell>
          <cell r="H17">
            <v>-48</v>
          </cell>
          <cell r="I17" t="str">
            <v>Ecart technique</v>
          </cell>
          <cell r="J17">
            <v>900.86729800000001</v>
          </cell>
          <cell r="K17">
            <v>986.79336699999999</v>
          </cell>
          <cell r="L17">
            <v>787.86729800000001</v>
          </cell>
          <cell r="M17">
            <v>-85.926068999999984</v>
          </cell>
          <cell r="N17">
            <v>113</v>
          </cell>
        </row>
        <row r="18">
          <cell r="D18">
            <v>-239</v>
          </cell>
          <cell r="E18">
            <v>-46.527563000000022</v>
          </cell>
          <cell r="F18">
            <v>-50</v>
          </cell>
          <cell r="G18">
            <v>-192.47243699999999</v>
          </cell>
          <cell r="H18">
            <v>-189</v>
          </cell>
          <cell r="I18" t="str">
            <v>Ecart industriel</v>
          </cell>
          <cell r="J18">
            <v>-897.96310100000005</v>
          </cell>
          <cell r="K18">
            <v>-871.241398</v>
          </cell>
          <cell r="L18">
            <v>-658.96310100000005</v>
          </cell>
          <cell r="M18">
            <v>-26.721703000000048</v>
          </cell>
          <cell r="N18">
            <v>-239</v>
          </cell>
        </row>
        <row r="19">
          <cell r="D19">
            <v>57</v>
          </cell>
          <cell r="E19">
            <v>-20.962967999999993</v>
          </cell>
          <cell r="F19">
            <v>-116</v>
          </cell>
          <cell r="G19">
            <v>77.962967999999989</v>
          </cell>
          <cell r="H19">
            <v>173</v>
          </cell>
          <cell r="I19" t="str">
            <v>Coût démarrage</v>
          </cell>
          <cell r="J19">
            <v>-1697.192718</v>
          </cell>
          <cell r="K19">
            <v>-1331.9153999999999</v>
          </cell>
          <cell r="L19">
            <v>-1754.192718</v>
          </cell>
          <cell r="M19">
            <v>-365.27731800000015</v>
          </cell>
          <cell r="N19">
            <v>57</v>
          </cell>
        </row>
        <row r="20">
          <cell r="D20">
            <v>-8764</v>
          </cell>
          <cell r="E20">
            <v>-8097.3298220000042</v>
          </cell>
          <cell r="F20">
            <v>-12002</v>
          </cell>
          <cell r="G20">
            <v>-666.67017799999576</v>
          </cell>
          <cell r="H20">
            <v>3238</v>
          </cell>
          <cell r="I20" t="str">
            <v>Materials, Subcontracting &amp; Services</v>
          </cell>
          <cell r="J20">
            <v>-126741.92141299999</v>
          </cell>
          <cell r="K20">
            <v>-121743.21522000001</v>
          </cell>
          <cell r="L20">
            <v>-117977.92141299999</v>
          </cell>
          <cell r="M20">
            <v>-4998.7061929999763</v>
          </cell>
          <cell r="N20">
            <v>-8764</v>
          </cell>
        </row>
        <row r="21">
          <cell r="D21">
            <v>-8764</v>
          </cell>
          <cell r="E21">
            <v>-8097.3298220000042</v>
          </cell>
          <cell r="F21">
            <v>-12002</v>
          </cell>
          <cell r="G21">
            <v>-666.67017799999576</v>
          </cell>
          <cell r="H21">
            <v>3238</v>
          </cell>
          <cell r="I21" t="str">
            <v>Matières de Production</v>
          </cell>
          <cell r="J21">
            <v>-126741.92141299999</v>
          </cell>
          <cell r="K21">
            <v>-121743.21522000001</v>
          </cell>
          <cell r="L21">
            <v>-117977.92141299999</v>
          </cell>
          <cell r="M21">
            <v>-4998.7061929999763</v>
          </cell>
          <cell r="N21">
            <v>-8764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 t="str">
            <v>Sous-Traitance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D23">
            <v>-0.70217382247276716</v>
          </cell>
          <cell r="E23">
            <v>-0.69852681753485635</v>
          </cell>
          <cell r="F23">
            <v>-0.70049820468882051</v>
          </cell>
          <cell r="I23" t="str">
            <v>% Product Sales (exc. Monoliths)</v>
          </cell>
          <cell r="J23">
            <v>-0.69409192555774268</v>
          </cell>
          <cell r="K23">
            <v>-0.69375530105968242</v>
          </cell>
          <cell r="L23">
            <v>-0.69349897821631601</v>
          </cell>
        </row>
        <row r="25">
          <cell r="D25">
            <v>-1166</v>
          </cell>
          <cell r="E25">
            <v>-1132.0002659999991</v>
          </cell>
          <cell r="F25">
            <v>-1589.9999999999982</v>
          </cell>
          <cell r="G25">
            <v>-33.999734000000899</v>
          </cell>
          <cell r="H25">
            <v>423.99999999999818</v>
          </cell>
          <cell r="I25" t="str">
            <v>Standard Direct Labor Cost</v>
          </cell>
          <cell r="J25">
            <v>-17833.933223999997</v>
          </cell>
          <cell r="K25">
            <v>-17263.259711999999</v>
          </cell>
          <cell r="L25">
            <v>-16667.933223999997</v>
          </cell>
          <cell r="M25">
            <v>-570.67351199999757</v>
          </cell>
          <cell r="N25">
            <v>-1166</v>
          </cell>
        </row>
        <row r="26">
          <cell r="D26">
            <v>101.99999999999999</v>
          </cell>
          <cell r="E26">
            <v>37.835599999999985</v>
          </cell>
          <cell r="F26">
            <v>39</v>
          </cell>
          <cell r="G26">
            <v>64.164400000000001</v>
          </cell>
          <cell r="H26">
            <v>62.999999999999986</v>
          </cell>
          <cell r="I26" t="str">
            <v>Direct Labor Variance</v>
          </cell>
          <cell r="J26">
            <v>362.93589400000008</v>
          </cell>
          <cell r="K26">
            <v>369.66404400000016</v>
          </cell>
          <cell r="L26">
            <v>260.93589400000008</v>
          </cell>
          <cell r="M26">
            <v>-6.7281500000000847</v>
          </cell>
          <cell r="N26">
            <v>102</v>
          </cell>
        </row>
        <row r="27">
          <cell r="D27">
            <v>-24</v>
          </cell>
          <cell r="E27">
            <v>-23.519427999999984</v>
          </cell>
          <cell r="F27">
            <v>-33</v>
          </cell>
          <cell r="G27">
            <v>-0.48057200000001643</v>
          </cell>
          <cell r="H27">
            <v>9</v>
          </cell>
          <cell r="I27" t="str">
            <v>Ecart économique</v>
          </cell>
          <cell r="J27">
            <v>-254.890726</v>
          </cell>
          <cell r="K27">
            <v>-243.37494499999997</v>
          </cell>
          <cell r="L27">
            <v>-230.890726</v>
          </cell>
          <cell r="M27">
            <v>-11.515781000000032</v>
          </cell>
          <cell r="N27">
            <v>-24</v>
          </cell>
        </row>
        <row r="28">
          <cell r="D28">
            <v>69</v>
          </cell>
          <cell r="E28">
            <v>58.798568999999958</v>
          </cell>
          <cell r="F28">
            <v>83</v>
          </cell>
          <cell r="G28">
            <v>10.201431000000042</v>
          </cell>
          <cell r="H28">
            <v>-14</v>
          </cell>
          <cell r="I28" t="str">
            <v>Ecart technique</v>
          </cell>
          <cell r="J28">
            <v>710.87543300000004</v>
          </cell>
          <cell r="K28">
            <v>647.29554600000006</v>
          </cell>
          <cell r="L28">
            <v>641.87543300000004</v>
          </cell>
          <cell r="M28">
            <v>63.579886999999985</v>
          </cell>
          <cell r="N28">
            <v>69</v>
          </cell>
        </row>
        <row r="29">
          <cell r="D29">
            <v>61.999999999999986</v>
          </cell>
          <cell r="E29">
            <v>21.474259000000007</v>
          </cell>
          <cell r="F29">
            <v>4</v>
          </cell>
          <cell r="G29">
            <v>40.525740999999982</v>
          </cell>
          <cell r="H29">
            <v>57.999999999999986</v>
          </cell>
          <cell r="I29" t="str">
            <v>Ecart industriel</v>
          </cell>
          <cell r="J29">
            <v>74.819329999999994</v>
          </cell>
          <cell r="K29">
            <v>162.590824</v>
          </cell>
          <cell r="L29">
            <v>12.819329999999997</v>
          </cell>
          <cell r="M29">
            <v>-87.771494000000004</v>
          </cell>
          <cell r="N29">
            <v>62</v>
          </cell>
        </row>
        <row r="30">
          <cell r="D30">
            <v>-5</v>
          </cell>
          <cell r="E30">
            <v>-18.917799999999996</v>
          </cell>
          <cell r="F30">
            <v>-15</v>
          </cell>
          <cell r="G30">
            <v>13.917799999999996</v>
          </cell>
          <cell r="H30">
            <v>10</v>
          </cell>
          <cell r="I30" t="str">
            <v>Coût démarrage</v>
          </cell>
          <cell r="J30">
            <v>-167.868143</v>
          </cell>
          <cell r="K30">
            <v>-196.84738099999998</v>
          </cell>
          <cell r="L30">
            <v>-162.868143</v>
          </cell>
          <cell r="M30">
            <v>28.979237999999981</v>
          </cell>
          <cell r="N30">
            <v>-5</v>
          </cell>
        </row>
        <row r="31">
          <cell r="D31">
            <v>-1064</v>
          </cell>
          <cell r="E31">
            <v>-1094.1646659999992</v>
          </cell>
          <cell r="F31">
            <v>-1550.9999999999982</v>
          </cell>
          <cell r="G31">
            <v>30.164665999999215</v>
          </cell>
          <cell r="H31">
            <v>486.99999999999818</v>
          </cell>
          <cell r="I31" t="str">
            <v>Direct Labor</v>
          </cell>
          <cell r="J31">
            <v>-17470.997329999998</v>
          </cell>
          <cell r="K31">
            <v>-16893.595667999998</v>
          </cell>
          <cell r="L31">
            <v>-16406.997329999998</v>
          </cell>
          <cell r="M31">
            <v>-577.40166200000021</v>
          </cell>
          <cell r="N31">
            <v>-1064</v>
          </cell>
        </row>
        <row r="32">
          <cell r="D32">
            <v>-8.5247940108514858E-2</v>
          </cell>
          <cell r="E32">
            <v>-9.4389555421528937E-2</v>
          </cell>
          <cell r="F32">
            <v>-9.052430557176798E-2</v>
          </cell>
          <cell r="I32" t="str">
            <v>% Product Sales (exc. Monoliths)</v>
          </cell>
          <cell r="J32">
            <v>-9.5678509864772027E-2</v>
          </cell>
          <cell r="K32">
            <v>-9.6268375428189903E-2</v>
          </cell>
          <cell r="L32">
            <v>-9.6443773103287236E-2</v>
          </cell>
        </row>
        <row r="33">
          <cell r="D33">
            <v>-3</v>
          </cell>
          <cell r="E33">
            <v>-5.112918999999998</v>
          </cell>
          <cell r="F33">
            <v>-1</v>
          </cell>
          <cell r="G33">
            <v>2.112918999999998</v>
          </cell>
          <cell r="H33">
            <v>-2</v>
          </cell>
          <cell r="I33" t="str">
            <v>Freight-out</v>
          </cell>
          <cell r="J33">
            <v>-62.993687000000001</v>
          </cell>
          <cell r="K33">
            <v>-63.400195999999994</v>
          </cell>
          <cell r="L33">
            <v>-59.993687000000001</v>
          </cell>
          <cell r="M33">
            <v>0.40650899999999268</v>
          </cell>
          <cell r="N33">
            <v>-3</v>
          </cell>
        </row>
        <row r="34">
          <cell r="D34">
            <v>-3</v>
          </cell>
          <cell r="E34">
            <v>-5.112918999999998</v>
          </cell>
          <cell r="F34">
            <v>-1</v>
          </cell>
          <cell r="G34">
            <v>2.112918999999998</v>
          </cell>
          <cell r="H34">
            <v>-2</v>
          </cell>
          <cell r="I34" t="str">
            <v>&gt; Regular freight-out</v>
          </cell>
          <cell r="J34">
            <v>-62.993687000000001</v>
          </cell>
          <cell r="K34">
            <v>-63.400195999999994</v>
          </cell>
          <cell r="L34">
            <v>-59.993687000000001</v>
          </cell>
          <cell r="M34">
            <v>0.40650899999999268</v>
          </cell>
          <cell r="N34">
            <v>-3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 t="str">
            <v>&gt; Exceptional freight-out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D36">
            <v>2650.24</v>
          </cell>
          <cell r="E36">
            <v>2395.4025469999929</v>
          </cell>
          <cell r="F36">
            <v>3579.52</v>
          </cell>
          <cell r="G36">
            <v>254.83745300000692</v>
          </cell>
          <cell r="H36">
            <v>-929.2800000000002</v>
          </cell>
          <cell r="I36" t="str">
            <v>Variable Costs Margin on Product Sales (exc.  Mono.)</v>
          </cell>
          <cell r="J36">
            <v>38325.14766900002</v>
          </cell>
          <cell r="K36">
            <v>36784.163642999993</v>
          </cell>
          <cell r="L36">
            <v>35674.907669000022</v>
          </cell>
          <cell r="M36">
            <v>1540.9840260000274</v>
          </cell>
          <cell r="N36">
            <v>2650.239999999998</v>
          </cell>
        </row>
        <row r="37">
          <cell r="D37">
            <v>0.21233787668532933</v>
          </cell>
          <cell r="E37">
            <v>0.20664255435472778</v>
          </cell>
          <cell r="F37">
            <v>0.20891912461654114</v>
          </cell>
          <cell r="I37" t="str">
            <v>% Product Sales (exc. Monoliths)</v>
          </cell>
          <cell r="J37">
            <v>0.2098845847237768</v>
          </cell>
          <cell r="K37">
            <v>0.20961503666765144</v>
          </cell>
          <cell r="L37">
            <v>0.20970459319930665</v>
          </cell>
        </row>
        <row r="39">
          <cell r="D39">
            <v>-471</v>
          </cell>
          <cell r="E39">
            <v>-608.94865299999992</v>
          </cell>
          <cell r="F39">
            <v>-596</v>
          </cell>
          <cell r="G39">
            <v>137.94865299999992</v>
          </cell>
          <cell r="H39">
            <v>125</v>
          </cell>
          <cell r="I39" t="str">
            <v>Indirect Labor</v>
          </cell>
          <cell r="J39">
            <v>-7072.0228059999999</v>
          </cell>
          <cell r="K39">
            <v>-7262.3901480000004</v>
          </cell>
          <cell r="L39">
            <v>-6601.0228059999999</v>
          </cell>
          <cell r="M39">
            <v>190.36734200000046</v>
          </cell>
          <cell r="N39">
            <v>-471</v>
          </cell>
        </row>
        <row r="40">
          <cell r="D40">
            <v>-356.99999999999955</v>
          </cell>
          <cell r="E40">
            <v>-404.9431849999998</v>
          </cell>
          <cell r="F40">
            <v>-384.99999999999955</v>
          </cell>
          <cell r="G40">
            <v>47.943185000000256</v>
          </cell>
          <cell r="H40">
            <v>28</v>
          </cell>
          <cell r="I40" t="str">
            <v>Manufacturing Costs</v>
          </cell>
          <cell r="J40">
            <v>-4520.7676709999996</v>
          </cell>
          <cell r="K40">
            <v>-4809.7229029999999</v>
          </cell>
          <cell r="L40">
            <v>-4163.7676709999996</v>
          </cell>
          <cell r="M40">
            <v>288.95523200000025</v>
          </cell>
          <cell r="N40">
            <v>-357</v>
          </cell>
        </row>
        <row r="41">
          <cell r="D41">
            <v>-827.99999999999955</v>
          </cell>
          <cell r="E41">
            <v>-1013.8918379999998</v>
          </cell>
          <cell r="F41">
            <v>-980.99999999999955</v>
          </cell>
          <cell r="G41">
            <v>185.89183800000023</v>
          </cell>
          <cell r="H41">
            <v>153</v>
          </cell>
          <cell r="I41" t="str">
            <v>Indirect Labor &amp; Manufacturing Costs</v>
          </cell>
          <cell r="J41">
            <v>-11592.790476999999</v>
          </cell>
          <cell r="K41">
            <v>-12072.113051</v>
          </cell>
          <cell r="L41">
            <v>-10764.790476999999</v>
          </cell>
          <cell r="M41">
            <v>479.32257400000162</v>
          </cell>
          <cell r="N41">
            <v>-828</v>
          </cell>
        </row>
        <row r="42">
          <cell r="D42">
            <v>35</v>
          </cell>
          <cell r="E42">
            <v>-404.43189299999995</v>
          </cell>
          <cell r="F42">
            <v>-407</v>
          </cell>
          <cell r="G42">
            <v>439.43189299999995</v>
          </cell>
          <cell r="H42">
            <v>442</v>
          </cell>
          <cell r="I42" t="str">
            <v>Manufacturing Equipment Depreciation</v>
          </cell>
          <cell r="J42">
            <v>-3510.2281939999998</v>
          </cell>
          <cell r="K42">
            <v>-3851.0505910000002</v>
          </cell>
          <cell r="L42">
            <v>-3545.2281939999998</v>
          </cell>
          <cell r="M42">
            <v>340.82239700000036</v>
          </cell>
          <cell r="N42">
            <v>35</v>
          </cell>
        </row>
        <row r="43">
          <cell r="D43">
            <v>88</v>
          </cell>
          <cell r="E43">
            <v>0</v>
          </cell>
          <cell r="F43">
            <v>-52</v>
          </cell>
          <cell r="G43">
            <v>88</v>
          </cell>
          <cell r="H43">
            <v>140</v>
          </cell>
          <cell r="I43" t="str">
            <v>Inventories Increase/Decrease</v>
          </cell>
          <cell r="J43">
            <v>36.504978999999999</v>
          </cell>
          <cell r="K43">
            <v>3.5790430000000013</v>
          </cell>
          <cell r="L43">
            <v>-51.495021000000001</v>
          </cell>
          <cell r="M43">
            <v>32.925936</v>
          </cell>
          <cell r="N43">
            <v>88</v>
          </cell>
        </row>
        <row r="44">
          <cell r="D44">
            <v>1945.2400000000002</v>
          </cell>
          <cell r="E44">
            <v>977.07881599999314</v>
          </cell>
          <cell r="F44">
            <v>2139.5200000000004</v>
          </cell>
          <cell r="G44">
            <v>968.1611840000071</v>
          </cell>
          <cell r="H44">
            <v>-194.2800000000002</v>
          </cell>
          <cell r="I44" t="str">
            <v>Gross Margin on Product Sales (exc. Monoliths)</v>
          </cell>
          <cell r="J44">
            <v>23258.633977000023</v>
          </cell>
          <cell r="K44">
            <v>20864.579043999995</v>
          </cell>
          <cell r="L44">
            <v>21313.393977000025</v>
          </cell>
          <cell r="M44">
            <v>2394.0549330000285</v>
          </cell>
          <cell r="N44">
            <v>1945.239999999998</v>
          </cell>
        </row>
        <row r="45">
          <cell r="D45">
            <v>0.15585310433899199</v>
          </cell>
          <cell r="E45">
            <v>8.4288990423342092E-2</v>
          </cell>
          <cell r="F45">
            <v>0.12487334768337156</v>
          </cell>
          <cell r="I45" t="str">
            <v>% Product Sales (exc. Monoliths)</v>
          </cell>
          <cell r="J45">
            <v>0.12737403585932086</v>
          </cell>
          <cell r="K45">
            <v>0.11889707603003911</v>
          </cell>
          <cell r="L45">
            <v>0.12528460213863882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 t="str">
            <v>Tooling Sales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 t="str">
            <v>Vente d'outillage Hors Groupe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 t="str">
            <v>Vente d'outillage IG Extra EJ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 t="str">
            <v>Vente d'outillage Intra EJ Extra Site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 t="str">
            <v>Gross Margin on Tooling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 t="str">
            <v>Engineering/Prototype Sales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 t="str">
            <v>Vente d'ETP Hors Groupe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 t="str">
            <v>Vente d'ETP IG Extra EJ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 t="str">
            <v>Vente d'ETP Intra EJ Extra Site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 t="str">
            <v>Gross Margin on Engineering / Prototype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 t="str">
            <v>Monoliths Sales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-1.8189894035458565E-12</v>
          </cell>
          <cell r="H60">
            <v>0</v>
          </cell>
          <cell r="I60" t="str">
            <v>Marge sur Frais Variables Produits Monolithes</v>
          </cell>
          <cell r="J60">
            <v>0</v>
          </cell>
          <cell r="K60">
            <v>0</v>
          </cell>
          <cell r="L60">
            <v>0</v>
          </cell>
          <cell r="M60">
            <v>-1.4551915228366852E-11</v>
          </cell>
          <cell r="N60">
            <v>0</v>
          </cell>
        </row>
        <row r="61">
          <cell r="D61">
            <v>2650.24</v>
          </cell>
          <cell r="E61">
            <v>2395.4025469999947</v>
          </cell>
          <cell r="F61">
            <v>3579.52</v>
          </cell>
          <cell r="G61">
            <v>254.8374530000051</v>
          </cell>
          <cell r="H61">
            <v>-929.2800000000002</v>
          </cell>
          <cell r="I61" t="str">
            <v>Marge sur Frais Variables Produits</v>
          </cell>
          <cell r="J61">
            <v>38325.147668999991</v>
          </cell>
          <cell r="K61">
            <v>36784.163642999978</v>
          </cell>
          <cell r="L61">
            <v>35674.907668999993</v>
          </cell>
          <cell r="M61">
            <v>1540.9840260000128</v>
          </cell>
          <cell r="N61">
            <v>2650.239999999998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 t="str">
            <v>Gross Margin on Monoliths</v>
          </cell>
          <cell r="J62">
            <v>-3.2741809263825417E-11</v>
          </cell>
          <cell r="K62">
            <v>0</v>
          </cell>
          <cell r="L62">
            <v>-3.2741809263825417E-11</v>
          </cell>
          <cell r="M62">
            <v>-3.2741809263825417E-11</v>
          </cell>
          <cell r="N62">
            <v>0</v>
          </cell>
        </row>
        <row r="63">
          <cell r="D63">
            <v>1945.24</v>
          </cell>
          <cell r="E63">
            <v>977.07881599999314</v>
          </cell>
          <cell r="F63">
            <v>2139.52</v>
          </cell>
          <cell r="G63">
            <v>968.16118400000687</v>
          </cell>
          <cell r="H63">
            <v>-194.27999999999997</v>
          </cell>
          <cell r="I63" t="str">
            <v>Marge Brute Produits</v>
          </cell>
          <cell r="J63">
            <v>23258.63397699999</v>
          </cell>
          <cell r="K63">
            <v>20864.57904399998</v>
          </cell>
          <cell r="L63">
            <v>21313.393976999992</v>
          </cell>
          <cell r="M63">
            <v>2394.0549330000104</v>
          </cell>
          <cell r="N63">
            <v>1945.239999999998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 t="str">
            <v>Services &amp; Royalties Sales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 t="str">
            <v>Vente de prest &amp; div Hors Groupe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 t="str">
            <v>Vente de prest &amp; div  IG Extra EJ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 t="str">
            <v>Vente de prest &amp; div Intra EJ Extra Site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 t="str">
            <v>Gross Margin on Services &amp; Royalties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3">
          <cell r="D73">
            <v>12481.24</v>
          </cell>
          <cell r="E73">
            <v>11592.009953999996</v>
          </cell>
          <cell r="F73">
            <v>17133.52</v>
          </cell>
          <cell r="G73">
            <v>889.23004600000422</v>
          </cell>
          <cell r="H73">
            <v>-4652.2800000000007</v>
          </cell>
          <cell r="I73" t="str">
            <v>Total Sales</v>
          </cell>
          <cell r="J73">
            <v>182601.06009899997</v>
          </cell>
          <cell r="K73">
            <v>175484.37472699999</v>
          </cell>
          <cell r="L73">
            <v>170119.82009899998</v>
          </cell>
          <cell r="M73">
            <v>7116.6853719999781</v>
          </cell>
          <cell r="N73">
            <v>12481.239999999991</v>
          </cell>
        </row>
        <row r="74">
          <cell r="D74">
            <v>1945.24</v>
          </cell>
          <cell r="E74">
            <v>977.07881599998939</v>
          </cell>
          <cell r="F74">
            <v>2139.519999999985</v>
          </cell>
          <cell r="G74">
            <v>968.16118400001062</v>
          </cell>
          <cell r="H74">
            <v>-194.27999999998497</v>
          </cell>
          <cell r="I74" t="str">
            <v>Total Gross Margin</v>
          </cell>
          <cell r="J74">
            <v>23258.633976999969</v>
          </cell>
          <cell r="K74">
            <v>20864.579043999984</v>
          </cell>
          <cell r="L74">
            <v>21313.393976999967</v>
          </cell>
          <cell r="M74">
            <v>2394.0549329999849</v>
          </cell>
          <cell r="N74">
            <v>1945.2400000000016</v>
          </cell>
        </row>
        <row r="75">
          <cell r="D75">
            <v>0.15585310433899197</v>
          </cell>
          <cell r="E75">
            <v>8.4288990423341884E-2</v>
          </cell>
          <cell r="F75">
            <v>0.12487334768337066</v>
          </cell>
          <cell r="I75" t="str">
            <v>% Sales</v>
          </cell>
          <cell r="J75">
            <v>0.12737403585932056</v>
          </cell>
          <cell r="K75">
            <v>0.11889707603003907</v>
          </cell>
          <cell r="L75">
            <v>0.12528460213863848</v>
          </cell>
        </row>
        <row r="77">
          <cell r="M77" t="str">
            <v>Average Exchange Rate :</v>
          </cell>
          <cell r="N77">
            <v>1</v>
          </cell>
        </row>
      </sheetData>
      <sheetData sheetId="9" refreshError="1"/>
      <sheetData sheetId="10" refreshError="1"/>
      <sheetData sheetId="11" refreshError="1">
        <row r="3">
          <cell r="C3" t="str">
            <v>HEADCOUNT</v>
          </cell>
        </row>
        <row r="4">
          <cell r="C4" t="str">
            <v>Décember 2001</v>
          </cell>
        </row>
        <row r="8">
          <cell r="C8" t="str">
            <v>Activity : Frames</v>
          </cell>
        </row>
        <row r="9">
          <cell r="C9" t="str">
            <v>Entity : FAURECIA AUTOSIZE ST GEISELHORING</v>
          </cell>
        </row>
        <row r="11">
          <cell r="F11" t="str">
            <v>MONTH</v>
          </cell>
        </row>
        <row r="12">
          <cell r="F12" t="str">
            <v>ACTUAL</v>
          </cell>
          <cell r="G12" t="str">
            <v>BUDGET</v>
          </cell>
          <cell r="H12" t="str">
            <v>ACTUAL</v>
          </cell>
          <cell r="I12" t="str">
            <v>Variance</v>
          </cell>
        </row>
        <row r="13">
          <cell r="G13" t="str">
            <v>2001</v>
          </cell>
          <cell r="H13" t="str">
            <v>M - 1</v>
          </cell>
          <cell r="I13" t="str">
            <v>Budget</v>
          </cell>
          <cell r="J13" t="str">
            <v>M - 1</v>
          </cell>
        </row>
        <row r="14">
          <cell r="C14" t="str">
            <v>Direct Labor on Payroll</v>
          </cell>
          <cell r="F14">
            <v>499</v>
          </cell>
          <cell r="G14">
            <v>478</v>
          </cell>
          <cell r="H14">
            <v>499</v>
          </cell>
          <cell r="I14">
            <v>-21</v>
          </cell>
          <cell r="J14">
            <v>0</v>
          </cell>
        </row>
        <row r="16">
          <cell r="C16" t="str">
            <v>Direct Labor Temporaries (fixed term contract, temps)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</row>
        <row r="17">
          <cell r="C17" t="str">
            <v>dont  Intérimaires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C18" t="str">
            <v>Whereof apprentices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C19" t="str">
            <v>dont  Intérimaires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I20">
            <v>0</v>
          </cell>
          <cell r="J20">
            <v>0</v>
          </cell>
        </row>
        <row r="21">
          <cell r="C21" t="str">
            <v>Direct Labor Others (long term absence)</v>
          </cell>
          <cell r="F21">
            <v>29</v>
          </cell>
          <cell r="G21">
            <v>23</v>
          </cell>
          <cell r="H21">
            <v>25</v>
          </cell>
          <cell r="I21">
            <v>-6</v>
          </cell>
          <cell r="J21">
            <v>-4</v>
          </cell>
        </row>
        <row r="22">
          <cell r="I22">
            <v>0</v>
          </cell>
          <cell r="J22">
            <v>0</v>
          </cell>
        </row>
        <row r="23">
          <cell r="C23" t="str">
            <v>Total Direct Labor</v>
          </cell>
          <cell r="F23">
            <v>528</v>
          </cell>
          <cell r="G23">
            <v>501</v>
          </cell>
          <cell r="H23">
            <v>524</v>
          </cell>
          <cell r="I23">
            <v>-27</v>
          </cell>
          <cell r="J23">
            <v>-4</v>
          </cell>
        </row>
        <row r="24">
          <cell r="C24" t="e">
            <v>#VALUE!</v>
          </cell>
          <cell r="F24">
            <v>528</v>
          </cell>
          <cell r="G24">
            <v>501</v>
          </cell>
          <cell r="H24">
            <v>524</v>
          </cell>
          <cell r="I24">
            <v>-27</v>
          </cell>
          <cell r="J24">
            <v>-4</v>
          </cell>
        </row>
        <row r="25">
          <cell r="C25" t="e">
            <v>#VALUE!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C26" t="str">
            <v>Main d'oeuvre Directe (moyen)</v>
          </cell>
          <cell r="F26">
            <v>511.83333333333331</v>
          </cell>
          <cell r="G26">
            <v>247.33333333333334</v>
          </cell>
          <cell r="H26">
            <v>510.36363636363637</v>
          </cell>
          <cell r="I26">
            <v>-264.5</v>
          </cell>
          <cell r="J26">
            <v>-1.4696969696969404</v>
          </cell>
        </row>
        <row r="27">
          <cell r="C27" t="str">
            <v>CA Produits</v>
          </cell>
          <cell r="F27">
            <v>182601.06009899999</v>
          </cell>
          <cell r="G27">
            <v>83170.830789999993</v>
          </cell>
          <cell r="H27">
            <v>170119.820099</v>
          </cell>
          <cell r="I27">
            <v>-99430.229309000002</v>
          </cell>
          <cell r="J27">
            <v>-12481.239999999991</v>
          </cell>
        </row>
        <row r="28">
          <cell r="C28" t="str">
            <v>Product Sales / Average Direct Labor Headcount (in thousands)</v>
          </cell>
          <cell r="F28">
            <v>356.75882793682842</v>
          </cell>
          <cell r="G28">
            <v>336.2702053504043</v>
          </cell>
          <cell r="H28">
            <v>366.663666405041</v>
          </cell>
        </row>
        <row r="29">
          <cell r="I29">
            <v>0</v>
          </cell>
          <cell r="J29">
            <v>0</v>
          </cell>
        </row>
        <row r="30">
          <cell r="C30" t="str">
            <v>Production</v>
          </cell>
          <cell r="F30">
            <v>147</v>
          </cell>
          <cell r="G30">
            <v>153</v>
          </cell>
          <cell r="H30">
            <v>145</v>
          </cell>
          <cell r="I30">
            <v>6</v>
          </cell>
          <cell r="J30">
            <v>-2</v>
          </cell>
        </row>
        <row r="31">
          <cell r="C31" t="str">
            <v>Production</v>
          </cell>
          <cell r="D31" t="str">
            <v>Ind labor-Procurement</v>
          </cell>
          <cell r="F31">
            <v>1</v>
          </cell>
          <cell r="G31">
            <v>1</v>
          </cell>
          <cell r="H31">
            <v>1</v>
          </cell>
          <cell r="I31">
            <v>0</v>
          </cell>
          <cell r="J31">
            <v>0</v>
          </cell>
        </row>
        <row r="32">
          <cell r="D32" t="str">
            <v>Ind labor-Procurement (spec)</v>
          </cell>
          <cell r="G32">
            <v>1</v>
          </cell>
          <cell r="I32">
            <v>1</v>
          </cell>
          <cell r="J32">
            <v>0</v>
          </cell>
        </row>
        <row r="33">
          <cell r="D33" t="str">
            <v>Ind labor-Procurement (country)</v>
          </cell>
          <cell r="G33">
            <v>0</v>
          </cell>
          <cell r="I33">
            <v>0</v>
          </cell>
          <cell r="J33">
            <v>0</v>
          </cell>
        </row>
        <row r="34">
          <cell r="D34" t="str">
            <v>Ind labor-Procurement (BG)</v>
          </cell>
          <cell r="G34">
            <v>0</v>
          </cell>
          <cell r="I34">
            <v>0</v>
          </cell>
          <cell r="J34">
            <v>0</v>
          </cell>
        </row>
        <row r="35">
          <cell r="D35" t="str">
            <v>Ind labor-Warehousing</v>
          </cell>
          <cell r="F35">
            <v>25</v>
          </cell>
          <cell r="G35">
            <v>27</v>
          </cell>
          <cell r="H35">
            <v>25</v>
          </cell>
          <cell r="I35">
            <v>2</v>
          </cell>
          <cell r="J35">
            <v>0</v>
          </cell>
        </row>
        <row r="36">
          <cell r="D36" t="str">
            <v>Ind labor-Warehousing (spec)</v>
          </cell>
          <cell r="G36">
            <v>27</v>
          </cell>
          <cell r="I36">
            <v>27</v>
          </cell>
          <cell r="J36">
            <v>0</v>
          </cell>
        </row>
        <row r="37">
          <cell r="D37" t="str">
            <v>Ind labor-Warehousing (country)</v>
          </cell>
          <cell r="G37">
            <v>0</v>
          </cell>
          <cell r="I37">
            <v>0</v>
          </cell>
          <cell r="J37">
            <v>0</v>
          </cell>
        </row>
        <row r="38">
          <cell r="D38" t="str">
            <v>Ind labor-Warehousing (BG)</v>
          </cell>
          <cell r="G38">
            <v>0</v>
          </cell>
          <cell r="I38">
            <v>0</v>
          </cell>
          <cell r="J38">
            <v>0</v>
          </cell>
        </row>
        <row r="39">
          <cell r="D39" t="str">
            <v>Ind labor-Prod controls</v>
          </cell>
          <cell r="F39">
            <v>71</v>
          </cell>
          <cell r="G39">
            <v>72</v>
          </cell>
          <cell r="H39">
            <v>68</v>
          </cell>
          <cell r="I39">
            <v>1</v>
          </cell>
          <cell r="J39">
            <v>-3</v>
          </cell>
        </row>
        <row r="40">
          <cell r="D40" t="str">
            <v>Ind labor-Prod controls (spec)</v>
          </cell>
          <cell r="G40">
            <v>72</v>
          </cell>
          <cell r="I40">
            <v>72</v>
          </cell>
          <cell r="J40">
            <v>0</v>
          </cell>
        </row>
        <row r="41">
          <cell r="D41" t="str">
            <v>Ind labor-Prod controls (country)</v>
          </cell>
          <cell r="G41">
            <v>0</v>
          </cell>
          <cell r="I41">
            <v>0</v>
          </cell>
          <cell r="J41">
            <v>0</v>
          </cell>
        </row>
        <row r="42">
          <cell r="D42" t="str">
            <v>Ind labor-Prod controls (BG)</v>
          </cell>
          <cell r="G42">
            <v>0</v>
          </cell>
          <cell r="I42">
            <v>0</v>
          </cell>
          <cell r="J42">
            <v>0</v>
          </cell>
        </row>
        <row r="43">
          <cell r="D43" t="str">
            <v>Ind labor-Technics, methods</v>
          </cell>
          <cell r="F43">
            <v>15</v>
          </cell>
          <cell r="G43">
            <v>16</v>
          </cell>
          <cell r="H43">
            <v>15</v>
          </cell>
          <cell r="I43">
            <v>1</v>
          </cell>
          <cell r="J43">
            <v>0</v>
          </cell>
        </row>
        <row r="44">
          <cell r="D44" t="str">
            <v>Ind labor-Technics, methods (spec)</v>
          </cell>
          <cell r="G44">
            <v>16</v>
          </cell>
          <cell r="I44">
            <v>16</v>
          </cell>
          <cell r="J44">
            <v>0</v>
          </cell>
        </row>
        <row r="45">
          <cell r="D45" t="str">
            <v>Ind labor-Technics, meth (country)</v>
          </cell>
          <cell r="G45">
            <v>0</v>
          </cell>
          <cell r="I45">
            <v>0</v>
          </cell>
          <cell r="J45">
            <v>0</v>
          </cell>
        </row>
        <row r="46">
          <cell r="D46" t="str">
            <v>Ind labor-Technics, methods (BG)</v>
          </cell>
          <cell r="G46">
            <v>0</v>
          </cell>
          <cell r="I46">
            <v>0</v>
          </cell>
          <cell r="J46">
            <v>0</v>
          </cell>
        </row>
        <row r="47">
          <cell r="D47" t="str">
            <v>Ind labor-Tooling maintenance</v>
          </cell>
          <cell r="F47">
            <v>12</v>
          </cell>
          <cell r="G47">
            <v>15</v>
          </cell>
          <cell r="H47">
            <v>13</v>
          </cell>
          <cell r="I47">
            <v>3</v>
          </cell>
          <cell r="J47">
            <v>1</v>
          </cell>
        </row>
        <row r="48">
          <cell r="D48" t="str">
            <v>Ind labor-Tooling maintenance (spec)</v>
          </cell>
          <cell r="G48">
            <v>15</v>
          </cell>
          <cell r="I48">
            <v>15</v>
          </cell>
          <cell r="J48">
            <v>0</v>
          </cell>
        </row>
        <row r="49">
          <cell r="D49" t="str">
            <v>Ind labor-Tooling maintenance (country)</v>
          </cell>
          <cell r="G49">
            <v>0</v>
          </cell>
          <cell r="I49">
            <v>0</v>
          </cell>
          <cell r="J49">
            <v>0</v>
          </cell>
        </row>
        <row r="50">
          <cell r="D50" t="str">
            <v>Ind labor-Tooling maintenance (BG)</v>
          </cell>
          <cell r="G50">
            <v>0</v>
          </cell>
          <cell r="I50">
            <v>0</v>
          </cell>
          <cell r="J50">
            <v>0</v>
          </cell>
        </row>
        <row r="51">
          <cell r="D51" t="str">
            <v>Ind labor-Quality</v>
          </cell>
          <cell r="F51">
            <v>23</v>
          </cell>
          <cell r="G51">
            <v>22</v>
          </cell>
          <cell r="H51">
            <v>23</v>
          </cell>
          <cell r="I51">
            <v>-1</v>
          </cell>
          <cell r="J51">
            <v>0</v>
          </cell>
        </row>
        <row r="52">
          <cell r="D52" t="str">
            <v>Ind labor-Quality (spec)</v>
          </cell>
          <cell r="G52">
            <v>22</v>
          </cell>
          <cell r="I52">
            <v>22</v>
          </cell>
          <cell r="J52">
            <v>0</v>
          </cell>
        </row>
        <row r="53">
          <cell r="D53" t="str">
            <v>Ind labor-Quality (country)</v>
          </cell>
          <cell r="G53">
            <v>0</v>
          </cell>
          <cell r="I53">
            <v>0</v>
          </cell>
          <cell r="J53">
            <v>0</v>
          </cell>
        </row>
        <row r="54">
          <cell r="D54" t="str">
            <v>Ind labor-Quality (BG)</v>
          </cell>
          <cell r="G54">
            <v>0</v>
          </cell>
          <cell r="I54">
            <v>0</v>
          </cell>
          <cell r="J54">
            <v>0</v>
          </cell>
        </row>
        <row r="55">
          <cell r="C55" t="str">
            <v>Research &amp; Development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</row>
        <row r="56">
          <cell r="D56" t="str">
            <v>Ind labor-R&amp;D (spec)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</row>
        <row r="57">
          <cell r="D57" t="str">
            <v>Ind labor-R&amp;D (country)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D58" t="str">
            <v>Ind labor-R&amp;D (BG)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</row>
        <row r="59">
          <cell r="C59" t="str">
            <v>General &amp; Administration</v>
          </cell>
          <cell r="F59">
            <v>28</v>
          </cell>
          <cell r="G59">
            <v>27</v>
          </cell>
          <cell r="H59">
            <v>30</v>
          </cell>
          <cell r="I59">
            <v>-1</v>
          </cell>
          <cell r="J59">
            <v>2</v>
          </cell>
        </row>
        <row r="60">
          <cell r="C60" t="str">
            <v>A&amp;C</v>
          </cell>
          <cell r="D60" t="str">
            <v>Ind labor-sales &amp; mkg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</row>
        <row r="61">
          <cell r="D61" t="str">
            <v>Ind labor-sales &amp; mkg (spec)</v>
          </cell>
          <cell r="G61">
            <v>0</v>
          </cell>
          <cell r="I61">
            <v>0</v>
          </cell>
          <cell r="J61">
            <v>0</v>
          </cell>
        </row>
        <row r="62">
          <cell r="D62" t="str">
            <v>Ind labor-sales &amp; mkg (country)</v>
          </cell>
          <cell r="G62">
            <v>0</v>
          </cell>
          <cell r="I62">
            <v>0</v>
          </cell>
          <cell r="J62">
            <v>0</v>
          </cell>
        </row>
        <row r="63">
          <cell r="D63" t="str">
            <v>Ind labor-sales &amp; mkg (BG)</v>
          </cell>
          <cell r="G63">
            <v>0</v>
          </cell>
          <cell r="I63">
            <v>0</v>
          </cell>
          <cell r="J63">
            <v>0</v>
          </cell>
        </row>
        <row r="64">
          <cell r="D64" t="str">
            <v>Ind labor-Administration</v>
          </cell>
          <cell r="F64">
            <v>2</v>
          </cell>
          <cell r="G64">
            <v>2</v>
          </cell>
          <cell r="H64">
            <v>2</v>
          </cell>
          <cell r="I64">
            <v>0</v>
          </cell>
          <cell r="J64">
            <v>0</v>
          </cell>
        </row>
        <row r="65">
          <cell r="D65" t="str">
            <v>Ind labor-Administration (spec)</v>
          </cell>
          <cell r="G65">
            <v>2</v>
          </cell>
          <cell r="I65">
            <v>2</v>
          </cell>
          <cell r="J65">
            <v>0</v>
          </cell>
        </row>
        <row r="66">
          <cell r="D66" t="str">
            <v>Ind labor-Administration (country)</v>
          </cell>
          <cell r="G66">
            <v>0</v>
          </cell>
          <cell r="I66">
            <v>0</v>
          </cell>
          <cell r="J66">
            <v>0</v>
          </cell>
        </row>
        <row r="67">
          <cell r="D67" t="str">
            <v>Ind labor-Administration (BG)</v>
          </cell>
          <cell r="G67">
            <v>0</v>
          </cell>
          <cell r="I67">
            <v>0</v>
          </cell>
          <cell r="J67">
            <v>0</v>
          </cell>
        </row>
        <row r="68">
          <cell r="D68" t="str">
            <v>Ind labor-Finance</v>
          </cell>
          <cell r="F68">
            <v>5.5</v>
          </cell>
          <cell r="G68">
            <v>5.5</v>
          </cell>
          <cell r="H68">
            <v>6</v>
          </cell>
          <cell r="I68">
            <v>0</v>
          </cell>
          <cell r="J68">
            <v>0.5</v>
          </cell>
        </row>
        <row r="69">
          <cell r="D69" t="str">
            <v>Ind labor-Finance (spec)</v>
          </cell>
          <cell r="G69">
            <v>5.5</v>
          </cell>
          <cell r="I69">
            <v>5.5</v>
          </cell>
          <cell r="J69">
            <v>0</v>
          </cell>
        </row>
        <row r="70">
          <cell r="D70" t="str">
            <v>Ind labor-Finance (country)</v>
          </cell>
          <cell r="G70">
            <v>0</v>
          </cell>
          <cell r="I70">
            <v>0</v>
          </cell>
          <cell r="J70">
            <v>0</v>
          </cell>
        </row>
        <row r="71">
          <cell r="D71" t="str">
            <v>Ind labor-Finance (BG)</v>
          </cell>
          <cell r="G71">
            <v>0</v>
          </cell>
          <cell r="I71">
            <v>0</v>
          </cell>
          <cell r="J71">
            <v>0</v>
          </cell>
        </row>
        <row r="72">
          <cell r="D72" t="str">
            <v>Ind labor-Information systems</v>
          </cell>
          <cell r="F72">
            <v>2</v>
          </cell>
          <cell r="G72">
            <v>2</v>
          </cell>
          <cell r="H72">
            <v>2</v>
          </cell>
          <cell r="I72">
            <v>0</v>
          </cell>
          <cell r="J72">
            <v>0</v>
          </cell>
        </row>
        <row r="73">
          <cell r="D73" t="str">
            <v>Ind labor-Information systems (spec)</v>
          </cell>
          <cell r="G73">
            <v>2</v>
          </cell>
          <cell r="I73">
            <v>2</v>
          </cell>
          <cell r="J73">
            <v>0</v>
          </cell>
        </row>
        <row r="74">
          <cell r="D74" t="str">
            <v>Ind labor-Information systems (country)</v>
          </cell>
          <cell r="G74">
            <v>0</v>
          </cell>
          <cell r="I74">
            <v>0</v>
          </cell>
          <cell r="J74">
            <v>0</v>
          </cell>
        </row>
        <row r="75">
          <cell r="D75" t="str">
            <v>Ind labor-Information systems (BG)</v>
          </cell>
          <cell r="G75">
            <v>0</v>
          </cell>
          <cell r="I75">
            <v>0</v>
          </cell>
          <cell r="J75">
            <v>0</v>
          </cell>
        </row>
        <row r="76">
          <cell r="D76" t="str">
            <v>Ind labor-Human resources</v>
          </cell>
          <cell r="F76">
            <v>5.5</v>
          </cell>
          <cell r="G76">
            <v>6</v>
          </cell>
          <cell r="H76">
            <v>6</v>
          </cell>
          <cell r="I76">
            <v>0.5</v>
          </cell>
          <cell r="J76">
            <v>0.5</v>
          </cell>
        </row>
        <row r="77">
          <cell r="D77" t="str">
            <v>Ind labor-Human resources (spec)</v>
          </cell>
          <cell r="G77">
            <v>6</v>
          </cell>
          <cell r="I77">
            <v>6</v>
          </cell>
          <cell r="J77">
            <v>0</v>
          </cell>
        </row>
        <row r="78">
          <cell r="D78" t="str">
            <v>Ind labor-Human resources (country)</v>
          </cell>
          <cell r="G78">
            <v>0</v>
          </cell>
          <cell r="I78">
            <v>0</v>
          </cell>
          <cell r="J78">
            <v>0</v>
          </cell>
        </row>
        <row r="79">
          <cell r="D79" t="str">
            <v>Ind labor-Human resources (BG)</v>
          </cell>
          <cell r="G79">
            <v>0</v>
          </cell>
          <cell r="I79">
            <v>0</v>
          </cell>
          <cell r="J79">
            <v>0</v>
          </cell>
        </row>
        <row r="80">
          <cell r="D80" t="str">
            <v>Ind labor-General services</v>
          </cell>
          <cell r="F80">
            <v>13</v>
          </cell>
          <cell r="G80">
            <v>11.5</v>
          </cell>
          <cell r="H80">
            <v>14</v>
          </cell>
          <cell r="I80">
            <v>-1.5</v>
          </cell>
          <cell r="J80">
            <v>1</v>
          </cell>
        </row>
        <row r="81">
          <cell r="D81" t="str">
            <v>Ind labor-General services (spec)</v>
          </cell>
          <cell r="G81">
            <v>11.5</v>
          </cell>
          <cell r="I81">
            <v>11.5</v>
          </cell>
          <cell r="J81">
            <v>0</v>
          </cell>
        </row>
        <row r="82">
          <cell r="D82" t="str">
            <v>Ind labor-General service (country)</v>
          </cell>
          <cell r="G82">
            <v>0</v>
          </cell>
          <cell r="I82">
            <v>0</v>
          </cell>
          <cell r="J82">
            <v>0</v>
          </cell>
        </row>
        <row r="83">
          <cell r="D83" t="str">
            <v>Ind labor-General services (BG)</v>
          </cell>
          <cell r="G83">
            <v>0</v>
          </cell>
          <cell r="I83">
            <v>0</v>
          </cell>
          <cell r="J83">
            <v>0</v>
          </cell>
        </row>
        <row r="84">
          <cell r="I84">
            <v>0</v>
          </cell>
          <cell r="J84">
            <v>0</v>
          </cell>
        </row>
        <row r="85">
          <cell r="I85">
            <v>0</v>
          </cell>
          <cell r="J85">
            <v>0</v>
          </cell>
        </row>
        <row r="86">
          <cell r="C86" t="str">
            <v>Indirect Labor on Payroll</v>
          </cell>
          <cell r="F86">
            <v>165</v>
          </cell>
          <cell r="G86">
            <v>171</v>
          </cell>
          <cell r="H86">
            <v>164</v>
          </cell>
          <cell r="I86">
            <v>6</v>
          </cell>
          <cell r="J86">
            <v>-1</v>
          </cell>
        </row>
        <row r="87">
          <cell r="I87">
            <v>0</v>
          </cell>
          <cell r="J87">
            <v>0</v>
          </cell>
        </row>
        <row r="88">
          <cell r="C88" t="str">
            <v>Indirect Labor Temporaries (fixed term contract, temps)</v>
          </cell>
          <cell r="F88">
            <v>9</v>
          </cell>
          <cell r="G88">
            <v>8</v>
          </cell>
          <cell r="H88">
            <v>9</v>
          </cell>
          <cell r="I88">
            <v>-1</v>
          </cell>
          <cell r="J88">
            <v>0</v>
          </cell>
        </row>
        <row r="89">
          <cell r="C89" t="str">
            <v>dont Contrats à durée déterminée</v>
          </cell>
          <cell r="F89">
            <v>3</v>
          </cell>
          <cell r="G89">
            <v>2</v>
          </cell>
          <cell r="H89">
            <v>3</v>
          </cell>
          <cell r="I89">
            <v>-1</v>
          </cell>
          <cell r="J89">
            <v>0</v>
          </cell>
        </row>
        <row r="90">
          <cell r="C90" t="str">
            <v>Whereof apprentices</v>
          </cell>
          <cell r="F90">
            <v>6</v>
          </cell>
          <cell r="G90">
            <v>6</v>
          </cell>
          <cell r="H90">
            <v>6</v>
          </cell>
          <cell r="I90">
            <v>0</v>
          </cell>
          <cell r="J90">
            <v>0</v>
          </cell>
        </row>
        <row r="91">
          <cell r="C91" t="str">
            <v>dont  Intérimaires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I92">
            <v>0</v>
          </cell>
          <cell r="J92">
            <v>0</v>
          </cell>
        </row>
        <row r="93">
          <cell r="C93" t="str">
            <v>Indirect Labor Others (long term absence)</v>
          </cell>
          <cell r="F93">
            <v>1</v>
          </cell>
          <cell r="G93">
            <v>1</v>
          </cell>
          <cell r="H93">
            <v>2</v>
          </cell>
          <cell r="I93">
            <v>0</v>
          </cell>
          <cell r="J93">
            <v>1</v>
          </cell>
        </row>
        <row r="94">
          <cell r="I94">
            <v>0</v>
          </cell>
          <cell r="J94">
            <v>0</v>
          </cell>
        </row>
        <row r="95">
          <cell r="C95" t="str">
            <v>Total Indirect Labour</v>
          </cell>
          <cell r="F95">
            <v>175</v>
          </cell>
          <cell r="G95">
            <v>180</v>
          </cell>
          <cell r="H95">
            <v>175</v>
          </cell>
          <cell r="I95">
            <v>5</v>
          </cell>
          <cell r="J95">
            <v>0</v>
          </cell>
        </row>
        <row r="96">
          <cell r="I96">
            <v>0</v>
          </cell>
          <cell r="J96">
            <v>0</v>
          </cell>
        </row>
        <row r="97">
          <cell r="C97" t="str">
            <v>Total Headcount on Payroll</v>
          </cell>
          <cell r="F97">
            <v>664</v>
          </cell>
          <cell r="G97">
            <v>649</v>
          </cell>
          <cell r="H97">
            <v>663</v>
          </cell>
          <cell r="I97">
            <v>-15</v>
          </cell>
          <cell r="J97">
            <v>-1</v>
          </cell>
        </row>
        <row r="98">
          <cell r="I98">
            <v>0</v>
          </cell>
          <cell r="J98">
            <v>0</v>
          </cell>
        </row>
        <row r="99">
          <cell r="C99" t="str">
            <v>Total Temporaries Headcount</v>
          </cell>
          <cell r="F99">
            <v>9</v>
          </cell>
          <cell r="G99">
            <v>8</v>
          </cell>
          <cell r="H99">
            <v>9</v>
          </cell>
          <cell r="I99">
            <v>-1</v>
          </cell>
          <cell r="J99">
            <v>0</v>
          </cell>
        </row>
        <row r="100">
          <cell r="C100" t="str">
            <v>dont Contrats à durée déterminée</v>
          </cell>
          <cell r="F100">
            <v>3</v>
          </cell>
          <cell r="G100">
            <v>2</v>
          </cell>
          <cell r="H100">
            <v>3</v>
          </cell>
          <cell r="I100">
            <v>-1</v>
          </cell>
          <cell r="J100">
            <v>0</v>
          </cell>
        </row>
        <row r="101">
          <cell r="C101" t="str">
            <v>Whereof Apprentices</v>
          </cell>
          <cell r="F101">
            <v>6</v>
          </cell>
          <cell r="G101">
            <v>6</v>
          </cell>
          <cell r="H101">
            <v>6</v>
          </cell>
          <cell r="I101">
            <v>0</v>
          </cell>
          <cell r="J101">
            <v>0</v>
          </cell>
        </row>
        <row r="102">
          <cell r="C102" t="str">
            <v>dont  Intérimaires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03">
          <cell r="I103">
            <v>0</v>
          </cell>
          <cell r="J103">
            <v>0</v>
          </cell>
        </row>
        <row r="104">
          <cell r="C104" t="str">
            <v>Total other Headcount (long term absence)</v>
          </cell>
          <cell r="F104">
            <v>30</v>
          </cell>
          <cell r="G104">
            <v>24</v>
          </cell>
          <cell r="H104">
            <v>27</v>
          </cell>
          <cell r="I104">
            <v>-6</v>
          </cell>
          <cell r="J104">
            <v>-3</v>
          </cell>
        </row>
        <row r="105">
          <cell r="I105">
            <v>0</v>
          </cell>
          <cell r="J105">
            <v>0</v>
          </cell>
        </row>
        <row r="106">
          <cell r="C106" t="str">
            <v>Total Headcount</v>
          </cell>
          <cell r="F106">
            <v>703</v>
          </cell>
          <cell r="G106">
            <v>681</v>
          </cell>
          <cell r="H106">
            <v>699</v>
          </cell>
          <cell r="I106">
            <v>-22</v>
          </cell>
          <cell r="J106">
            <v>-4</v>
          </cell>
        </row>
        <row r="107">
          <cell r="C107" t="str">
            <v>Main d'oeuvre employée (moyen)</v>
          </cell>
          <cell r="F107">
            <v>685.33333333333337</v>
          </cell>
          <cell r="G107">
            <v>338.04166666666669</v>
          </cell>
          <cell r="H107">
            <v>683.72727272727275</v>
          </cell>
        </row>
        <row r="108">
          <cell r="C108" t="str">
            <v>CA total</v>
          </cell>
          <cell r="F108">
            <v>182601.06009899999</v>
          </cell>
          <cell r="G108">
            <v>83170.830789999993</v>
          </cell>
          <cell r="H108">
            <v>170119.820099</v>
          </cell>
        </row>
        <row r="109">
          <cell r="C109" t="str">
            <v>Total Sales / Total Average Labor (in thousands)</v>
          </cell>
          <cell r="F109">
            <v>266.44123555301553</v>
          </cell>
          <cell r="G109">
            <v>246.03721668433374</v>
          </cell>
          <cell r="H109">
            <v>273.69363425048533</v>
          </cell>
        </row>
        <row r="110">
          <cell r="C110" t="str">
            <v>VA / Effectif employé(en K Devise)</v>
          </cell>
          <cell r="F110" t="e">
            <v>#DIV/0!</v>
          </cell>
          <cell r="G110" t="e">
            <v>#DIV/0!</v>
          </cell>
          <cell r="H110" t="e">
            <v>#DIV/0!</v>
          </cell>
        </row>
      </sheetData>
      <sheetData sheetId="12" refreshError="1"/>
      <sheetData sheetId="13" refreshError="1"/>
      <sheetData sheetId="14" refreshError="1">
        <row r="3">
          <cell r="C3" t="str">
            <v>INVENTORIES</v>
          </cell>
        </row>
        <row r="4">
          <cell r="C4" t="str">
            <v>Décember 2001</v>
          </cell>
        </row>
        <row r="7">
          <cell r="C7" t="str">
            <v>Activity : Frames</v>
          </cell>
          <cell r="I7" t="str">
            <v>Currency :</v>
          </cell>
          <cell r="J7" t="str">
            <v>EUR</v>
          </cell>
        </row>
        <row r="8">
          <cell r="C8" t="str">
            <v>Entity : FAURECIA AUTOSIZE ST GEISELHORING</v>
          </cell>
          <cell r="I8" t="str">
            <v>Unit :</v>
          </cell>
          <cell r="J8" t="str">
            <v>Thousands</v>
          </cell>
        </row>
        <row r="10">
          <cell r="D10" t="str">
            <v>END OF PERIOD</v>
          </cell>
        </row>
        <row r="11">
          <cell r="D11" t="str">
            <v>DEC.</v>
          </cell>
          <cell r="E11" t="str">
            <v>M-1</v>
          </cell>
          <cell r="F11" t="str">
            <v>ACTUAL</v>
          </cell>
          <cell r="G11" t="str">
            <v>BUDGET</v>
          </cell>
          <cell r="H11" t="str">
            <v>LAST</v>
          </cell>
          <cell r="I11" t="str">
            <v>Variance Actual vs :</v>
          </cell>
        </row>
        <row r="12">
          <cell r="D12">
            <v>2000</v>
          </cell>
          <cell r="G12" t="str">
            <v>2001</v>
          </cell>
          <cell r="H12" t="str">
            <v>FORECAST</v>
          </cell>
          <cell r="I12" t="str">
            <v>Budget</v>
          </cell>
          <cell r="J12" t="str">
            <v>FORECAST</v>
          </cell>
        </row>
        <row r="14">
          <cell r="C14" t="str">
            <v>Raw Materials</v>
          </cell>
          <cell r="D14">
            <v>0</v>
          </cell>
          <cell r="E14">
            <v>3168</v>
          </cell>
          <cell r="F14">
            <v>3104</v>
          </cell>
          <cell r="G14">
            <v>2556.4594999999999</v>
          </cell>
          <cell r="H14">
            <v>2556.4594999999999</v>
          </cell>
          <cell r="I14">
            <v>-547.54050000000007</v>
          </cell>
          <cell r="J14">
            <v>-547.54050000000007</v>
          </cell>
        </row>
        <row r="15">
          <cell r="C15" t="str">
            <v>Work in Progress</v>
          </cell>
          <cell r="D15">
            <v>0</v>
          </cell>
          <cell r="E15">
            <v>188</v>
          </cell>
          <cell r="F15">
            <v>264</v>
          </cell>
          <cell r="G15">
            <v>306.77514000000002</v>
          </cell>
          <cell r="H15">
            <v>306.77514000000002</v>
          </cell>
          <cell r="I15">
            <v>42.775140000000022</v>
          </cell>
          <cell r="J15">
            <v>42.775140000000022</v>
          </cell>
        </row>
        <row r="18">
          <cell r="C18" t="str">
            <v>Materials and WIP</v>
          </cell>
          <cell r="D18">
            <v>0</v>
          </cell>
          <cell r="E18">
            <v>3356</v>
          </cell>
          <cell r="F18">
            <v>3368</v>
          </cell>
          <cell r="G18">
            <v>2863.2346400000001</v>
          </cell>
          <cell r="H18">
            <v>2863.2346400000001</v>
          </cell>
          <cell r="I18">
            <v>-504.76535999999987</v>
          </cell>
          <cell r="J18">
            <v>-504.76535999999987</v>
          </cell>
        </row>
        <row r="19">
          <cell r="C19" t="str">
            <v>En Jours de Production</v>
          </cell>
          <cell r="D19" t="e">
            <v>#VALUE!</v>
          </cell>
          <cell r="E19" t="e">
            <v>#VALUE!</v>
          </cell>
          <cell r="F19" t="e">
            <v>#VALUE!</v>
          </cell>
          <cell r="G19" t="e">
            <v>#VALUE!</v>
          </cell>
          <cell r="H19" t="e">
            <v>#VALUE!</v>
          </cell>
          <cell r="I19" t="e">
            <v>#VALUE!</v>
          </cell>
          <cell r="J19" t="e">
            <v>#VALUE!</v>
          </cell>
        </row>
        <row r="23">
          <cell r="C23" t="str">
            <v>Finished Products</v>
          </cell>
          <cell r="D23">
            <v>0</v>
          </cell>
          <cell r="E23">
            <v>576</v>
          </cell>
          <cell r="F23">
            <v>827</v>
          </cell>
          <cell r="G23">
            <v>848.74455399999999</v>
          </cell>
          <cell r="H23">
            <v>848.74455399999999</v>
          </cell>
          <cell r="I23">
            <v>21.744553999999994</v>
          </cell>
          <cell r="J23">
            <v>21.744553999999994</v>
          </cell>
        </row>
        <row r="24">
          <cell r="C24" t="str">
            <v>En Jours de CA</v>
          </cell>
          <cell r="D24" t="e">
            <v>#VALUE!</v>
          </cell>
          <cell r="E24" t="e">
            <v>#VALUE!</v>
          </cell>
          <cell r="F24" t="e">
            <v>#VALUE!</v>
          </cell>
          <cell r="G24" t="e">
            <v>#VALUE!</v>
          </cell>
          <cell r="H24" t="e">
            <v>#VALUE!</v>
          </cell>
          <cell r="I24" t="e">
            <v>#VALUE!</v>
          </cell>
          <cell r="J24" t="e">
            <v>#VALUE!</v>
          </cell>
        </row>
        <row r="27">
          <cell r="C27" t="str">
            <v>Total Production Inventories</v>
          </cell>
          <cell r="D27">
            <v>0</v>
          </cell>
          <cell r="E27">
            <v>3932</v>
          </cell>
          <cell r="F27">
            <v>4195</v>
          </cell>
          <cell r="G27">
            <v>3711.979194</v>
          </cell>
          <cell r="H27">
            <v>3711.979194</v>
          </cell>
          <cell r="I27">
            <v>-483.02080599999999</v>
          </cell>
          <cell r="J27">
            <v>-483.02080599999999</v>
          </cell>
        </row>
        <row r="28">
          <cell r="C28" t="str">
            <v>% Product Sales</v>
          </cell>
          <cell r="D28">
            <v>0</v>
          </cell>
          <cell r="E28">
            <v>2.1011928254246179E-2</v>
          </cell>
          <cell r="F28">
            <v>2.297357965898783E-2</v>
          </cell>
          <cell r="G28">
            <v>2.1152761889910165E-2</v>
          </cell>
          <cell r="H28">
            <v>2.1152761889910165E-2</v>
          </cell>
        </row>
        <row r="31">
          <cell r="C31" t="str">
            <v>Tooling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C32" t="str">
            <v>Engineering/Prototypes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4">
          <cell r="C34" t="str">
            <v>Total Inventories</v>
          </cell>
          <cell r="D34">
            <v>0</v>
          </cell>
          <cell r="E34">
            <v>3932</v>
          </cell>
          <cell r="F34">
            <v>4195</v>
          </cell>
          <cell r="G34">
            <v>3711.979194</v>
          </cell>
          <cell r="H34">
            <v>3711.979194</v>
          </cell>
          <cell r="I34">
            <v>-483.02080599999999</v>
          </cell>
          <cell r="J34">
            <v>-483.02080599999999</v>
          </cell>
        </row>
        <row r="35">
          <cell r="C35" t="str">
            <v>% Sales</v>
          </cell>
          <cell r="D35">
            <v>0</v>
          </cell>
          <cell r="E35">
            <v>2.1011928254246179E-2</v>
          </cell>
          <cell r="F35">
            <v>2.297357965898783E-2</v>
          </cell>
          <cell r="G35">
            <v>2.1152761889910165E-2</v>
          </cell>
          <cell r="H35">
            <v>2.1152761889910165E-2</v>
          </cell>
        </row>
        <row r="37">
          <cell r="I37" t="str">
            <v>Average Exchange Rate :</v>
          </cell>
          <cell r="J37">
            <v>1</v>
          </cell>
        </row>
      </sheetData>
      <sheetData sheetId="15" refreshError="1">
        <row r="3">
          <cell r="C3" t="str">
            <v>INVESTMENTS</v>
          </cell>
        </row>
        <row r="4">
          <cell r="C4" t="str">
            <v>Décember 2001</v>
          </cell>
        </row>
        <row r="8">
          <cell r="C8" t="str">
            <v>Activity : Frames</v>
          </cell>
          <cell r="K8" t="str">
            <v>Currency :</v>
          </cell>
          <cell r="M8" t="str">
            <v>EUR</v>
          </cell>
        </row>
        <row r="9">
          <cell r="C9" t="str">
            <v>Entity : FAURECIA AUTOSIZE ST GEISELHORING</v>
          </cell>
          <cell r="K9" t="str">
            <v>Unit :</v>
          </cell>
          <cell r="M9" t="str">
            <v>Thousands</v>
          </cell>
        </row>
        <row r="11">
          <cell r="C11" t="str">
            <v>MONTH</v>
          </cell>
          <cell r="G11" t="str">
            <v>YEAR TO DATE</v>
          </cell>
          <cell r="L11" t="str">
            <v>TOTAL
YEAR</v>
          </cell>
        </row>
        <row r="12">
          <cell r="C12" t="str">
            <v>ACTUAL</v>
          </cell>
          <cell r="D12" t="str">
            <v>BUDGET</v>
          </cell>
          <cell r="E12" t="str">
            <v>Variance</v>
          </cell>
          <cell r="G12" t="str">
            <v>ACTUAL</v>
          </cell>
          <cell r="H12" t="str">
            <v>BUDGET</v>
          </cell>
          <cell r="I12" t="str">
            <v>LAST</v>
          </cell>
          <cell r="J12" t="str">
            <v>Variance Actual vs :</v>
          </cell>
          <cell r="L12" t="str">
            <v>RS1-BS2</v>
          </cell>
          <cell r="M12" t="str">
            <v>PRIOR</v>
          </cell>
        </row>
        <row r="13">
          <cell r="D13" t="str">
            <v>2001</v>
          </cell>
          <cell r="H13" t="str">
            <v>2001</v>
          </cell>
          <cell r="I13" t="str">
            <v>FORECAST</v>
          </cell>
          <cell r="J13" t="str">
            <v>Budget</v>
          </cell>
          <cell r="K13" t="str">
            <v>FORECAST</v>
          </cell>
          <cell r="M13" t="str">
            <v>YEAR</v>
          </cell>
        </row>
        <row r="15">
          <cell r="C15">
            <v>113</v>
          </cell>
          <cell r="D15">
            <v>40.90335200000019</v>
          </cell>
          <cell r="E15">
            <v>-72.096647999999817</v>
          </cell>
          <cell r="F15" t="str">
            <v>Commitments</v>
          </cell>
          <cell r="G15">
            <v>2454</v>
          </cell>
          <cell r="H15">
            <v>2936.3493820000003</v>
          </cell>
          <cell r="I15">
            <v>1749.12959</v>
          </cell>
          <cell r="J15">
            <v>482.34938200000033</v>
          </cell>
          <cell r="K15">
            <v>-704.87040999999999</v>
          </cell>
          <cell r="L15">
            <v>1749.12959</v>
          </cell>
          <cell r="M15">
            <v>0</v>
          </cell>
        </row>
        <row r="16">
          <cell r="C16">
            <v>113</v>
          </cell>
          <cell r="D16">
            <v>40.90335200000019</v>
          </cell>
          <cell r="E16">
            <v>-72.096647999999817</v>
          </cell>
          <cell r="F16" t="str">
            <v>Engagements N</v>
          </cell>
          <cell r="G16">
            <v>2454</v>
          </cell>
          <cell r="H16">
            <v>2936.3493820000003</v>
          </cell>
          <cell r="I16">
            <v>1749.12959</v>
          </cell>
          <cell r="J16">
            <v>482.34938200000033</v>
          </cell>
          <cell r="K16">
            <v>-704.87040999999999</v>
          </cell>
          <cell r="L16">
            <v>1749.12959</v>
          </cell>
          <cell r="M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 t="str">
            <v>Engagements N-1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C18">
            <v>9.0535876243065597E-3</v>
          </cell>
          <cell r="D18">
            <v>3.5285815110852178E-3</v>
          </cell>
          <cell r="F18" t="str">
            <v>% Sales</v>
          </cell>
          <cell r="G18">
            <v>1.3439133369047947E-2</v>
          </cell>
          <cell r="H18">
            <v>1.673282528184097E-2</v>
          </cell>
          <cell r="I18">
            <v>2.1030565324235116E-2</v>
          </cell>
          <cell r="L18">
            <v>2.1030565324235116E-2</v>
          </cell>
          <cell r="M18">
            <v>0</v>
          </cell>
        </row>
        <row r="20">
          <cell r="C20">
            <v>13</v>
          </cell>
          <cell r="D20">
            <v>59.821152000000232</v>
          </cell>
          <cell r="E20">
            <v>46.821152000000232</v>
          </cell>
          <cell r="F20" t="str">
            <v>Expenditures (current year plan)</v>
          </cell>
          <cell r="G20">
            <v>1010</v>
          </cell>
          <cell r="H20">
            <v>2035.9643460000004</v>
          </cell>
          <cell r="I20">
            <v>1844.7411750000003</v>
          </cell>
          <cell r="J20">
            <v>1025.9643460000004</v>
          </cell>
          <cell r="K20">
            <v>834.74117500000034</v>
          </cell>
          <cell r="L20">
            <v>1844.7411750000001</v>
          </cell>
          <cell r="M20">
            <v>0</v>
          </cell>
        </row>
        <row r="21">
          <cell r="C21">
            <v>75.582999999999998</v>
          </cell>
          <cell r="D21">
            <v>64.93407100000023</v>
          </cell>
          <cell r="E21">
            <v>-10.648928999999768</v>
          </cell>
          <cell r="F21" t="str">
            <v>Expenditures (carry-over PY plan)</v>
          </cell>
          <cell r="G21">
            <v>2675.4516760000001</v>
          </cell>
          <cell r="H21">
            <v>3450.197741</v>
          </cell>
          <cell r="I21">
            <v>1094.675958</v>
          </cell>
          <cell r="J21">
            <v>774.74606499999982</v>
          </cell>
          <cell r="K21">
            <v>-1580.7757180000001</v>
          </cell>
          <cell r="L21">
            <v>1094.675958</v>
          </cell>
          <cell r="M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 t="str">
            <v>Réceptions sur N+1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5">
          <cell r="C25">
            <v>88.582999999999998</v>
          </cell>
          <cell r="D25">
            <v>124.7552230000007</v>
          </cell>
          <cell r="E25">
            <v>36.172223000000699</v>
          </cell>
          <cell r="F25" t="str">
            <v>Capital Expenditures</v>
          </cell>
          <cell r="G25">
            <v>3685.4516760000001</v>
          </cell>
          <cell r="H25">
            <v>5486.1620870000006</v>
          </cell>
          <cell r="I25">
            <v>2939.4171330000004</v>
          </cell>
          <cell r="J25">
            <v>1800.7104110000005</v>
          </cell>
          <cell r="K25">
            <v>-746.03454299999976</v>
          </cell>
          <cell r="L25">
            <v>2939.4171330000004</v>
          </cell>
          <cell r="M25">
            <v>0</v>
          </cell>
        </row>
        <row r="26">
          <cell r="C26">
            <v>12481.24</v>
          </cell>
          <cell r="D26">
            <v>11592.009953999996</v>
          </cell>
          <cell r="E26">
            <v>-889.23004600000422</v>
          </cell>
          <cell r="F26" t="str">
            <v>Chiffre d'affaires total</v>
          </cell>
          <cell r="G26">
            <v>182601.06009899997</v>
          </cell>
          <cell r="H26">
            <v>175484.37472699999</v>
          </cell>
          <cell r="I26">
            <v>83170.830789999993</v>
          </cell>
          <cell r="J26">
            <v>-7116.6853719999781</v>
          </cell>
          <cell r="K26">
            <v>-99430.229308999973</v>
          </cell>
          <cell r="L26">
            <v>83170.830789999993</v>
          </cell>
          <cell r="M26">
            <v>0</v>
          </cell>
        </row>
        <row r="27">
          <cell r="C27">
            <v>7.0972916152561762E-3</v>
          </cell>
          <cell r="D27">
            <v>1.0762173557050135E-2</v>
          </cell>
          <cell r="F27" t="str">
            <v>% Sales</v>
          </cell>
          <cell r="G27">
            <v>2.018307929867371E-2</v>
          </cell>
          <cell r="H27">
            <v>3.1262966264288719E-2</v>
          </cell>
          <cell r="I27">
            <v>3.5341923425314878E-2</v>
          </cell>
          <cell r="L27">
            <v>3.5341923425314878E-2</v>
          </cell>
          <cell r="M27">
            <v>0</v>
          </cell>
        </row>
        <row r="28">
          <cell r="K28" t="str">
            <v>Average Exchange Rate :</v>
          </cell>
          <cell r="L28" t="str">
            <v>Cours de change moyen :</v>
          </cell>
          <cell r="M28">
            <v>1</v>
          </cell>
        </row>
      </sheetData>
      <sheetData sheetId="16" refreshError="1"/>
      <sheetData sheetId="17" refreshError="1">
        <row r="2">
          <cell r="D2" t="str">
            <v>GROSS MARGIN VARIANCE ANALYSIS - ( December )</v>
          </cell>
        </row>
        <row r="5">
          <cell r="D5" t="str">
            <v>bs2_2001 December</v>
          </cell>
          <cell r="E5" t="str">
            <v>Variance change</v>
          </cell>
          <cell r="F5" t="str">
            <v>Volum</v>
          </cell>
          <cell r="G5" t="str">
            <v>Mix</v>
          </cell>
          <cell r="H5" t="str">
            <v>Price</v>
          </cell>
          <cell r="I5" t="str">
            <v>Technical variance</v>
          </cell>
          <cell r="J5" t="str">
            <v>Launch costs variance</v>
          </cell>
          <cell r="K5" t="str">
            <v>Others industrials variance</v>
          </cell>
          <cell r="L5" t="str">
            <v>Other Variance</v>
          </cell>
          <cell r="M5" t="str">
            <v>Non Recurrent items</v>
          </cell>
        </row>
        <row r="6">
          <cell r="D6">
            <v>11592.009927480001</v>
          </cell>
          <cell r="E6">
            <v>0</v>
          </cell>
          <cell r="F6">
            <v>865.64471631524793</v>
          </cell>
          <cell r="H6">
            <v>23.585356204751228</v>
          </cell>
          <cell r="K6">
            <v>0</v>
          </cell>
          <cell r="M6">
            <v>0</v>
          </cell>
        </row>
        <row r="7">
          <cell r="D7">
            <v>-8097.3297998191938</v>
          </cell>
          <cell r="E7">
            <v>0</v>
          </cell>
          <cell r="F7">
            <v>-625.00690398025756</v>
          </cell>
          <cell r="G7">
            <v>83.689063786462725</v>
          </cell>
          <cell r="H7">
            <v>5.0026678578016686</v>
          </cell>
          <cell r="I7">
            <v>-15.845558474107293</v>
          </cell>
          <cell r="J7">
            <v>77.962967846977762</v>
          </cell>
          <cell r="K7">
            <v>-192.47243721768351</v>
          </cell>
          <cell r="L7">
            <v>0</v>
          </cell>
          <cell r="M7">
            <v>0</v>
          </cell>
        </row>
        <row r="8">
          <cell r="D8">
            <v>-1094.1646632324985</v>
          </cell>
          <cell r="E8">
            <v>0</v>
          </cell>
          <cell r="F8">
            <v>-84.836324284978872</v>
          </cell>
          <cell r="G8">
            <v>50.836588021778624</v>
          </cell>
          <cell r="H8">
            <v>-0.48057265948835237</v>
          </cell>
          <cell r="I8">
            <v>10.201431648720884</v>
          </cell>
          <cell r="J8">
            <v>13.917800252150672</v>
          </cell>
          <cell r="K8">
            <v>40.525740254315522</v>
          </cell>
          <cell r="L8">
            <v>0</v>
          </cell>
          <cell r="M8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0">
    <sheetNames>
      <sheetName val="User Guide"/>
      <sheetName val="Europe Dashboard"/>
      <sheetName val="Europe Datas Graph"/>
      <sheetName val="Germany Dashboard"/>
      <sheetName val="Europe South Dashboard"/>
      <sheetName val="Torsas Dashboard"/>
      <sheetName val="Germany Datas Graph"/>
      <sheetName val="South Europe Datas Graph"/>
      <sheetName val="Sweden Datas Graph"/>
      <sheetName val="Analysis"/>
      <sheetName val="Exchange rate"/>
      <sheetName val="Parametres"/>
      <sheetName val="Datas Graph Sweden"/>
      <sheetName val="Europe act 06"/>
      <sheetName val="Europe act 07"/>
      <sheetName val="Europe Bud S1 08"/>
      <sheetName val="Europe North act 06"/>
      <sheetName val="Europe North act 07"/>
      <sheetName val="Europe North Bud S1 08"/>
      <sheetName val="Europe North Bud S2 07"/>
      <sheetName val="Europe South act 06"/>
      <sheetName val="Europe Bud S2 07"/>
      <sheetName val="Europe South act 07-cc"/>
      <sheetName val="Europe South act 07"/>
      <sheetName val="Europe South bud S1 08"/>
      <sheetName val="Europe South bud S2 07"/>
      <sheetName val="CC act 07 "/>
      <sheetName val="CC 08"/>
      <sheetName val="Braganca act 07"/>
      <sheetName val="Braganca bud S1 08"/>
      <sheetName val="Vigo act 07"/>
      <sheetName val="Vigo bud S1 08"/>
      <sheetName val="Stad act 06"/>
      <sheetName val="Europe South interco sales"/>
      <sheetName val="Stad act 07"/>
      <sheetName val="Stad bud S1 08"/>
      <sheetName val="Stad bud S2 07"/>
      <sheetName val="Stad interco sales"/>
      <sheetName val="Torsas act 06"/>
      <sheetName val="Torsas act 07"/>
      <sheetName val="Torsas bud S1 08"/>
      <sheetName val="Torsas bud S2 07"/>
      <sheetName val="Torsas interco sales"/>
      <sheetName val="PISEK act 06"/>
      <sheetName val="PISEK act 07"/>
      <sheetName val="PISEK bud S1 08"/>
      <sheetName val="PISEK bud S2 07"/>
      <sheetName val="PISEK interco sales"/>
      <sheetName val="BAKOV act 06"/>
      <sheetName val="BAKOV act 07"/>
      <sheetName val="BAKOV bud S1 08"/>
      <sheetName val="BAKOV bud S2 07"/>
      <sheetName val="BAKOV interco sales"/>
      <sheetName val="TRNAVA act 06"/>
      <sheetName val="TRNAVA act 07"/>
      <sheetName val="TRNAVA bud S1 08"/>
      <sheetName val="TRNAVA bud S2 07"/>
      <sheetName val="TRNAVA interco 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2">
          <cell r="D2" t="str">
            <v>January</v>
          </cell>
          <cell r="E2" t="str">
            <v>February</v>
          </cell>
          <cell r="F2" t="str">
            <v>March</v>
          </cell>
          <cell r="G2" t="str">
            <v>April</v>
          </cell>
          <cell r="H2" t="str">
            <v>May</v>
          </cell>
          <cell r="I2" t="str">
            <v>June</v>
          </cell>
          <cell r="J2" t="str">
            <v>July</v>
          </cell>
          <cell r="K2" t="str">
            <v>August</v>
          </cell>
          <cell r="L2" t="str">
            <v>September</v>
          </cell>
          <cell r="M2" t="str">
            <v>October</v>
          </cell>
          <cell r="N2" t="str">
            <v>November</v>
          </cell>
          <cell r="O2" t="str">
            <v>December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</row>
        <row r="16"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</row>
        <row r="35">
          <cell r="D35">
            <v>1</v>
          </cell>
          <cell r="E35">
            <v>1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1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</row>
        <row r="37">
          <cell r="D37">
            <v>1</v>
          </cell>
          <cell r="E37">
            <v>1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</row>
        <row r="39">
          <cell r="G39" t="str">
            <v>Europe</v>
          </cell>
        </row>
        <row r="40">
          <cell r="G40" t="str">
            <v>Europe - South</v>
          </cell>
        </row>
        <row r="41">
          <cell r="G41" t="str">
            <v>Europe - North</v>
          </cell>
        </row>
        <row r="42">
          <cell r="G42" t="str">
            <v>Europe - Stadeln</v>
          </cell>
        </row>
        <row r="43">
          <cell r="G43" t="str">
            <v>Europe - Torsas</v>
          </cell>
        </row>
        <row r="44">
          <cell r="G44" t="str">
            <v>Europe - Trnava</v>
          </cell>
        </row>
        <row r="45">
          <cell r="G45" t="str">
            <v>Europe - Bakov</v>
          </cell>
        </row>
        <row r="46">
          <cell r="G46" t="str">
            <v>Europe - Pisek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0">
    <sheetNames>
      <sheetName val="Feuil1"/>
      <sheetName val="Feuil2"/>
      <sheetName val="Feuil3"/>
      <sheetName val="Feuil4"/>
      <sheetName val="Instrument"/>
      <sheetName val="Master"/>
      <sheetName val="分客户收入"/>
      <sheetName val="Act. Bud. FIB 2004"/>
      <sheetName val="Parametres 04"/>
      <sheetName val="Page 35"/>
      <sheetName val="Page 39"/>
      <sheetName val="Foamage"/>
      <sheetName val="IST_ACTUAL EUR"/>
      <sheetName val="STANDVAR_b3CTY"/>
      <sheetName val="SUMSCHED"/>
      <sheetName val="SALESCUST"/>
      <sheetName val="FOREC1"/>
      <sheetName val="HEADC"/>
      <sheetName val="INVENT"/>
      <sheetName val="INVEST"/>
      <sheetName val="AIS"/>
      <sheetName val="Analysis"/>
      <sheetName val="GROSSM"/>
      <sheetName val="Param"/>
      <sheetName val="Price List"/>
      <sheetName val="Page 26"/>
      <sheetName val="Page 31"/>
      <sheetName val="Page 8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LOV"/>
      <sheetName val="INTRO"/>
      <sheetName val="Ma base"/>
      <sheetName val="P&amp;L"/>
      <sheetName val="Divisions"/>
      <sheetName val="Fonctions"/>
      <sheetName val="TARIF"/>
      <sheetName val="Parametres"/>
      <sheetName val="Turnover YTD"/>
      <sheetName val="质保部"/>
      <sheetName val="Page 15"/>
      <sheetName val="Non quality costs"/>
      <sheetName val="Page 20"/>
      <sheetName val="Page 42"/>
      <sheetName val="Page 21"/>
      <sheetName val="Page 24"/>
      <sheetName val="Page 25"/>
      <sheetName val="Page 30"/>
      <sheetName val="先填说明页"/>
      <sheetName val="System"/>
      <sheetName val="供方导入表字段选项"/>
      <sheetName val="Donnees"/>
      <sheetName val="维度"/>
      <sheetName val="#REF!"/>
      <sheetName val="Parameters"/>
      <sheetName val="golf05"/>
      <sheetName val="By Brand"/>
      <sheetName val="数据源"/>
      <sheetName val="基础表"/>
      <sheetName val="Definition"/>
      <sheetName val="Input Sheet"/>
      <sheetName val="Plants"/>
      <sheetName val="FIN5"/>
      <sheetName val="VTooling"/>
      <sheetName val="Peer1"/>
      <sheetName val="Peer10"/>
      <sheetName val="Peer11"/>
      <sheetName val="Peer12"/>
      <sheetName val="Peer13"/>
      <sheetName val="Peer14"/>
      <sheetName val="Peer15"/>
      <sheetName val="Peer16"/>
      <sheetName val="Peer17"/>
      <sheetName val="Peer18"/>
      <sheetName val="Peer19"/>
      <sheetName val="Peer2"/>
      <sheetName val="Peer20"/>
      <sheetName val="Peer3"/>
      <sheetName val="Peer4"/>
      <sheetName val="Peer5"/>
      <sheetName val="Peer6"/>
      <sheetName val="Peer7"/>
      <sheetName val="Peer8"/>
      <sheetName val="Peer9"/>
      <sheetName val="Milestone"/>
      <sheetName val="DB-基础数据"/>
      <sheetName val="2- Squeeze"/>
      <sheetName val="Commitment &amp; CAPEX"/>
      <sheetName val="drop-down"/>
      <sheetName val="Product type"/>
      <sheetName val="Sheet2"/>
      <sheetName val="Sheet1"/>
      <sheetName val="#REF"/>
      <sheetName val="ピッチ表"/>
      <sheetName val="配分案"/>
      <sheetName val="左右侧辅助除霜口"/>
      <sheetName val="左右侧锁衬套"/>
      <sheetName val="中央除霜风道 总成"/>
      <sheetName val="左装饰面板侧盖"/>
      <sheetName val="手套箱盖外板"/>
      <sheetName val="HUD罩盖总成"/>
      <sheetName val="前除霜盖板"/>
      <sheetName val="前除霜格栅"/>
      <sheetName val="升降机构堵盖"/>
      <sheetName val="一键启动开关支架"/>
      <sheetName val="左装饰面板底座"/>
      <sheetName val="手套箱盖内板"/>
      <sheetName val="手套 箱扣手"/>
      <sheetName val="组合仪表安装支架"/>
      <sheetName val="通风管安装支架"/>
      <sheetName val="左护板骨架"/>
      <sheetName val="左右端板"/>
      <sheetName val="集成电器模块安装支架左右"/>
      <sheetName val="限位橡胶套"/>
      <sheetName val="手套箱扣手底座"/>
      <sheetName val="左下装饰板"/>
      <sheetName val="保险丝盒盖焊接 "/>
      <sheetName val="挡皮骨架"/>
      <sheetName val="卡接板"/>
      <sheetName val="面板支架"/>
      <sheetName val="左右锁杆"/>
      <sheetName val="MPL 技連"/>
      <sheetName val="342E BLOCK"/>
      <sheetName val="工序"/>
      <sheetName val="MES_S1.2015"/>
      <sheetName val="Ausfall"/>
      <sheetName val="126.255"/>
      <sheetName val="HPS Slit Coil (Centralia)"/>
      <sheetName val="A"/>
      <sheetName val="User Guide"/>
      <sheetName val="Key Figures By Plant"/>
      <sheetName val="CAACT"/>
      <sheetName val="Comments"/>
      <sheetName val="99Jan-Sep"/>
      <sheetName val="Base_Case"/>
      <sheetName val="Tabella"/>
      <sheetName val="Attributi"/>
      <sheetName val="3.４Ｒ損益"/>
      <sheetName val="模架合格率"/>
      <sheetName val="EXT-99"/>
      <sheetName val="WEIGHT"/>
      <sheetName val="Plan"/>
      <sheetName val="DG"/>
      <sheetName val="PRESENTATION"/>
      <sheetName val="B"/>
      <sheetName val="ﾗｲﾝ名ﾏｽﾀｰ0512"/>
      <sheetName val="Sheet3"/>
      <sheetName val="资末"/>
      <sheetName val="其他非流动负债"/>
      <sheetName val="其他应付款"/>
      <sheetName val="其他应收款"/>
      <sheetName val="一年内到期的非流动负债"/>
      <sheetName val="应付股利"/>
      <sheetName val="应收利息"/>
      <sheetName val="应收账款"/>
      <sheetName val="营业收入"/>
      <sheetName val="长期待摊费用"/>
      <sheetName val="长期借款"/>
      <sheetName val="其他非流动资产"/>
      <sheetName val="投资性房地产"/>
      <sheetName val="无形资产"/>
      <sheetName val="现金流量表附表本期"/>
      <sheetName val="_BEZUG"/>
      <sheetName val="ﾕﾆｯﾄｽﾍﾟｯｸ　85X69"/>
      <sheetName val="日历"/>
      <sheetName val="7-2-1材料暂估明细"/>
      <sheetName val="调整分录"/>
      <sheetName val="基础信息"/>
      <sheetName val="Ordner-Schilder"/>
      <sheetName val="Ordner_Schilder"/>
      <sheetName val="Ordner_rückenNeu"/>
      <sheetName val="收入_按产品类别（旧版已作废）_"/>
      <sheetName val="Daten"/>
      <sheetName val="Daten Drop Down"/>
      <sheetName val="Erprobung"/>
      <sheetName val="Basisdaten"/>
      <sheetName val="基本条件設定用"/>
      <sheetName val="Act__Bud__FIB_2004"/>
      <sheetName val="Parametres_04"/>
      <sheetName val="Page_35"/>
      <sheetName val="Page_39"/>
      <sheetName val="IST_ACTUAL_EUR"/>
      <sheetName val="Price_List"/>
      <sheetName val="Page_26"/>
      <sheetName val="Page_31"/>
      <sheetName val="Page_8"/>
      <sheetName val="信息费用预算表(A4)_"/>
      <sheetName val="Ma_base"/>
      <sheetName val="Turnover_YTD"/>
      <sheetName val="Page_15"/>
      <sheetName val="Non_quality_costs"/>
      <sheetName val="Page_20"/>
      <sheetName val="Page_42"/>
      <sheetName val="Page_21"/>
      <sheetName val="Page_24"/>
      <sheetName val="Page_25"/>
      <sheetName val="Page_30"/>
      <sheetName val="Input_Sheet"/>
      <sheetName val="By_Brand"/>
      <sheetName val="2-_Squeeze"/>
      <sheetName val="Commitment_&amp;_CAPEX"/>
      <sheetName val="Product_type"/>
      <sheetName val="中央除霜风道_总成"/>
      <sheetName val="手套_箱扣手"/>
      <sheetName val="保险丝盒盖焊接_"/>
      <sheetName val="MPL_技連"/>
      <sheetName val="342E_BLOCK"/>
      <sheetName val="User_Guide"/>
      <sheetName val="Key_Figures_By_Plant"/>
      <sheetName val="resume"/>
      <sheetName val="AC"/>
      <sheetName val="Releases"/>
      <sheetName val="Sup Matri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0">
    <sheetNames>
      <sheetName val="Conception"/>
      <sheetName val="Guidelines"/>
      <sheetName val="Intro"/>
      <sheetName val="Page 0"/>
      <sheetName val="comments"/>
      <sheetName val="Page 2"/>
      <sheetName val=" comments 2"/>
      <sheetName val="Page 4"/>
      <sheetName val="Page 5"/>
      <sheetName val="Page 6"/>
      <sheetName val="Page 7"/>
      <sheetName val="Page 8"/>
      <sheetName val="Page 9 "/>
      <sheetName val="Page 10"/>
      <sheetName val="Page 11"/>
      <sheetName val="Page 12"/>
      <sheetName val="Page 13"/>
      <sheetName val="Page 13 (2)"/>
      <sheetName val="Page 14"/>
      <sheetName val="Page 14 (2)"/>
      <sheetName val="Page 15"/>
      <sheetName val="Page 15 (2)"/>
      <sheetName val="Page 16"/>
      <sheetName val="Page 17"/>
      <sheetName val="Page 18"/>
      <sheetName val="Page 19"/>
      <sheetName val="Page 20"/>
      <sheetName val="Page 21"/>
      <sheetName val="Page 21 (2)"/>
      <sheetName val="Page 22"/>
      <sheetName val="Page 23"/>
      <sheetName val="Page 24"/>
      <sheetName val="Page 25"/>
      <sheetName val="Page 26"/>
      <sheetName val="Page 27"/>
      <sheetName val="Page 28"/>
      <sheetName val="Page 29"/>
      <sheetName val="Page 30"/>
      <sheetName val="Non quality costs"/>
      <sheetName val="Page 32"/>
      <sheetName val="Page 33-A"/>
      <sheetName val="Page 33-B"/>
      <sheetName val="Page 35"/>
      <sheetName val="warranty costs"/>
      <sheetName val="Page 37"/>
      <sheetName val="Page 38"/>
      <sheetName val="Page 39"/>
      <sheetName val="Page 40"/>
      <sheetName val="Page 41"/>
      <sheetName val="Page 42"/>
      <sheetName val="Page 43"/>
      <sheetName val="Page 44"/>
      <sheetName val="Page 34"/>
      <sheetName val="TUI"/>
      <sheetName val="IVBA_2000_11 jcfrey"/>
      <sheetName val="Page 11 "/>
      <sheetName val="_x0000__x0002__x0000_龾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6">
          <cell r="B6" t="str">
            <v>Figures in millions euros</v>
          </cell>
          <cell r="C6">
            <v>2000</v>
          </cell>
          <cell r="E6">
            <v>2001</v>
          </cell>
          <cell r="G6">
            <v>2002</v>
          </cell>
          <cell r="I6">
            <v>2003</v>
          </cell>
          <cell r="K6">
            <v>2004</v>
          </cell>
          <cell r="M6" t="str">
            <v>Comments</v>
          </cell>
        </row>
        <row r="7">
          <cell r="C7" t="str">
            <v>PMT</v>
          </cell>
          <cell r="D7" t="str">
            <v>Update</v>
          </cell>
          <cell r="E7" t="str">
            <v>PMT</v>
          </cell>
          <cell r="F7" t="str">
            <v>Update</v>
          </cell>
          <cell r="G7" t="str">
            <v>PMT</v>
          </cell>
          <cell r="H7" t="str">
            <v>Update</v>
          </cell>
          <cell r="I7" t="str">
            <v>PMT</v>
          </cell>
          <cell r="J7" t="str">
            <v>Update</v>
          </cell>
          <cell r="K7" t="str">
            <v>PMT</v>
          </cell>
          <cell r="L7" t="str">
            <v>Update</v>
          </cell>
        </row>
        <row r="9">
          <cell r="B9" t="str">
            <v>Total Sales</v>
          </cell>
          <cell r="C9">
            <v>825.6</v>
          </cell>
          <cell r="D9">
            <v>831.1</v>
          </cell>
          <cell r="E9">
            <v>766.5</v>
          </cell>
          <cell r="F9">
            <v>844.9</v>
          </cell>
          <cell r="G9">
            <v>783.1</v>
          </cell>
          <cell r="H9">
            <v>790.7</v>
          </cell>
          <cell r="I9">
            <v>942.9</v>
          </cell>
          <cell r="J9">
            <v>899.3</v>
          </cell>
          <cell r="K9">
            <v>1329.3</v>
          </cell>
          <cell r="L9">
            <v>1158.9000000000001</v>
          </cell>
        </row>
        <row r="12">
          <cell r="B12" t="str">
            <v>Product contribution margin</v>
          </cell>
          <cell r="C12">
            <v>223.8</v>
          </cell>
          <cell r="D12">
            <v>217.5</v>
          </cell>
          <cell r="E12">
            <v>220.5</v>
          </cell>
          <cell r="F12">
            <v>228.3</v>
          </cell>
          <cell r="G12">
            <v>228.6</v>
          </cell>
          <cell r="H12">
            <v>238.9</v>
          </cell>
          <cell r="I12">
            <v>255</v>
          </cell>
          <cell r="J12">
            <v>264.39999999999998</v>
          </cell>
          <cell r="K12">
            <v>306.3</v>
          </cell>
          <cell r="L12">
            <v>290.89999999999998</v>
          </cell>
        </row>
        <row r="13">
          <cell r="B13" t="str">
            <v>% Sales</v>
          </cell>
          <cell r="C13">
            <v>0.27107558139534882</v>
          </cell>
          <cell r="D13">
            <v>0.2617013596438455</v>
          </cell>
          <cell r="E13">
            <v>0.28767123287671231</v>
          </cell>
          <cell r="F13">
            <v>0.27056456385371047</v>
          </cell>
          <cell r="G13">
            <v>0.3050695951985698</v>
          </cell>
          <cell r="H13">
            <v>0.32249905147337798</v>
          </cell>
          <cell r="I13">
            <v>0.28041149644713115</v>
          </cell>
          <cell r="J13">
            <v>0.29400644946069165</v>
          </cell>
          <cell r="K13">
            <v>0.23042202663055744</v>
          </cell>
          <cell r="L13">
            <v>0.25101389248425227</v>
          </cell>
        </row>
        <row r="15">
          <cell r="B15" t="str">
            <v>Gross margin</v>
          </cell>
          <cell r="C15">
            <v>105.1</v>
          </cell>
          <cell r="D15">
            <v>94.2</v>
          </cell>
          <cell r="E15">
            <v>99.8</v>
          </cell>
          <cell r="F15">
            <v>100.1</v>
          </cell>
          <cell r="G15">
            <v>99.6</v>
          </cell>
          <cell r="H15">
            <v>108.7</v>
          </cell>
          <cell r="I15">
            <v>112.5</v>
          </cell>
          <cell r="J15">
            <v>126.1</v>
          </cell>
          <cell r="K15">
            <v>145.5</v>
          </cell>
          <cell r="L15">
            <v>142.4</v>
          </cell>
        </row>
        <row r="16">
          <cell r="B16" t="str">
            <v>% Sales</v>
          </cell>
          <cell r="C16">
            <v>0.12730135658914726</v>
          </cell>
          <cell r="D16">
            <v>0.11334376128023102</v>
          </cell>
          <cell r="E16">
            <v>0.13020221787345074</v>
          </cell>
          <cell r="F16">
            <v>0.11847555923777961</v>
          </cell>
          <cell r="G16">
            <v>0.12718682160643596</v>
          </cell>
          <cell r="H16">
            <v>0.13747312507904388</v>
          </cell>
          <cell r="I16">
            <v>0.11931275851097678</v>
          </cell>
          <cell r="J16">
            <v>0.14022017124430111</v>
          </cell>
          <cell r="K16">
            <v>0.10945610471676823</v>
          </cell>
          <cell r="L16">
            <v>0.12287514021917335</v>
          </cell>
        </row>
        <row r="18">
          <cell r="B18" t="str">
            <v>R&amp;D</v>
          </cell>
          <cell r="C18">
            <v>-40.1</v>
          </cell>
          <cell r="D18">
            <v>-41.1</v>
          </cell>
          <cell r="E18">
            <v>-41.3</v>
          </cell>
          <cell r="F18">
            <v>-35.6</v>
          </cell>
          <cell r="G18">
            <v>-42.1</v>
          </cell>
          <cell r="H18">
            <v>-34.4</v>
          </cell>
          <cell r="I18">
            <v>-44.2</v>
          </cell>
          <cell r="J18">
            <v>-34.9</v>
          </cell>
          <cell r="K18">
            <v>-44.4</v>
          </cell>
          <cell r="L18">
            <v>-37.6</v>
          </cell>
        </row>
        <row r="19">
          <cell r="B19" t="str">
            <v>% Sales</v>
          </cell>
          <cell r="C19">
            <v>4.857073643410853E-2</v>
          </cell>
          <cell r="D19">
            <v>4.9452532787871498E-2</v>
          </cell>
          <cell r="E19">
            <v>5.3881278538812784E-2</v>
          </cell>
          <cell r="F19">
            <v>4.2135163924724821E-2</v>
          </cell>
          <cell r="G19">
            <v>5.3760694675009581E-2</v>
          </cell>
          <cell r="H19">
            <v>4.3505754394840009E-2</v>
          </cell>
          <cell r="I19">
            <v>4.6876657121645987E-2</v>
          </cell>
          <cell r="J19">
            <v>3.880796174802624E-2</v>
          </cell>
          <cell r="K19">
            <v>3.3401038140374636E-2</v>
          </cell>
          <cell r="L19">
            <v>3.244455949607386E-2</v>
          </cell>
        </row>
        <row r="21">
          <cell r="B21" t="str">
            <v>Structures expenses</v>
          </cell>
          <cell r="C21">
            <v>-37.9</v>
          </cell>
          <cell r="D21">
            <v>-37.9</v>
          </cell>
          <cell r="E21">
            <v>-41.2</v>
          </cell>
          <cell r="F21">
            <v>-41.6</v>
          </cell>
          <cell r="G21">
            <v>-41.7</v>
          </cell>
          <cell r="H21">
            <v>-38.1</v>
          </cell>
          <cell r="I21">
            <v>-42.3</v>
          </cell>
          <cell r="J21">
            <v>-38.6</v>
          </cell>
          <cell r="K21">
            <v>-48.8</v>
          </cell>
          <cell r="L21">
            <v>-41.8</v>
          </cell>
        </row>
        <row r="22">
          <cell r="B22" t="str">
            <v>% Sales</v>
          </cell>
          <cell r="C22">
            <v>4.5906007751937983E-2</v>
          </cell>
          <cell r="D22">
            <v>4.5602213933341351E-2</v>
          </cell>
          <cell r="E22">
            <v>5.3750815394651014E-2</v>
          </cell>
          <cell r="F22">
            <v>4.9236596046869453E-2</v>
          </cell>
          <cell r="G22">
            <v>5.3249904226790962E-2</v>
          </cell>
          <cell r="H22">
            <v>4.81851523966106E-2</v>
          </cell>
          <cell r="I22">
            <v>4.4861597200127265E-2</v>
          </cell>
          <cell r="J22">
            <v>4.2922272878905821E-2</v>
          </cell>
          <cell r="K22">
            <v>3.6711050929060407E-2</v>
          </cell>
          <cell r="L22">
            <v>3.6068685822762958E-2</v>
          </cell>
        </row>
        <row r="23">
          <cell r="B23" t="str">
            <v>Others</v>
          </cell>
          <cell r="C23">
            <v>-2.2999999999999998</v>
          </cell>
          <cell r="D23">
            <v>-1.1000000000000001</v>
          </cell>
          <cell r="F23">
            <v>-1.8</v>
          </cell>
        </row>
        <row r="25">
          <cell r="B25" t="str">
            <v>Operating income</v>
          </cell>
          <cell r="C25">
            <v>24.8</v>
          </cell>
          <cell r="D25">
            <v>14.100000000000003</v>
          </cell>
          <cell r="E25">
            <v>17.299999999999997</v>
          </cell>
          <cell r="F25">
            <v>21.099999999999998</v>
          </cell>
          <cell r="G25">
            <v>15.79999999999999</v>
          </cell>
          <cell r="H25">
            <v>36.20000000000001</v>
          </cell>
          <cell r="I25">
            <v>26</v>
          </cell>
          <cell r="J25">
            <v>52.599999999999987</v>
          </cell>
          <cell r="K25">
            <v>52.3</v>
          </cell>
          <cell r="L25">
            <v>63.000000000000014</v>
          </cell>
        </row>
        <row r="26">
          <cell r="B26" t="str">
            <v>% Sales</v>
          </cell>
          <cell r="C26">
            <v>3.0038759689922482E-2</v>
          </cell>
          <cell r="D26">
            <v>1.6965467452773435E-2</v>
          </cell>
          <cell r="E26">
            <v>2.257012393998695E-2</v>
          </cell>
          <cell r="F26">
            <v>2.4973369629541955E-2</v>
          </cell>
          <cell r="G26">
            <v>2.017622270463541E-2</v>
          </cell>
          <cell r="H26">
            <v>4.5782218287593282E-2</v>
          </cell>
          <cell r="I26">
            <v>2.7574504189203521E-2</v>
          </cell>
          <cell r="J26">
            <v>5.8489936617369051E-2</v>
          </cell>
          <cell r="K26">
            <v>3.9344015647333183E-2</v>
          </cell>
          <cell r="L26">
            <v>5.4361894900336535E-2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7">
          <cell r="B7" t="str">
            <v>Client</v>
          </cell>
          <cell r="C7" t="str">
            <v>Program</v>
          </cell>
          <cell r="D7" t="str">
            <v>Product description</v>
          </cell>
          <cell r="E7" t="str">
            <v>yearly volume</v>
          </cell>
          <cell r="F7" t="str">
            <v>Estimated target price</v>
          </cell>
          <cell r="G7" t="str">
            <v>Lifetime</v>
          </cell>
          <cell r="H7" t="str">
            <v>Quotation due date</v>
          </cell>
          <cell r="I7" t="str">
            <v>Action plan</v>
          </cell>
          <cell r="J7" t="str">
            <v>Comments</v>
          </cell>
        </row>
        <row r="8">
          <cell r="B8" t="str">
            <v>PSA</v>
          </cell>
          <cell r="C8" t="str">
            <v>B5</v>
          </cell>
          <cell r="D8" t="str">
            <v>Steering column double manual adjustment PS</v>
          </cell>
          <cell r="E8">
            <v>265</v>
          </cell>
          <cell r="F8">
            <v>120</v>
          </cell>
          <cell r="G8">
            <v>8</v>
          </cell>
          <cell r="H8">
            <v>37073</v>
          </cell>
          <cell r="I8" t="str">
            <v>Feasibility study underway. Contract delayed</v>
          </cell>
          <cell r="J8" t="str">
            <v>First application of e-motion</v>
          </cell>
        </row>
        <row r="9">
          <cell r="B9" t="str">
            <v>VW</v>
          </cell>
          <cell r="C9" t="str">
            <v>B6</v>
          </cell>
          <cell r="D9" t="str">
            <v>Dashboard/slushskin</v>
          </cell>
          <cell r="E9">
            <v>540</v>
          </cell>
          <cell r="F9" t="str">
            <v>B5+25%</v>
          </cell>
          <cell r="G9">
            <v>5</v>
          </cell>
          <cell r="H9">
            <v>36892</v>
          </cell>
          <cell r="I9" t="str">
            <v>Créer partenariats ciblés pour aérateurs,AB bandeau</v>
          </cell>
          <cell r="J9" t="str">
            <v>DMS à mi-2004, concurrence Textron</v>
          </cell>
        </row>
        <row r="10">
          <cell r="B10" t="str">
            <v>Mitsubishi (Calsonic)</v>
          </cell>
          <cell r="C10" t="str">
            <v>NPZ</v>
          </cell>
          <cell r="D10" t="str">
            <v>Partial ECS</v>
          </cell>
          <cell r="E10">
            <v>243</v>
          </cell>
          <cell r="G10">
            <v>5</v>
          </cell>
          <cell r="H10">
            <v>36892</v>
          </cell>
          <cell r="J10" t="str">
            <v>New offer from new RQF</v>
          </cell>
        </row>
        <row r="11">
          <cell r="B11" t="str">
            <v>BMW</v>
          </cell>
          <cell r="C11" t="str">
            <v>EW</v>
          </cell>
          <cell r="D11" t="str">
            <v>Carrier and FEM Front End  module</v>
          </cell>
          <cell r="E11">
            <v>160</v>
          </cell>
          <cell r="F11">
            <v>300</v>
          </cell>
          <cell r="G11">
            <v>5</v>
          </cell>
          <cell r="H11">
            <v>36892</v>
          </cell>
          <cell r="J11" t="str">
            <v>Expertise phase</v>
          </cell>
        </row>
        <row r="12">
          <cell r="B12" t="str">
            <v>PSA</v>
          </cell>
          <cell r="C12" t="str">
            <v>U65</v>
          </cell>
          <cell r="D12" t="str">
            <v>Dashboard+crossbeam</v>
          </cell>
          <cell r="E12">
            <v>120</v>
          </cell>
          <cell r="F12" t="str">
            <v>U64+25%</v>
          </cell>
          <cell r="G12">
            <v>8</v>
          </cell>
          <cell r="H12">
            <v>36951</v>
          </cell>
          <cell r="I12" t="str">
            <v>Nomination équipe/ mesurer incidence éco.. Tactique sur V et A6A8</v>
          </cell>
          <cell r="J12" t="str">
            <v>Reconception complète U 64/Techno injection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14">
          <cell r="P14" t="str">
            <v>Critical IRR - Top 5 Division</v>
          </cell>
        </row>
        <row r="16">
          <cell r="P16" t="str">
            <v>TOYOTA YARIS</v>
          </cell>
          <cell r="Q16">
            <v>3.4000000000000002E-2</v>
          </cell>
        </row>
        <row r="17">
          <cell r="P17" t="str">
            <v>PSA SAXO A8A6A42</v>
          </cell>
          <cell r="Q17">
            <v>7.4999999999999997E-2</v>
          </cell>
        </row>
        <row r="18">
          <cell r="P18" t="str">
            <v>PSA D2 DOOR PANELS</v>
          </cell>
          <cell r="Q18">
            <v>0.09</v>
          </cell>
        </row>
        <row r="31">
          <cell r="C31" t="str">
            <v>Total</v>
          </cell>
        </row>
        <row r="32">
          <cell r="C32" t="str">
            <v>J</v>
          </cell>
          <cell r="D32" t="str">
            <v>F</v>
          </cell>
          <cell r="E32" t="str">
            <v>M</v>
          </cell>
          <cell r="F32" t="str">
            <v>A</v>
          </cell>
          <cell r="G32" t="str">
            <v>M</v>
          </cell>
          <cell r="H32" t="str">
            <v>J</v>
          </cell>
          <cell r="I32" t="str">
            <v>J</v>
          </cell>
          <cell r="J32" t="str">
            <v>A</v>
          </cell>
          <cell r="K32" t="str">
            <v>S</v>
          </cell>
          <cell r="L32" t="str">
            <v>O</v>
          </cell>
          <cell r="M32" t="str">
            <v>N</v>
          </cell>
          <cell r="N32" t="str">
            <v>D</v>
          </cell>
        </row>
        <row r="33">
          <cell r="B33" t="str">
            <v>Division</v>
          </cell>
          <cell r="G33">
            <v>0.187</v>
          </cell>
          <cell r="H33">
            <v>0.17499999999999999</v>
          </cell>
          <cell r="I33">
            <v>0.16</v>
          </cell>
          <cell r="J33">
            <v>0.16</v>
          </cell>
          <cell r="K33">
            <v>0.153</v>
          </cell>
          <cell r="L33">
            <v>0.155</v>
          </cell>
          <cell r="M33">
            <v>0.155</v>
          </cell>
        </row>
      </sheetData>
      <sheetData sheetId="27" refreshError="1">
        <row r="6">
          <cell r="B6" t="str">
            <v>Customer</v>
          </cell>
          <cell r="C6" t="str">
            <v>Program</v>
          </cell>
          <cell r="D6" t="str">
            <v>Description</v>
          </cell>
          <cell r="E6" t="str">
            <v>Latest SOP</v>
          </cell>
          <cell r="F6" t="str">
            <v>Cum. added</v>
          </cell>
          <cell r="G6" t="str">
            <v>Operating Income
(in millions euros)</v>
          </cell>
          <cell r="I6" t="str">
            <v>IRR</v>
          </cell>
        </row>
        <row r="7">
          <cell r="F7" t="str">
            <v>value</v>
          </cell>
          <cell r="G7" t="str">
            <v>M</v>
          </cell>
          <cell r="H7" t="str">
            <v>M-1</v>
          </cell>
          <cell r="I7" t="str">
            <v>Target</v>
          </cell>
          <cell r="J7" t="str">
            <v>Reachable</v>
          </cell>
          <cell r="K7" t="str">
            <v>M</v>
          </cell>
          <cell r="L7" t="str">
            <v>M-1</v>
          </cell>
        </row>
        <row r="8">
          <cell r="B8" t="str">
            <v>Volkswagen</v>
          </cell>
          <cell r="C8" t="str">
            <v>AMPV 358</v>
          </cell>
          <cell r="D8" t="str">
            <v>Colonne</v>
          </cell>
          <cell r="E8">
            <v>37408</v>
          </cell>
          <cell r="F8">
            <v>24.155000000000001</v>
          </cell>
          <cell r="G8">
            <v>7.3</v>
          </cell>
          <cell r="I8">
            <v>0.152</v>
          </cell>
          <cell r="K8">
            <v>0.10100000000000001</v>
          </cell>
          <cell r="N8" t="str">
            <v/>
          </cell>
        </row>
        <row r="9">
          <cell r="D9" t="str">
            <v>complète</v>
          </cell>
        </row>
        <row r="11">
          <cell r="B11" t="str">
            <v>Nissan</v>
          </cell>
          <cell r="C11" t="str">
            <v>ED</v>
          </cell>
          <cell r="D11" t="str">
            <v>Colonne complète</v>
          </cell>
          <cell r="E11" t="str">
            <v>Déc. 01</v>
          </cell>
          <cell r="F11">
            <v>10.417999999999999</v>
          </cell>
          <cell r="G11">
            <v>1.3140000000000001</v>
          </cell>
          <cell r="I11">
            <v>0.184</v>
          </cell>
          <cell r="K11">
            <v>0.16300000000000001</v>
          </cell>
          <cell r="N11" t="str">
            <v/>
          </cell>
        </row>
        <row r="14">
          <cell r="B14" t="str">
            <v>Toyota (via SMI)</v>
          </cell>
          <cell r="C14" t="str">
            <v>Yaris</v>
          </cell>
          <cell r="D14" t="str">
            <v>Colonne complète</v>
          </cell>
          <cell r="E14">
            <v>36861</v>
          </cell>
          <cell r="F14">
            <v>6.8860000000000001</v>
          </cell>
          <cell r="G14">
            <v>1.56</v>
          </cell>
          <cell r="I14">
            <v>0.14199999999999999</v>
          </cell>
          <cell r="K14">
            <v>0.14199999999999999</v>
          </cell>
          <cell r="N14" t="str">
            <v/>
          </cell>
        </row>
        <row r="15">
          <cell r="D15" t="str">
            <v>Colonne DAE</v>
          </cell>
        </row>
        <row r="17">
          <cell r="B17" t="str">
            <v>PSA</v>
          </cell>
          <cell r="C17" t="str">
            <v>A6A8</v>
          </cell>
          <cell r="D17" t="str">
            <v>Dashboard France</v>
          </cell>
          <cell r="E17">
            <v>37196</v>
          </cell>
          <cell r="F17">
            <v>73</v>
          </cell>
          <cell r="G17">
            <v>20</v>
          </cell>
          <cell r="I17">
            <v>0.14000000000000001</v>
          </cell>
          <cell r="K17">
            <v>0.13</v>
          </cell>
          <cell r="L17">
            <v>0.126</v>
          </cell>
          <cell r="N17" t="str">
            <v/>
          </cell>
        </row>
        <row r="20">
          <cell r="B20" t="str">
            <v>PSA</v>
          </cell>
          <cell r="C20" t="str">
            <v>V2-V3- VL-VF</v>
          </cell>
          <cell r="D20" t="str">
            <v>Dashboard+</v>
          </cell>
          <cell r="E20">
            <v>37043</v>
          </cell>
          <cell r="F20">
            <v>46</v>
          </cell>
          <cell r="G20">
            <v>10.5</v>
          </cell>
          <cell r="I20">
            <v>0.15</v>
          </cell>
          <cell r="K20">
            <v>0.10199999999999999</v>
          </cell>
          <cell r="L20">
            <v>0.108</v>
          </cell>
          <cell r="N20" t="str">
            <v/>
          </cell>
        </row>
        <row r="21">
          <cell r="D21" t="str">
            <v>crossmember</v>
          </cell>
        </row>
        <row r="23">
          <cell r="B23" t="str">
            <v>PSA</v>
          </cell>
          <cell r="C23" t="str">
            <v>A8A42</v>
          </cell>
          <cell r="D23" t="str">
            <v>Dashboard+</v>
          </cell>
          <cell r="E23">
            <v>37347</v>
          </cell>
          <cell r="F23">
            <v>26</v>
          </cell>
          <cell r="G23">
            <v>5.6</v>
          </cell>
          <cell r="I23">
            <v>0.13</v>
          </cell>
          <cell r="K23">
            <v>0.12</v>
          </cell>
          <cell r="L23">
            <v>0.13900000000000001</v>
          </cell>
          <cell r="N23" t="str">
            <v/>
          </cell>
        </row>
        <row r="24">
          <cell r="D24" t="str">
            <v>crossmember</v>
          </cell>
        </row>
        <row r="26">
          <cell r="B26" t="str">
            <v>PSA</v>
          </cell>
          <cell r="C26" t="str">
            <v>T5 (306)</v>
          </cell>
          <cell r="D26" t="str">
            <v>Rear bumpers</v>
          </cell>
          <cell r="E26" t="str">
            <v>Nov. 00</v>
          </cell>
          <cell r="F26">
            <v>39</v>
          </cell>
          <cell r="K26">
            <v>0.15</v>
          </cell>
          <cell r="L26">
            <v>0.15</v>
          </cell>
        </row>
        <row r="29">
          <cell r="B29" t="str">
            <v>Audi</v>
          </cell>
          <cell r="C29" t="str">
            <v>A3</v>
          </cell>
          <cell r="D29" t="str">
            <v>Bloc AB2</v>
          </cell>
          <cell r="E29">
            <v>37408</v>
          </cell>
          <cell r="F29">
            <v>36</v>
          </cell>
          <cell r="K29">
            <v>0.15</v>
          </cell>
          <cell r="L29">
            <v>0.15</v>
          </cell>
          <cell r="N29" t="str">
            <v/>
          </cell>
        </row>
        <row r="32">
          <cell r="B32" t="str">
            <v>Audi</v>
          </cell>
          <cell r="C32" t="str">
            <v>A4</v>
          </cell>
          <cell r="D32" t="str">
            <v>Bloc B6</v>
          </cell>
          <cell r="E32" t="str">
            <v>sept. 00</v>
          </cell>
          <cell r="F32">
            <v>31</v>
          </cell>
          <cell r="K32">
            <v>0.13</v>
          </cell>
          <cell r="L32">
            <v>0.13</v>
          </cell>
          <cell r="N32" t="str">
            <v/>
          </cell>
        </row>
      </sheetData>
      <sheetData sheetId="28" refreshError="1"/>
      <sheetData sheetId="29" refreshError="1"/>
      <sheetData sheetId="30" refreshError="1"/>
      <sheetData sheetId="31" refreshError="1">
        <row r="6">
          <cell r="B6" t="str">
            <v>Status</v>
          </cell>
          <cell r="C6" t="str">
            <v>Customer</v>
          </cell>
          <cell r="D6" t="str">
            <v>Program</v>
          </cell>
          <cell r="E6" t="str">
            <v>Product</v>
          </cell>
          <cell r="F6" t="str">
            <v>Problem description</v>
          </cell>
          <cell r="G6" t="str">
            <v>Action plan</v>
          </cell>
          <cell r="H6" t="str">
            <v>Date of  expected results</v>
          </cell>
          <cell r="I6" t="str">
            <v>Comment</v>
          </cell>
        </row>
      </sheetData>
      <sheetData sheetId="32" refreshError="1">
        <row r="6">
          <cell r="B6" t="str">
            <v>J</v>
          </cell>
          <cell r="C6" t="str">
            <v>J</v>
          </cell>
          <cell r="D6" t="str">
            <v>J</v>
          </cell>
          <cell r="E6" t="str">
            <v>J</v>
          </cell>
          <cell r="Q6" t="str">
            <v>Comments</v>
          </cell>
        </row>
        <row r="7">
          <cell r="B7" t="str">
            <v>J</v>
          </cell>
          <cell r="C7" t="str">
            <v>J</v>
          </cell>
          <cell r="D7" t="str">
            <v>J</v>
          </cell>
          <cell r="E7" t="str">
            <v>J</v>
          </cell>
        </row>
        <row r="8">
          <cell r="B8" t="str">
            <v>A</v>
          </cell>
          <cell r="C8" t="str">
            <v>A</v>
          </cell>
          <cell r="D8" t="str">
            <v>A</v>
          </cell>
          <cell r="E8" t="str">
            <v>A</v>
          </cell>
        </row>
        <row r="9">
          <cell r="B9" t="str">
            <v>S</v>
          </cell>
          <cell r="C9" t="str">
            <v>S</v>
          </cell>
          <cell r="D9" t="str">
            <v>S</v>
          </cell>
          <cell r="E9" t="str">
            <v>S</v>
          </cell>
          <cell r="Q9" t="str">
            <v>According to the</v>
          </cell>
        </row>
        <row r="10">
          <cell r="B10" t="str">
            <v>O</v>
          </cell>
          <cell r="C10" t="str">
            <v>O</v>
          </cell>
          <cell r="D10" t="str">
            <v>O</v>
          </cell>
          <cell r="E10" t="str">
            <v>O</v>
          </cell>
          <cell r="Q10" t="str">
            <v>purchasing department , an amount of</v>
          </cell>
        </row>
        <row r="11">
          <cell r="B11" t="str">
            <v>N</v>
          </cell>
          <cell r="C11" t="str">
            <v>N</v>
          </cell>
          <cell r="D11" t="str">
            <v>N</v>
          </cell>
          <cell r="E11" t="str">
            <v>N</v>
          </cell>
          <cell r="Q11" t="str">
            <v>964 K Euros can be identified on the</v>
          </cell>
        </row>
        <row r="12">
          <cell r="B12" t="str">
            <v>D</v>
          </cell>
          <cell r="C12" t="str">
            <v>D</v>
          </cell>
          <cell r="D12" t="str">
            <v>D</v>
          </cell>
          <cell r="E12" t="str">
            <v>D</v>
          </cell>
          <cell r="Q12" t="str">
            <v>plastic parts</v>
          </cell>
        </row>
        <row r="13">
          <cell r="B13" t="str">
            <v>Target 2001</v>
          </cell>
          <cell r="C13" t="str">
            <v>Target 2001</v>
          </cell>
          <cell r="D13" t="str">
            <v>Target 2001</v>
          </cell>
          <cell r="E13" t="str">
            <v>Target 2001</v>
          </cell>
        </row>
        <row r="14">
          <cell r="Q14" t="str">
            <v>October figures were issued from  the</v>
          </cell>
        </row>
        <row r="15">
          <cell r="Q15" t="str">
            <v>A.T. KEARNEY budget.</v>
          </cell>
        </row>
        <row r="27">
          <cell r="B27" t="str">
            <v>In Millions Euros</v>
          </cell>
          <cell r="C27" t="str">
            <v>J</v>
          </cell>
          <cell r="D27" t="str">
            <v>F</v>
          </cell>
          <cell r="E27" t="str">
            <v>M</v>
          </cell>
          <cell r="F27" t="str">
            <v>A</v>
          </cell>
          <cell r="G27" t="str">
            <v>M</v>
          </cell>
          <cell r="H27" t="str">
            <v>J</v>
          </cell>
          <cell r="I27" t="str">
            <v>J</v>
          </cell>
          <cell r="J27" t="str">
            <v>A</v>
          </cell>
          <cell r="K27" t="str">
            <v>S</v>
          </cell>
          <cell r="L27" t="str">
            <v>O</v>
          </cell>
          <cell r="M27" t="str">
            <v>N</v>
          </cell>
          <cell r="N27" t="str">
            <v>D</v>
          </cell>
          <cell r="O27" t="str">
            <v>Target 2001</v>
          </cell>
          <cell r="Q27" t="str">
            <v>Progress status</v>
          </cell>
        </row>
        <row r="28">
          <cell r="B28" t="str">
            <v>Cutting/stamping</v>
          </cell>
          <cell r="S28" t="str">
            <v/>
          </cell>
        </row>
        <row r="29">
          <cell r="B29" t="str">
            <v>Plastic parts</v>
          </cell>
          <cell r="M29">
            <v>0.96399999999999997</v>
          </cell>
          <cell r="S29" t="str">
            <v/>
          </cell>
        </row>
        <row r="30">
          <cell r="B30" t="str">
            <v>Mechanical components</v>
          </cell>
          <cell r="S30" t="str">
            <v/>
          </cell>
        </row>
        <row r="31">
          <cell r="B31" t="str">
            <v>Indirect spend</v>
          </cell>
          <cell r="C31">
            <v>0</v>
          </cell>
          <cell r="S31" t="str">
            <v/>
          </cell>
        </row>
        <row r="32">
          <cell r="B32" t="str">
            <v>Target</v>
          </cell>
          <cell r="O32">
            <v>5.8000000000000007</v>
          </cell>
        </row>
      </sheetData>
      <sheetData sheetId="33" refreshError="1">
        <row r="23">
          <cell r="C23" t="str">
            <v>J</v>
          </cell>
          <cell r="D23" t="str">
            <v>F</v>
          </cell>
          <cell r="E23" t="str">
            <v>M</v>
          </cell>
          <cell r="F23" t="str">
            <v>A</v>
          </cell>
          <cell r="G23" t="str">
            <v>M</v>
          </cell>
          <cell r="H23" t="str">
            <v>J</v>
          </cell>
          <cell r="I23" t="str">
            <v>J</v>
          </cell>
          <cell r="J23" t="str">
            <v>A</v>
          </cell>
          <cell r="K23" t="str">
            <v>S</v>
          </cell>
          <cell r="L23" t="str">
            <v>O</v>
          </cell>
          <cell r="M23" t="str">
            <v>N</v>
          </cell>
          <cell r="N23" t="str">
            <v>D</v>
          </cell>
        </row>
        <row r="24">
          <cell r="B24" t="str">
            <v>Y-1 (cumulated)</v>
          </cell>
          <cell r="C24">
            <v>0</v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</row>
        <row r="25">
          <cell r="B25" t="str">
            <v>Y (cumulated)</v>
          </cell>
          <cell r="C25">
            <v>0.2</v>
          </cell>
          <cell r="D25">
            <v>0.5</v>
          </cell>
          <cell r="E25">
            <v>0.9</v>
          </cell>
          <cell r="F25">
            <v>1.3</v>
          </cell>
          <cell r="G25">
            <v>1.8</v>
          </cell>
          <cell r="H25">
            <v>2.2999999999999998</v>
          </cell>
          <cell r="I25">
            <v>2.9</v>
          </cell>
          <cell r="J25">
            <v>3.1</v>
          </cell>
          <cell r="K25">
            <v>3.6</v>
          </cell>
          <cell r="L25">
            <v>4.2</v>
          </cell>
          <cell r="M25">
            <v>4.8</v>
          </cell>
        </row>
        <row r="27">
          <cell r="B27" t="str">
            <v>Budget</v>
          </cell>
          <cell r="C27">
            <v>0.5</v>
          </cell>
          <cell r="D27">
            <v>1.1000000000000001</v>
          </cell>
          <cell r="E27">
            <v>1.8</v>
          </cell>
          <cell r="F27">
            <v>2.4</v>
          </cell>
          <cell r="G27">
            <v>3.0999999999999996</v>
          </cell>
          <cell r="H27">
            <v>3.6999999999999997</v>
          </cell>
          <cell r="I27">
            <v>4.3999999999999995</v>
          </cell>
          <cell r="J27">
            <v>4.4999999999999991</v>
          </cell>
          <cell r="K27">
            <v>5.2999999999999989</v>
          </cell>
          <cell r="L27">
            <v>6.0999999999999988</v>
          </cell>
          <cell r="M27">
            <v>6.8999999999999986</v>
          </cell>
        </row>
        <row r="32">
          <cell r="B32" t="str">
            <v>Y-1</v>
          </cell>
        </row>
        <row r="33">
          <cell r="B33" t="str">
            <v>Y</v>
          </cell>
          <cell r="C33">
            <v>0.2</v>
          </cell>
          <cell r="D33">
            <v>0.3</v>
          </cell>
          <cell r="E33">
            <v>0.4</v>
          </cell>
          <cell r="F33">
            <v>0.4</v>
          </cell>
          <cell r="G33">
            <v>0.5</v>
          </cell>
          <cell r="H33">
            <v>0.5</v>
          </cell>
          <cell r="I33">
            <v>0.6</v>
          </cell>
          <cell r="J33">
            <v>0.2</v>
          </cell>
          <cell r="K33">
            <v>0.5</v>
          </cell>
          <cell r="L33">
            <v>0.6</v>
          </cell>
          <cell r="M33">
            <v>0.6</v>
          </cell>
        </row>
        <row r="34">
          <cell r="B34" t="str">
            <v>Budget</v>
          </cell>
          <cell r="C34">
            <v>0.5</v>
          </cell>
          <cell r="D34">
            <v>0.6</v>
          </cell>
          <cell r="E34">
            <v>0.7</v>
          </cell>
          <cell r="F34">
            <v>0.6</v>
          </cell>
          <cell r="G34">
            <v>0.7</v>
          </cell>
          <cell r="H34">
            <v>0.6</v>
          </cell>
          <cell r="I34">
            <v>0.7</v>
          </cell>
          <cell r="J34">
            <v>0.1</v>
          </cell>
          <cell r="K34">
            <v>0.8</v>
          </cell>
          <cell r="L34">
            <v>0.8</v>
          </cell>
          <cell r="M34">
            <v>0.8</v>
          </cell>
        </row>
      </sheetData>
      <sheetData sheetId="34" refreshError="1"/>
      <sheetData sheetId="35" refreshError="1"/>
      <sheetData sheetId="36" refreshError="1"/>
      <sheetData sheetId="37" refreshError="1">
        <row r="6">
          <cell r="B6" t="str">
            <v>J</v>
          </cell>
          <cell r="C6" t="str">
            <v>J</v>
          </cell>
          <cell r="Q6" t="str">
            <v>Critical cumulated NQC-Top 10 plants (% sales)</v>
          </cell>
        </row>
        <row r="7">
          <cell r="B7" t="str">
            <v>J</v>
          </cell>
          <cell r="C7" t="str">
            <v>J</v>
          </cell>
          <cell r="Q7" t="str">
            <v>MARINES</v>
          </cell>
          <cell r="R7">
            <v>6.6600000000000006E-2</v>
          </cell>
        </row>
        <row r="8">
          <cell r="B8" t="str">
            <v>A</v>
          </cell>
          <cell r="C8" t="str">
            <v>A</v>
          </cell>
          <cell r="Q8" t="str">
            <v>AU/BA1</v>
          </cell>
          <cell r="R8">
            <v>4.5999999999999999E-2</v>
          </cell>
        </row>
        <row r="9">
          <cell r="B9" t="str">
            <v>S</v>
          </cell>
          <cell r="C9" t="str">
            <v>S</v>
          </cell>
          <cell r="Q9" t="str">
            <v>HB</v>
          </cell>
          <cell r="R9">
            <v>3.9600000000000003E-2</v>
          </cell>
        </row>
        <row r="10">
          <cell r="B10" t="str">
            <v>O</v>
          </cell>
          <cell r="C10" t="str">
            <v>O</v>
          </cell>
          <cell r="Q10" t="str">
            <v>AU/BA2</v>
          </cell>
          <cell r="R10">
            <v>3.2500000000000001E-2</v>
          </cell>
        </row>
        <row r="11">
          <cell r="B11" t="str">
            <v>N</v>
          </cell>
          <cell r="C11" t="str">
            <v>N</v>
          </cell>
          <cell r="Q11" t="str">
            <v>BC</v>
          </cell>
          <cell r="R11">
            <v>0.02</v>
          </cell>
        </row>
        <row r="12">
          <cell r="B12" t="str">
            <v>D</v>
          </cell>
          <cell r="C12" t="str">
            <v>D</v>
          </cell>
          <cell r="Q12" t="str">
            <v>AU/PC</v>
          </cell>
          <cell r="R12">
            <v>0.02</v>
          </cell>
        </row>
        <row r="13">
          <cell r="B13" t="str">
            <v>Cumul.</v>
          </cell>
          <cell r="C13" t="str">
            <v>Cumul.</v>
          </cell>
          <cell r="Q13" t="str">
            <v>FAURECIA MIDLANDS</v>
          </cell>
          <cell r="R13">
            <v>7.0000000000000001E-3</v>
          </cell>
        </row>
        <row r="14">
          <cell r="Q14" t="str">
            <v>CR</v>
          </cell>
          <cell r="R14">
            <v>1.1599999999999999E-2</v>
          </cell>
        </row>
        <row r="15">
          <cell r="Q15" t="str">
            <v>EMDEN</v>
          </cell>
          <cell r="R15">
            <v>6.7999999999999996E-3</v>
          </cell>
        </row>
        <row r="16">
          <cell r="Q16" t="str">
            <v>AU/BA3</v>
          </cell>
          <cell r="R16">
            <v>7.4000000000000003E-3</v>
          </cell>
        </row>
        <row r="18">
          <cell r="Q18" t="str">
            <v>Critical cumulated NQC-Top 10 plants (in MEuros)</v>
          </cell>
        </row>
        <row r="19">
          <cell r="Q19" t="str">
            <v>HB</v>
          </cell>
          <cell r="R19">
            <v>3.7105000000000001</v>
          </cell>
        </row>
        <row r="20">
          <cell r="Q20" t="str">
            <v>MARINES</v>
          </cell>
          <cell r="R20">
            <v>2.48</v>
          </cell>
        </row>
        <row r="21">
          <cell r="Q21" t="str">
            <v>AU/BA1</v>
          </cell>
          <cell r="R21">
            <v>2.2599999999999998</v>
          </cell>
        </row>
        <row r="22">
          <cell r="Q22" t="str">
            <v>AU/BA2</v>
          </cell>
          <cell r="R22">
            <v>1.0989</v>
          </cell>
        </row>
        <row r="23">
          <cell r="Q23" t="str">
            <v>AU/PC</v>
          </cell>
          <cell r="R23">
            <v>0.79500000000000004</v>
          </cell>
        </row>
        <row r="24">
          <cell r="Q24" t="str">
            <v>B Colonnes</v>
          </cell>
          <cell r="R24">
            <v>0.75670000000000004</v>
          </cell>
        </row>
        <row r="25">
          <cell r="Q25" t="str">
            <v>EMDEN</v>
          </cell>
          <cell r="R25">
            <v>0.68089999999999995</v>
          </cell>
        </row>
        <row r="26">
          <cell r="Q26" t="str">
            <v>AU/BA3</v>
          </cell>
          <cell r="R26">
            <v>0.40500000000000003</v>
          </cell>
        </row>
        <row r="27">
          <cell r="B27" t="str">
            <v>% sales</v>
          </cell>
          <cell r="C27" t="str">
            <v>J</v>
          </cell>
          <cell r="D27" t="str">
            <v>F</v>
          </cell>
          <cell r="E27" t="str">
            <v>M</v>
          </cell>
          <cell r="F27" t="str">
            <v>A</v>
          </cell>
          <cell r="G27" t="str">
            <v>M</v>
          </cell>
          <cell r="H27" t="str">
            <v>J</v>
          </cell>
          <cell r="I27" t="str">
            <v>J</v>
          </cell>
          <cell r="J27" t="str">
            <v>A</v>
          </cell>
          <cell r="K27" t="str">
            <v>S</v>
          </cell>
          <cell r="L27" t="str">
            <v>O</v>
          </cell>
          <cell r="M27" t="str">
            <v>N</v>
          </cell>
          <cell r="N27" t="str">
            <v>D</v>
          </cell>
          <cell r="O27" t="str">
            <v>Cumul.</v>
          </cell>
          <cell r="Q27" t="str">
            <v>INGOLSTADT</v>
          </cell>
          <cell r="R27">
            <v>0.4</v>
          </cell>
        </row>
        <row r="30">
          <cell r="C30" t="str">
            <v>J</v>
          </cell>
          <cell r="D30" t="str">
            <v>F</v>
          </cell>
          <cell r="E30" t="str">
            <v>M</v>
          </cell>
          <cell r="F30" t="str">
            <v>A</v>
          </cell>
          <cell r="G30" t="str">
            <v>M</v>
          </cell>
          <cell r="H30" t="str">
            <v>J</v>
          </cell>
          <cell r="I30" t="str">
            <v>J</v>
          </cell>
          <cell r="J30" t="str">
            <v>A</v>
          </cell>
          <cell r="K30" t="str">
            <v>S</v>
          </cell>
          <cell r="L30" t="str">
            <v>O</v>
          </cell>
          <cell r="M30" t="str">
            <v>N</v>
          </cell>
          <cell r="N30" t="str">
            <v>D</v>
          </cell>
          <cell r="O30" t="str">
            <v>Cumul.</v>
          </cell>
        </row>
        <row r="31">
          <cell r="B31" t="str">
            <v>Non Quality cost</v>
          </cell>
          <cell r="C31">
            <v>1</v>
          </cell>
          <cell r="D31">
            <v>1.1000000000000001</v>
          </cell>
          <cell r="E31">
            <v>1.2</v>
          </cell>
          <cell r="F31">
            <v>1.2</v>
          </cell>
          <cell r="G31">
            <v>1.3</v>
          </cell>
          <cell r="H31">
            <v>1.1000000000000001</v>
          </cell>
          <cell r="I31">
            <v>1.6</v>
          </cell>
          <cell r="J31">
            <v>1.2</v>
          </cell>
          <cell r="K31">
            <v>1.3</v>
          </cell>
          <cell r="L31">
            <v>1.7</v>
          </cell>
          <cell r="M31">
            <v>1.522</v>
          </cell>
          <cell r="O31">
            <v>14.222</v>
          </cell>
        </row>
        <row r="33">
          <cell r="C33" t="str">
            <v>J</v>
          </cell>
          <cell r="D33" t="str">
            <v>F</v>
          </cell>
          <cell r="E33" t="str">
            <v>M</v>
          </cell>
          <cell r="F33" t="str">
            <v>A</v>
          </cell>
          <cell r="G33" t="str">
            <v>M</v>
          </cell>
          <cell r="H33" t="str">
            <v>J</v>
          </cell>
          <cell r="I33" t="str">
            <v>J</v>
          </cell>
          <cell r="J33" t="str">
            <v>A</v>
          </cell>
          <cell r="K33" t="str">
            <v>S</v>
          </cell>
          <cell r="L33" t="str">
            <v>O</v>
          </cell>
          <cell r="M33" t="str">
            <v>N</v>
          </cell>
          <cell r="N33" t="str">
            <v>D</v>
          </cell>
          <cell r="O33" t="str">
            <v>Cumul.</v>
          </cell>
        </row>
        <row r="34">
          <cell r="B34" t="str">
            <v>Sales</v>
          </cell>
          <cell r="C34">
            <v>67.599999999999994</v>
          </cell>
          <cell r="D34">
            <v>79.2</v>
          </cell>
          <cell r="E34">
            <v>86</v>
          </cell>
          <cell r="F34">
            <v>73.2</v>
          </cell>
          <cell r="G34">
            <v>82.3</v>
          </cell>
          <cell r="H34">
            <v>76.3</v>
          </cell>
          <cell r="I34">
            <v>84.7</v>
          </cell>
          <cell r="J34">
            <v>43.6</v>
          </cell>
          <cell r="K34">
            <v>72.7</v>
          </cell>
          <cell r="L34">
            <v>92.7</v>
          </cell>
          <cell r="M34">
            <v>85.403999999999996</v>
          </cell>
          <cell r="O34">
            <v>843.70400000000018</v>
          </cell>
        </row>
        <row r="36">
          <cell r="B36" t="str">
            <v>Target</v>
          </cell>
          <cell r="C36">
            <v>1.5699999999999999E-2</v>
          </cell>
          <cell r="D36">
            <v>1.5699999999999999E-2</v>
          </cell>
          <cell r="E36">
            <v>1.5699999999999999E-2</v>
          </cell>
          <cell r="F36">
            <v>1.5699999999999999E-2</v>
          </cell>
          <cell r="G36">
            <v>1.5699999999999999E-2</v>
          </cell>
          <cell r="H36">
            <v>1.5699999999999999E-2</v>
          </cell>
          <cell r="I36">
            <v>1.5699999999999999E-2</v>
          </cell>
          <cell r="J36">
            <v>1.5699999999999999E-2</v>
          </cell>
          <cell r="K36">
            <v>1.5699999999999999E-2</v>
          </cell>
          <cell r="L36">
            <v>1.5699999999999999E-2</v>
          </cell>
          <cell r="M36">
            <v>1.5699999999999999E-2</v>
          </cell>
          <cell r="N36">
            <v>1.5699999999999999E-2</v>
          </cell>
          <cell r="O36">
            <v>1.5699999999999999E-2</v>
          </cell>
        </row>
        <row r="37">
          <cell r="B37" t="str">
            <v>Excellence</v>
          </cell>
          <cell r="C37">
            <v>7.0000000000000001E-3</v>
          </cell>
          <cell r="D37">
            <v>7.0000000000000001E-3</v>
          </cell>
          <cell r="E37">
            <v>7.0000000000000001E-3</v>
          </cell>
          <cell r="F37">
            <v>7.0000000000000001E-3</v>
          </cell>
          <cell r="G37">
            <v>7.0000000000000001E-3</v>
          </cell>
          <cell r="H37">
            <v>7.0000000000000001E-3</v>
          </cell>
          <cell r="I37">
            <v>7.0000000000000001E-3</v>
          </cell>
          <cell r="J37">
            <v>7.0000000000000001E-3</v>
          </cell>
          <cell r="K37">
            <v>7.0000000000000001E-3</v>
          </cell>
          <cell r="L37">
            <v>7.0000000000000001E-3</v>
          </cell>
          <cell r="M37">
            <v>7.0000000000000001E-3</v>
          </cell>
          <cell r="N37">
            <v>7.0000000000000001E-3</v>
          </cell>
          <cell r="O37">
            <v>7.0000000000000001E-3</v>
          </cell>
        </row>
      </sheetData>
      <sheetData sheetId="38" refreshError="1">
        <row r="6">
          <cell r="Q6" t="str">
            <v>Critical cumulated NQC-Top 10 plants (% sales)</v>
          </cell>
        </row>
        <row r="18">
          <cell r="Q18" t="str">
            <v>Critical cumulated NQC-Top 10 plants (in MEuros)</v>
          </cell>
        </row>
        <row r="27">
          <cell r="B27" t="str">
            <v>% sales</v>
          </cell>
          <cell r="C27" t="str">
            <v>J</v>
          </cell>
          <cell r="D27" t="str">
            <v>F</v>
          </cell>
          <cell r="E27" t="str">
            <v>M</v>
          </cell>
          <cell r="F27" t="str">
            <v>A</v>
          </cell>
          <cell r="G27" t="str">
            <v>M</v>
          </cell>
          <cell r="H27" t="str">
            <v>J</v>
          </cell>
          <cell r="I27" t="str">
            <v>J</v>
          </cell>
          <cell r="J27" t="str">
            <v>A</v>
          </cell>
          <cell r="K27" t="str">
            <v>S</v>
          </cell>
          <cell r="L27" t="str">
            <v>O</v>
          </cell>
          <cell r="M27" t="str">
            <v>N</v>
          </cell>
          <cell r="N27" t="str">
            <v>D</v>
          </cell>
          <cell r="O27" t="str">
            <v>Cumul.</v>
          </cell>
        </row>
        <row r="28">
          <cell r="B28" t="str">
            <v>Division</v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</row>
        <row r="30">
          <cell r="C30" t="str">
            <v>J</v>
          </cell>
          <cell r="D30" t="str">
            <v>F</v>
          </cell>
          <cell r="E30" t="str">
            <v>M</v>
          </cell>
          <cell r="F30" t="str">
            <v>A</v>
          </cell>
          <cell r="G30" t="str">
            <v>M</v>
          </cell>
          <cell r="H30" t="str">
            <v>J</v>
          </cell>
          <cell r="I30" t="str">
            <v>J</v>
          </cell>
          <cell r="J30" t="str">
            <v>A</v>
          </cell>
          <cell r="K30" t="str">
            <v>S</v>
          </cell>
          <cell r="L30" t="str">
            <v>O</v>
          </cell>
          <cell r="M30" t="str">
            <v>N</v>
          </cell>
          <cell r="N30" t="str">
            <v>D</v>
          </cell>
          <cell r="O30" t="str">
            <v>Cumul.</v>
          </cell>
        </row>
        <row r="31">
          <cell r="B31" t="str">
            <v>Non Quality cost</v>
          </cell>
          <cell r="O31">
            <v>0</v>
          </cell>
        </row>
        <row r="33">
          <cell r="C33" t="str">
            <v>J</v>
          </cell>
          <cell r="D33" t="str">
            <v>F</v>
          </cell>
          <cell r="E33" t="str">
            <v>M</v>
          </cell>
          <cell r="F33" t="str">
            <v>A</v>
          </cell>
          <cell r="G33" t="str">
            <v>M</v>
          </cell>
          <cell r="H33" t="str">
            <v>J</v>
          </cell>
          <cell r="I33" t="str">
            <v>J</v>
          </cell>
          <cell r="J33" t="str">
            <v>A</v>
          </cell>
          <cell r="K33" t="str">
            <v>S</v>
          </cell>
          <cell r="L33" t="str">
            <v>O</v>
          </cell>
          <cell r="M33" t="str">
            <v>N</v>
          </cell>
          <cell r="N33" t="str">
            <v>D</v>
          </cell>
          <cell r="O33" t="str">
            <v>Cumul.</v>
          </cell>
        </row>
        <row r="34">
          <cell r="B34" t="str">
            <v>Sales</v>
          </cell>
          <cell r="O34">
            <v>0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24">
          <cell r="D24" t="str">
            <v>S-1</v>
          </cell>
          <cell r="E24" t="str">
            <v>S</v>
          </cell>
          <cell r="J24" t="str">
            <v>S-1</v>
          </cell>
          <cell r="K24" t="str">
            <v>S</v>
          </cell>
        </row>
        <row r="25">
          <cell r="C25" t="str">
            <v>Support function employees</v>
          </cell>
          <cell r="D25">
            <v>1682</v>
          </cell>
          <cell r="E25">
            <v>1828</v>
          </cell>
          <cell r="I25" t="str">
            <v>Support function cost (€M]</v>
          </cell>
          <cell r="J25">
            <v>35</v>
          </cell>
          <cell r="K25">
            <v>42</v>
          </cell>
        </row>
        <row r="26">
          <cell r="C26" t="str">
            <v>Total employees</v>
          </cell>
          <cell r="D26">
            <v>4718</v>
          </cell>
          <cell r="E26">
            <v>5355</v>
          </cell>
          <cell r="I26" t="str">
            <v>Sales (€M)</v>
          </cell>
          <cell r="J26">
            <v>331</v>
          </cell>
          <cell r="K26">
            <v>443</v>
          </cell>
        </row>
        <row r="32">
          <cell r="D32" t="str">
            <v>S-1</v>
          </cell>
          <cell r="E32" t="str">
            <v>S</v>
          </cell>
          <cell r="F32" t="str">
            <v>Target</v>
          </cell>
          <cell r="J32" t="str">
            <v>S-1</v>
          </cell>
          <cell r="K32" t="str">
            <v>S</v>
          </cell>
          <cell r="L32" t="str">
            <v>Target</v>
          </cell>
        </row>
        <row r="33">
          <cell r="C33" t="str">
            <v>Support function employees %</v>
          </cell>
          <cell r="D33">
            <v>36</v>
          </cell>
          <cell r="E33">
            <v>34</v>
          </cell>
          <cell r="I33" t="str">
            <v>Support function cost %</v>
          </cell>
          <cell r="J33">
            <v>10.574018126888216</v>
          </cell>
          <cell r="K33">
            <v>9.4808126410835225</v>
          </cell>
        </row>
      </sheetData>
      <sheetData sheetId="47" refreshError="1"/>
      <sheetData sheetId="48" refreshError="1"/>
      <sheetData sheetId="49" refreshError="1">
        <row r="6">
          <cell r="B6" t="str">
            <v>Name</v>
          </cell>
          <cell r="C6" t="str">
            <v>Age</v>
          </cell>
          <cell r="D6" t="str">
            <v>Seniority (Faurecia)</v>
          </cell>
          <cell r="E6" t="str">
            <v>Seniority (current job)</v>
          </cell>
          <cell r="F6" t="str">
            <v>Previous jobs within Faurecia</v>
          </cell>
          <cell r="G6" t="str">
            <v>Perf. Level</v>
          </cell>
          <cell r="H6" t="str">
            <v>Possible future jobs (short term)</v>
          </cell>
          <cell r="I6" t="str">
            <v>10 years vision</v>
          </cell>
          <cell r="J6" t="str">
            <v>Action plan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0">
    <sheetNames>
      <sheetName val="Parameters"/>
      <sheetName val="Synthesis"/>
      <sheetName val="1-Sales by customer"/>
      <sheetName val="2- Squeeze report"/>
      <sheetName val="2' - Squeeze overview"/>
      <sheetName val="2''- Squeeze ESPG"/>
      <sheetName val="3- Fixed costs"/>
      <sheetName val="4- Income Statement"/>
      <sheetName val="P&amp;L Forecast as updated"/>
      <sheetName val="4'- Income Statement Analysis"/>
      <sheetName val="5- R&amp;D costs "/>
      <sheetName val="6- Headcount"/>
      <sheetName val="DL analysis"/>
      <sheetName val="R&amp;D costs"/>
      <sheetName val="7- Inventories Semester"/>
      <sheetName val="Cash"/>
      <sheetName val="8- COC &amp; DVFO"/>
      <sheetName val="9- Bridge versus N-1"/>
    </sheetNames>
    <sheetDataSet>
      <sheetData sheetId="0">
        <row r="16">
          <cell r="B16" t="str">
            <v>RU=CN01-EAS-DEL</v>
          </cell>
        </row>
        <row r="17">
          <cell r="B17" t="str">
            <v>RU=CN09-EAS-WUH</v>
          </cell>
        </row>
        <row r="18">
          <cell r="B18" t="str">
            <v>RU=CN10-EAS-SHA</v>
          </cell>
        </row>
        <row r="19">
          <cell r="B19" t="str">
            <v>RU=CN12-EAS-MIN</v>
          </cell>
        </row>
        <row r="20">
          <cell r="B20" t="str">
            <v>RU=CN12-EAS-SHA</v>
          </cell>
        </row>
        <row r="21">
          <cell r="B21" t="str">
            <v>RU=CN13-EAS-SH1</v>
          </cell>
        </row>
        <row r="22">
          <cell r="B22" t="str">
            <v>RU=CN13-EAS-SHA</v>
          </cell>
        </row>
        <row r="23">
          <cell r="B23" t="str">
            <v>RU=CN18-EAS-QIN</v>
          </cell>
        </row>
        <row r="24">
          <cell r="B24" t="str">
            <v>RU=CN19-EAS-whu</v>
          </cell>
        </row>
        <row r="25">
          <cell r="B25" t="str">
            <v>RU=FR29-EAS-BEA</v>
          </cell>
        </row>
        <row r="26">
          <cell r="B26" t="str">
            <v>RU=KR01-EAS-DKF</v>
          </cell>
        </row>
        <row r="27">
          <cell r="B27" t="str">
            <v>RU=KR02-EAS-SH1</v>
          </cell>
        </row>
        <row r="28">
          <cell r="B28" t="str">
            <v>RU=KR02-EAS-SHW</v>
          </cell>
        </row>
        <row r="29">
          <cell r="B29" t="str">
            <v>RU=KR06-EAS-BUS</v>
          </cell>
        </row>
        <row r="30">
          <cell r="B30" t="str">
            <v>RU=KR02-EAS-ULS</v>
          </cell>
        </row>
        <row r="31">
          <cell r="B31" t="str">
            <v>RU=WK10-eas-wkf</v>
          </cell>
        </row>
        <row r="32">
          <cell r="B32" t="str">
            <v>RU=WK56-ECN-wkf</v>
          </cell>
        </row>
        <row r="33">
          <cell r="B33" t="str">
            <v>RU=WK56-EKR-wkf</v>
          </cell>
        </row>
        <row r="35">
          <cell r="B35" t="str">
            <v>CC=KRW</v>
          </cell>
        </row>
        <row r="36">
          <cell r="B36" t="str">
            <v>CC=CNY</v>
          </cell>
        </row>
        <row r="37">
          <cell r="B37" t="str">
            <v>CC=EUR</v>
          </cell>
        </row>
        <row r="38">
          <cell r="B38" t="str">
            <v>CC=BAT</v>
          </cell>
        </row>
        <row r="41">
          <cell r="B41" t="str">
            <v>dp=2007.01</v>
          </cell>
        </row>
        <row r="42">
          <cell r="B42" t="str">
            <v>dp=2007.02</v>
          </cell>
        </row>
        <row r="43">
          <cell r="B43" t="str">
            <v>dp=2007.03</v>
          </cell>
        </row>
        <row r="44">
          <cell r="B44" t="str">
            <v>dp=2007.04</v>
          </cell>
        </row>
        <row r="45">
          <cell r="B45" t="str">
            <v>dp=2007.05</v>
          </cell>
        </row>
        <row r="46">
          <cell r="B46" t="str">
            <v>dp=2007.06</v>
          </cell>
        </row>
        <row r="47">
          <cell r="B47" t="str">
            <v>dp=2007.07</v>
          </cell>
        </row>
        <row r="48">
          <cell r="B48" t="str">
            <v>dp=2007.08</v>
          </cell>
        </row>
        <row r="49">
          <cell r="B49" t="str">
            <v>dp=2007.09</v>
          </cell>
        </row>
        <row r="50">
          <cell r="B50" t="str">
            <v>dp=2007.10</v>
          </cell>
        </row>
        <row r="51">
          <cell r="B51" t="str">
            <v>dp=2007.11</v>
          </cell>
        </row>
        <row r="52">
          <cell r="B52" t="str">
            <v>dp=2007.12</v>
          </cell>
        </row>
        <row r="53">
          <cell r="B53" t="str">
            <v>dp=2008.01</v>
          </cell>
        </row>
        <row r="54">
          <cell r="B54" t="str">
            <v>dp=2008.02</v>
          </cell>
        </row>
        <row r="55">
          <cell r="B55" t="str">
            <v>dp=2008.03</v>
          </cell>
        </row>
        <row r="56">
          <cell r="B56" t="str">
            <v>dp=2008.04</v>
          </cell>
        </row>
        <row r="57">
          <cell r="B57" t="str">
            <v>dp=2008.05</v>
          </cell>
        </row>
        <row r="58">
          <cell r="B58" t="str">
            <v>dp=2008.06</v>
          </cell>
        </row>
        <row r="59">
          <cell r="B59" t="str">
            <v>dp=2008.07</v>
          </cell>
        </row>
        <row r="60">
          <cell r="B60" t="str">
            <v>dp=2008.08</v>
          </cell>
        </row>
        <row r="61">
          <cell r="B61" t="str">
            <v>dp=2008.09</v>
          </cell>
        </row>
        <row r="62">
          <cell r="B62" t="str">
            <v>dp=2008.10</v>
          </cell>
        </row>
        <row r="63">
          <cell r="B63" t="str">
            <v>dp=2008.11</v>
          </cell>
        </row>
        <row r="64">
          <cell r="B64" t="str">
            <v>dp=2008.12</v>
          </cell>
        </row>
        <row r="65">
          <cell r="B65" t="str">
            <v>dp=2009.01</v>
          </cell>
        </row>
        <row r="66">
          <cell r="B66" t="str">
            <v>dp=2009.02</v>
          </cell>
        </row>
        <row r="67">
          <cell r="B67" t="str">
            <v>dp=2009.03</v>
          </cell>
        </row>
        <row r="68">
          <cell r="B68" t="str">
            <v>dp=2009.04</v>
          </cell>
        </row>
        <row r="69">
          <cell r="B69" t="str">
            <v>dp=2009.05</v>
          </cell>
        </row>
        <row r="70">
          <cell r="B70" t="str">
            <v>dp=2009.06</v>
          </cell>
        </row>
        <row r="71">
          <cell r="B71" t="str">
            <v>dp=2009.07</v>
          </cell>
        </row>
        <row r="72">
          <cell r="B72" t="str">
            <v>dp=2009.08</v>
          </cell>
        </row>
        <row r="73">
          <cell r="B73" t="str">
            <v>dp=2009.09</v>
          </cell>
        </row>
        <row r="74">
          <cell r="B74" t="str">
            <v>dp=2009.10</v>
          </cell>
        </row>
        <row r="75">
          <cell r="B75" t="str">
            <v>dp=2009.11</v>
          </cell>
        </row>
        <row r="76">
          <cell r="B76" t="str">
            <v>dp=2009.12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0">
    <sheetNames>
      <sheetName val="PRESENTATION"/>
      <sheetName val="IMPRESS"/>
      <sheetName val="PROFIT AND LOSS"/>
      <sheetName val="CASFLOW"/>
      <sheetName val="FOLLOW-UP"/>
    </sheetNames>
    <sheetDataSet>
      <sheetData sheetId="0" refreshError="1">
        <row r="7">
          <cell r="E7" t="str">
            <v>Faurecia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0">
    <sheetNames>
      <sheetName val="Guidelines"/>
      <sheetName val="Intro"/>
      <sheetName val="Page 0"/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Page 10"/>
      <sheetName val="Page 11"/>
      <sheetName val="Page 12"/>
      <sheetName val="Page 13"/>
      <sheetName val="Page 14"/>
      <sheetName val="Page 15"/>
      <sheetName val="Page 16"/>
      <sheetName val="Page 17"/>
      <sheetName val="Page 18"/>
      <sheetName val="Page 19"/>
      <sheetName val="Page 20"/>
      <sheetName val="Page 21"/>
      <sheetName val="Page 22"/>
      <sheetName val="Page 23"/>
      <sheetName val="Page 24"/>
      <sheetName val="Page 25"/>
      <sheetName val="Page 26"/>
      <sheetName val="Page 27"/>
      <sheetName val="Page 28"/>
      <sheetName val="Page 29"/>
      <sheetName val="Page 30"/>
      <sheetName val="Page 31"/>
      <sheetName val="Page 32"/>
      <sheetName val="Page 33"/>
      <sheetName val="Page 34"/>
      <sheetName val="Page 35"/>
      <sheetName val="Page 36"/>
      <sheetName val="Page 37"/>
      <sheetName val="Page 38"/>
      <sheetName val="Page 39"/>
      <sheetName val="Page 40"/>
      <sheetName val="Page 41"/>
      <sheetName val="Page 42"/>
      <sheetName val="Page 43"/>
      <sheetName val="Page 4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7">
          <cell r="Q7" t="str">
            <v>Critical Top 10 (PPM)</v>
          </cell>
        </row>
        <row r="26">
          <cell r="B26" t="str">
            <v>% sales</v>
          </cell>
          <cell r="C26" t="str">
            <v>J</v>
          </cell>
          <cell r="D26" t="str">
            <v>F</v>
          </cell>
          <cell r="E26" t="str">
            <v>M</v>
          </cell>
          <cell r="F26" t="str">
            <v>A</v>
          </cell>
          <cell r="G26" t="str">
            <v>M</v>
          </cell>
          <cell r="H26" t="str">
            <v>J</v>
          </cell>
          <cell r="I26" t="str">
            <v>J</v>
          </cell>
          <cell r="J26" t="str">
            <v>A</v>
          </cell>
          <cell r="K26" t="str">
            <v>S</v>
          </cell>
          <cell r="L26" t="str">
            <v>O</v>
          </cell>
          <cell r="M26" t="str">
            <v>N</v>
          </cell>
          <cell r="N26" t="str">
            <v>D</v>
          </cell>
        </row>
        <row r="27">
          <cell r="B27" t="str">
            <v>Exhaust</v>
          </cell>
          <cell r="C27">
            <v>0.12</v>
          </cell>
          <cell r="D27">
            <v>0.2</v>
          </cell>
          <cell r="E27">
            <v>0.17499999999999999</v>
          </cell>
          <cell r="F27">
            <v>0.2</v>
          </cell>
          <cell r="G27">
            <v>0.21578947368421053</v>
          </cell>
          <cell r="H27">
            <v>0.22083333333333333</v>
          </cell>
          <cell r="I27">
            <v>0.25</v>
          </cell>
          <cell r="J27">
            <v>0.25806451612903225</v>
          </cell>
          <cell r="K27">
            <v>0.25945945945945947</v>
          </cell>
          <cell r="L27" t="str">
            <v/>
          </cell>
          <cell r="M27" t="str">
            <v/>
          </cell>
          <cell r="N27" t="str">
            <v/>
          </cell>
        </row>
      </sheetData>
      <sheetData sheetId="38" refreshError="1"/>
      <sheetData sheetId="39" refreshError="1"/>
      <sheetData sheetId="40" refreshError="1"/>
      <sheetData sheetId="41" refreshError="1">
        <row r="24">
          <cell r="D24" t="str">
            <v>S-1</v>
          </cell>
          <cell r="E24" t="str">
            <v>S</v>
          </cell>
          <cell r="J24" t="str">
            <v>S-1</v>
          </cell>
          <cell r="K24" t="str">
            <v>S</v>
          </cell>
        </row>
        <row r="25">
          <cell r="C25" t="str">
            <v>Support function employees</v>
          </cell>
          <cell r="D25">
            <v>9000</v>
          </cell>
          <cell r="E25">
            <v>12000</v>
          </cell>
          <cell r="I25" t="str">
            <v>Support function cost (€M]</v>
          </cell>
          <cell r="J25">
            <v>720</v>
          </cell>
          <cell r="K25">
            <v>988</v>
          </cell>
        </row>
        <row r="26">
          <cell r="C26" t="str">
            <v>Total employees</v>
          </cell>
          <cell r="D26">
            <v>35000</v>
          </cell>
          <cell r="E26">
            <v>40000</v>
          </cell>
          <cell r="I26" t="str">
            <v>Sales (€M)</v>
          </cell>
          <cell r="J26">
            <v>4500</v>
          </cell>
          <cell r="K26">
            <v>5200</v>
          </cell>
        </row>
        <row r="32">
          <cell r="D32" t="str">
            <v>S-1</v>
          </cell>
          <cell r="E32" t="str">
            <v>S</v>
          </cell>
          <cell r="F32" t="str">
            <v>Target</v>
          </cell>
          <cell r="J32" t="str">
            <v>S-1</v>
          </cell>
          <cell r="K32" t="str">
            <v>S</v>
          </cell>
          <cell r="L32" t="str">
            <v>Target</v>
          </cell>
        </row>
        <row r="33">
          <cell r="C33" t="str">
            <v>Support function employees %</v>
          </cell>
          <cell r="D33">
            <v>26</v>
          </cell>
          <cell r="E33">
            <v>30</v>
          </cell>
          <cell r="F33">
            <v>15</v>
          </cell>
          <cell r="I33" t="str">
            <v>Support function cost %</v>
          </cell>
          <cell r="J33">
            <v>16</v>
          </cell>
          <cell r="K33">
            <v>19</v>
          </cell>
          <cell r="L33">
            <v>15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0">
    <sheetNames>
      <sheetName val="VARESOP MAG"/>
      <sheetName val="Points à revoir"/>
      <sheetName val="Direct Labor analysis"/>
      <sheetName val="FI-2D10 MAG ESPG"/>
      <sheetName val="FI-2D10 MAG EUR"/>
      <sheetName val="FI-2D10 MAG ASIA"/>
      <sheetName val="FI-2D10 MAG NAO"/>
      <sheetName val="FI-2D10 MAG IOP"/>
      <sheetName val="FI-2D10 MAG TRANS"/>
    </sheetNames>
    <sheetDataSet>
      <sheetData sheetId="0"/>
      <sheetData sheetId="1"/>
      <sheetData sheetId="2"/>
      <sheetData sheetId="3">
        <row r="71">
          <cell r="B71" t="str">
            <v>Standard Analysis  - Detailed P&amp;L - EXHAUST SYSTEMS</v>
          </cell>
        </row>
        <row r="72">
          <cell r="B72" t="str">
            <v>2009.May</v>
          </cell>
        </row>
        <row r="74">
          <cell r="D74" t="str">
            <v>VOLUME / MIX IMPACT</v>
          </cell>
          <cell r="E74">
            <v>-0.15230931715953516</v>
          </cell>
          <cell r="V74" t="str">
            <v>ESPG</v>
          </cell>
          <cell r="W74" t="str">
            <v>EUROPE</v>
          </cell>
          <cell r="X74" t="str">
            <v>NAO</v>
          </cell>
          <cell r="Y74" t="str">
            <v>ASIA</v>
          </cell>
          <cell r="Z74" t="str">
            <v>IOP</v>
          </cell>
          <cell r="AA74" t="str">
            <v>TRANS</v>
          </cell>
          <cell r="AB74" t="str">
            <v>CHECK</v>
          </cell>
        </row>
        <row r="76">
          <cell r="E76" t="str">
            <v>BUDGET</v>
          </cell>
          <cell r="F76" t="str">
            <v>ACTUAL</v>
          </cell>
          <cell r="H76" t="str">
            <v>VARIANCE</v>
          </cell>
          <cell r="I76" t="str">
            <v>Volume / Mix</v>
          </cell>
          <cell r="J76" t="str">
            <v>Translation impact</v>
          </cell>
          <cell r="K76" t="str">
            <v>Squeeze</v>
          </cell>
          <cell r="L76" t="str">
            <v>Indus</v>
          </cell>
          <cell r="R76" t="str">
            <v>Standard Analysis  - Detailed P&amp;L - EXHAUST SYSTEMS</v>
          </cell>
          <cell r="V76" t="str">
            <v>VARIANCE</v>
          </cell>
          <cell r="W76" t="str">
            <v>VARIANCE</v>
          </cell>
          <cell r="X76" t="str">
            <v>VARIANCE</v>
          </cell>
          <cell r="Y76" t="str">
            <v>VARIANCE</v>
          </cell>
          <cell r="Z76" t="str">
            <v>VARIANCE</v>
          </cell>
          <cell r="AA76" t="str">
            <v>VARIANCE</v>
          </cell>
          <cell r="AB76" t="str">
            <v>PG vs S Div.</v>
          </cell>
        </row>
        <row r="77">
          <cell r="B77" t="str">
            <v>VARIABLE COST MARGIN</v>
          </cell>
          <cell r="C77" t="str">
            <v>STANDARD</v>
          </cell>
          <cell r="R77" t="str">
            <v>VARIABLE COST MARGIN</v>
          </cell>
          <cell r="S77" t="str">
            <v>STANDARD</v>
          </cell>
        </row>
        <row r="78">
          <cell r="C78" t="str">
            <v>Sales</v>
          </cell>
          <cell r="E78">
            <v>96582.084338679721</v>
          </cell>
          <cell r="F78">
            <v>78354.989336001498</v>
          </cell>
          <cell r="H78">
            <v>-18227.095002678223</v>
          </cell>
          <cell r="I78">
            <v>-14710.351315468943</v>
          </cell>
          <cell r="J78">
            <v>-3516.7436872092803</v>
          </cell>
          <cell r="S78" t="str">
            <v>Sales</v>
          </cell>
          <cell r="V78">
            <v>-18227.095002678223</v>
          </cell>
          <cell r="W78">
            <v>-7884.9307275329629</v>
          </cell>
          <cell r="X78">
            <v>-9320.6358068570989</v>
          </cell>
          <cell r="Y78">
            <v>1746.1142607287002</v>
          </cell>
          <cell r="Z78">
            <v>-2946.3880800547404</v>
          </cell>
          <cell r="AA78">
            <v>0</v>
          </cell>
          <cell r="AB78">
            <v>-178.74535103788003</v>
          </cell>
        </row>
        <row r="79">
          <cell r="C79" t="str">
            <v>Purchase</v>
          </cell>
          <cell r="E79">
            <v>-55026.733164878882</v>
          </cell>
          <cell r="F79">
            <v>-44751.004146327381</v>
          </cell>
          <cell r="H79">
            <v>10275.729018551501</v>
          </cell>
          <cell r="I79">
            <v>8131.461333920146</v>
          </cell>
          <cell r="J79">
            <v>2144.2676846313552</v>
          </cell>
          <cell r="S79" t="str">
            <v>Purchase</v>
          </cell>
          <cell r="V79">
            <v>10275.729018551501</v>
          </cell>
          <cell r="W79">
            <v>4473.0717884251026</v>
          </cell>
          <cell r="X79">
            <v>5433.3495792761514</v>
          </cell>
          <cell r="Y79">
            <v>-1088.4816571846495</v>
          </cell>
          <cell r="Z79">
            <v>1868.27174835802</v>
          </cell>
          <cell r="AA79">
            <v>0</v>
          </cell>
          <cell r="AB79">
            <v>410.48244032312323</v>
          </cell>
        </row>
        <row r="80">
          <cell r="C80" t="str">
            <v>% of std pdt sales wo Mono.</v>
          </cell>
          <cell r="E80">
            <v>-0.56974058430877617</v>
          </cell>
          <cell r="F80">
            <v>-0.57113151983757326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</row>
        <row r="81">
          <cell r="C81" t="str">
            <v>Direct Labor Cost</v>
          </cell>
          <cell r="E81">
            <v>-7673.8837719654903</v>
          </cell>
          <cell r="F81">
            <v>-6243.4264548257497</v>
          </cell>
          <cell r="H81">
            <v>1430.4573171397406</v>
          </cell>
          <cell r="I81">
            <v>1242.7573617382704</v>
          </cell>
          <cell r="J81">
            <v>187.69995540147011</v>
          </cell>
          <cell r="S81" t="str">
            <v>Direct Labor Cost</v>
          </cell>
          <cell r="V81">
            <v>1430.4573171397406</v>
          </cell>
          <cell r="W81">
            <v>658.10955736566029</v>
          </cell>
          <cell r="X81">
            <v>748.91416454060004</v>
          </cell>
          <cell r="Y81">
            <v>-67.537500167687995</v>
          </cell>
          <cell r="Z81">
            <v>90.971095401165996</v>
          </cell>
          <cell r="AA81">
            <v>0</v>
          </cell>
          <cell r="AB81">
            <v>-2.2737367544323206E-12</v>
          </cell>
        </row>
        <row r="82">
          <cell r="C82" t="str">
            <v>% of std pdt sales wo Mono.</v>
          </cell>
          <cell r="E82">
            <v>-7.9454526421855354E-2</v>
          </cell>
          <cell r="F82">
            <v>-7.968128778695531E-2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C83" t="str">
            <v>Freight-out</v>
          </cell>
          <cell r="E83">
            <v>-945.04663511326203</v>
          </cell>
          <cell r="F83">
            <v>-833.44949980412298</v>
          </cell>
          <cell r="H83">
            <v>111.59713530913905</v>
          </cell>
          <cell r="I83">
            <v>90.700420979689056</v>
          </cell>
          <cell r="J83">
            <v>20.896714329449992</v>
          </cell>
          <cell r="S83" t="str">
            <v>Freight-out</v>
          </cell>
          <cell r="V83">
            <v>111.59713530913905</v>
          </cell>
          <cell r="W83">
            <v>35.935729714266017</v>
          </cell>
          <cell r="X83">
            <v>11.7404427201679</v>
          </cell>
          <cell r="Y83">
            <v>20.450055293627997</v>
          </cell>
          <cell r="Z83">
            <v>-100.52909241892399</v>
          </cell>
          <cell r="AA83">
            <v>144</v>
          </cell>
          <cell r="AB83">
            <v>-1.1368683772161603E-12</v>
          </cell>
        </row>
        <row r="84">
          <cell r="C84" t="str">
            <v>% of std pdt sales wo Mono.</v>
          </cell>
          <cell r="E84">
            <v>-9.784906192325615E-3</v>
          </cell>
          <cell r="F84">
            <v>-1.0636840191887828E-2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C85" t="str">
            <v>VARIABLE COST MARGIN - STANDARD</v>
          </cell>
          <cell r="E85">
            <v>32936.420766722083</v>
          </cell>
          <cell r="F85">
            <v>26527.109235044245</v>
          </cell>
          <cell r="H85">
            <v>-6409.3115316778385</v>
          </cell>
          <cell r="I85">
            <v>-5245.4321988308375</v>
          </cell>
          <cell r="J85">
            <v>-1163.8793328470056</v>
          </cell>
          <cell r="K85">
            <v>0</v>
          </cell>
          <cell r="L85">
            <v>0</v>
          </cell>
          <cell r="S85" t="str">
            <v>VARIABLE COST MARGIN - STANDARD</v>
          </cell>
          <cell r="V85">
            <v>-6409.3115316778385</v>
          </cell>
          <cell r="W85">
            <v>-2717.8136520279331</v>
          </cell>
          <cell r="X85">
            <v>-3126.6316203201795</v>
          </cell>
          <cell r="Y85">
            <v>610.545158669991</v>
          </cell>
          <cell r="Z85">
            <v>-1087.6743287144782</v>
          </cell>
          <cell r="AA85">
            <v>144</v>
          </cell>
          <cell r="AB85">
            <v>231.73708928523865</v>
          </cell>
        </row>
        <row r="86">
          <cell r="C86" t="str">
            <v>% of std pdt sales wo Mono.</v>
          </cell>
          <cell r="E86">
            <v>0.34101998307704284</v>
          </cell>
          <cell r="F86">
            <v>0.33855035218358359</v>
          </cell>
        </row>
        <row r="88">
          <cell r="C88" t="str">
            <v>VARIANCES vs STANDARD</v>
          </cell>
          <cell r="I88" t="str">
            <v>(1)</v>
          </cell>
          <cell r="S88" t="str">
            <v>VARIANCES vs STANDARD</v>
          </cell>
        </row>
        <row r="89">
          <cell r="C89" t="str">
            <v>ECONOMICAL</v>
          </cell>
          <cell r="D89" t="str">
            <v>PROCESS</v>
          </cell>
          <cell r="E89">
            <v>233.98241384071002</v>
          </cell>
          <cell r="F89">
            <v>-373.88692325914008</v>
          </cell>
          <cell r="H89">
            <v>-607.8693370998501</v>
          </cell>
          <cell r="I89">
            <v>-35.637701679418313</v>
          </cell>
          <cell r="J89">
            <v>3.8433541422296003</v>
          </cell>
          <cell r="K89">
            <v>-576.07498956266159</v>
          </cell>
          <cell r="L89">
            <v>0</v>
          </cell>
          <cell r="S89" t="str">
            <v>ECONOMICAL</v>
          </cell>
          <cell r="T89" t="str">
            <v>PROCESS</v>
          </cell>
          <cell r="V89">
            <v>-607.8693370998501</v>
          </cell>
          <cell r="W89">
            <v>-626.09699184692306</v>
          </cell>
          <cell r="X89">
            <v>-620.42204581111491</v>
          </cell>
          <cell r="Y89">
            <v>137.81428211443398</v>
          </cell>
          <cell r="Z89">
            <v>323.09170193204159</v>
          </cell>
          <cell r="AA89">
            <v>0</v>
          </cell>
          <cell r="AB89">
            <v>-177.74371651171236</v>
          </cell>
        </row>
        <row r="90">
          <cell r="D90" t="str">
            <v>Sales</v>
          </cell>
          <cell r="E90">
            <v>-1383.1230861194599</v>
          </cell>
          <cell r="F90">
            <v>-3116.9559533909601</v>
          </cell>
          <cell r="H90">
            <v>-1733.8328672715002</v>
          </cell>
          <cell r="I90">
            <v>210.66253279444388</v>
          </cell>
          <cell r="J90">
            <v>138.94127887220975</v>
          </cell>
          <cell r="K90">
            <v>-2083.4366789381538</v>
          </cell>
          <cell r="S90">
            <v>0</v>
          </cell>
          <cell r="T90" t="str">
            <v>Sales</v>
          </cell>
          <cell r="V90">
            <v>-1733.8328672715002</v>
          </cell>
          <cell r="W90">
            <v>-897.51722027178107</v>
          </cell>
          <cell r="X90">
            <v>-904.15110962055496</v>
          </cell>
          <cell r="Y90">
            <v>-133.781588251225</v>
          </cell>
          <cell r="Z90">
            <v>20.432992712902518</v>
          </cell>
          <cell r="AA90">
            <v>0</v>
          </cell>
          <cell r="AB90">
            <v>-181.18405815915821</v>
          </cell>
        </row>
        <row r="91">
          <cell r="D91" t="str">
            <v>Materials</v>
          </cell>
          <cell r="E91">
            <v>1617.1054999601699</v>
          </cell>
          <cell r="F91">
            <v>2743.06903013182</v>
          </cell>
          <cell r="H91">
            <v>1125.9635301716501</v>
          </cell>
          <cell r="I91">
            <v>-246.30023447386219</v>
          </cell>
          <cell r="J91">
            <v>-135.09792472998015</v>
          </cell>
          <cell r="K91">
            <v>1507.3616893754922</v>
          </cell>
          <cell r="S91">
            <v>0</v>
          </cell>
          <cell r="T91" t="str">
            <v>Materials</v>
          </cell>
          <cell r="V91">
            <v>1125.9635301716501</v>
          </cell>
          <cell r="W91">
            <v>271.42022842485801</v>
          </cell>
          <cell r="X91">
            <v>283.72906380944005</v>
          </cell>
          <cell r="Y91">
            <v>271.59587036565898</v>
          </cell>
          <cell r="Z91">
            <v>302.6587092191391</v>
          </cell>
          <cell r="AA91">
            <v>0</v>
          </cell>
          <cell r="AB91">
            <v>3.4403416474463029</v>
          </cell>
        </row>
        <row r="92">
          <cell r="S92">
            <v>0</v>
          </cell>
          <cell r="T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D93" t="str">
            <v>PASSTHROUGH MANDATED SUPPLIERS</v>
          </cell>
          <cell r="E93">
            <v>94.212962962963005</v>
          </cell>
          <cell r="F93">
            <v>1.0242537776296849</v>
          </cell>
          <cell r="H93">
            <v>-93.188709185333323</v>
          </cell>
          <cell r="I93">
            <v>-14.349512056465471</v>
          </cell>
          <cell r="J93">
            <v>1.0242537776296849</v>
          </cell>
          <cell r="K93">
            <v>-79.863450906497533</v>
          </cell>
          <cell r="L93">
            <v>0</v>
          </cell>
          <cell r="S93">
            <v>0</v>
          </cell>
          <cell r="T93" t="str">
            <v>PASSTHROUGH MANDATED SUPPLIERS</v>
          </cell>
          <cell r="V93">
            <v>-93.188709185333323</v>
          </cell>
          <cell r="W93">
            <v>0</v>
          </cell>
          <cell r="X93">
            <v>0</v>
          </cell>
          <cell r="Y93">
            <v>0</v>
          </cell>
          <cell r="Z93">
            <v>-93.188709185333323</v>
          </cell>
          <cell r="AA93">
            <v>0</v>
          </cell>
          <cell r="AB93">
            <v>0</v>
          </cell>
        </row>
        <row r="94">
          <cell r="D94" t="str">
            <v>Sales</v>
          </cell>
          <cell r="E94">
            <v>94.212962962963005</v>
          </cell>
          <cell r="F94">
            <v>1.17655917207276</v>
          </cell>
          <cell r="H94">
            <v>-93.036403790890247</v>
          </cell>
          <cell r="I94">
            <v>-14.349512056465471</v>
          </cell>
          <cell r="J94">
            <v>1.17655917207276</v>
          </cell>
          <cell r="K94">
            <v>-79.863450906497533</v>
          </cell>
          <cell r="S94">
            <v>0</v>
          </cell>
          <cell r="T94" t="str">
            <v>Sales</v>
          </cell>
          <cell r="V94">
            <v>-93.036403790890247</v>
          </cell>
          <cell r="W94">
            <v>0</v>
          </cell>
          <cell r="X94">
            <v>0</v>
          </cell>
          <cell r="Y94">
            <v>0</v>
          </cell>
          <cell r="Z94">
            <v>-93.036403790890247</v>
          </cell>
          <cell r="AA94">
            <v>0</v>
          </cell>
          <cell r="AB94">
            <v>0</v>
          </cell>
        </row>
        <row r="95">
          <cell r="D95" t="str">
            <v>Materials</v>
          </cell>
          <cell r="E95">
            <v>0</v>
          </cell>
          <cell r="F95">
            <v>-0.152305394443075</v>
          </cell>
          <cell r="H95">
            <v>-0.152305394443075</v>
          </cell>
          <cell r="I95">
            <v>0</v>
          </cell>
          <cell r="J95">
            <v>-0.152305394443075</v>
          </cell>
          <cell r="K95">
            <v>0</v>
          </cell>
          <cell r="S95">
            <v>0</v>
          </cell>
          <cell r="T95" t="str">
            <v>Materials</v>
          </cell>
          <cell r="V95">
            <v>-0.152305394443075</v>
          </cell>
          <cell r="W95">
            <v>0</v>
          </cell>
          <cell r="X95">
            <v>0</v>
          </cell>
          <cell r="Y95">
            <v>0</v>
          </cell>
          <cell r="Z95">
            <v>-0.152305394443075</v>
          </cell>
          <cell r="AA95">
            <v>0</v>
          </cell>
        </row>
        <row r="96">
          <cell r="S96">
            <v>0</v>
          </cell>
          <cell r="T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D97" t="str">
            <v>PASSTHROUGH RAW MATERIAL</v>
          </cell>
          <cell r="E97">
            <v>97.907701597918958</v>
          </cell>
          <cell r="F97">
            <v>47.933088633682019</v>
          </cell>
          <cell r="H97">
            <v>-49.97461296423694</v>
          </cell>
          <cell r="I97">
            <v>-14.912255175038567</v>
          </cell>
          <cell r="J97">
            <v>8.2126005871069765</v>
          </cell>
          <cell r="K97">
            <v>-43.274958376305221</v>
          </cell>
          <cell r="L97">
            <v>0</v>
          </cell>
          <cell r="S97">
            <v>0</v>
          </cell>
          <cell r="T97" t="str">
            <v>PASSTHROUGH RAW MATERIAL</v>
          </cell>
          <cell r="V97">
            <v>-49.97461296423694</v>
          </cell>
          <cell r="W97">
            <v>755.99558704574201</v>
          </cell>
          <cell r="X97">
            <v>-767.85859907153997</v>
          </cell>
          <cell r="Y97">
            <v>-1.4363231811994979</v>
          </cell>
          <cell r="Z97">
            <v>-96.901672227150527</v>
          </cell>
          <cell r="AA97">
            <v>0</v>
          </cell>
          <cell r="AB97">
            <v>-60.226394469910929</v>
          </cell>
        </row>
        <row r="98">
          <cell r="D98" t="str">
            <v>Sales</v>
          </cell>
          <cell r="E98">
            <v>578.57712436516795</v>
          </cell>
          <cell r="F98">
            <v>-709.49976186482195</v>
          </cell>
          <cell r="H98">
            <v>-1288.0768862299899</v>
          </cell>
          <cell r="I98">
            <v>-88.122686736186182</v>
          </cell>
          <cell r="J98">
            <v>44.054725314665006</v>
          </cell>
          <cell r="K98">
            <v>-1244.0089248084687</v>
          </cell>
          <cell r="S98">
            <v>0</v>
          </cell>
          <cell r="T98" t="str">
            <v>Sales</v>
          </cell>
          <cell r="V98">
            <v>-1288.0768862299899</v>
          </cell>
          <cell r="W98">
            <v>-552.73614598151107</v>
          </cell>
          <cell r="X98">
            <v>-767.85859907153997</v>
          </cell>
          <cell r="Y98">
            <v>160.77711808231959</v>
          </cell>
          <cell r="Z98">
            <v>-146.82915814677452</v>
          </cell>
          <cell r="AA98">
            <v>0</v>
          </cell>
          <cell r="AB98">
            <v>-18.569898887516047</v>
          </cell>
        </row>
        <row r="99">
          <cell r="D99" t="str">
            <v>Materials</v>
          </cell>
          <cell r="E99">
            <v>-480.66942276724899</v>
          </cell>
          <cell r="F99">
            <v>757.43285049850397</v>
          </cell>
          <cell r="H99">
            <v>1238.102273265753</v>
          </cell>
          <cell r="I99">
            <v>73.210431561147615</v>
          </cell>
          <cell r="J99">
            <v>-35.84212472755803</v>
          </cell>
          <cell r="K99">
            <v>1200.7339664321635</v>
          </cell>
          <cell r="S99">
            <v>0</v>
          </cell>
          <cell r="T99" t="str">
            <v>Materials</v>
          </cell>
          <cell r="V99">
            <v>1238.102273265753</v>
          </cell>
          <cell r="W99">
            <v>1308.7317330272531</v>
          </cell>
          <cell r="X99">
            <v>0</v>
          </cell>
          <cell r="Y99">
            <v>-162.21344126351909</v>
          </cell>
          <cell r="Z99">
            <v>49.92748591962399</v>
          </cell>
          <cell r="AA99">
            <v>0</v>
          </cell>
          <cell r="AB99">
            <v>-41.656495582394882</v>
          </cell>
        </row>
        <row r="100">
          <cell r="D100" t="str">
            <v>Spot purchasing surcharges</v>
          </cell>
          <cell r="E100">
            <v>0</v>
          </cell>
          <cell r="F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S100">
            <v>0</v>
          </cell>
          <cell r="T100" t="str">
            <v>Spot purchasing surcharges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</row>
        <row r="101">
          <cell r="S101">
            <v>0</v>
          </cell>
          <cell r="T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D102" t="str">
            <v>VA / VE + Technical Purchasing</v>
          </cell>
          <cell r="E102">
            <v>438.06336633188448</v>
          </cell>
          <cell r="F102">
            <v>222.86009931673013</v>
          </cell>
          <cell r="H102">
            <v>-215.20326701515432</v>
          </cell>
          <cell r="I102">
            <v>-66.72113219861663</v>
          </cell>
          <cell r="J102">
            <v>-5.7310591818361818</v>
          </cell>
          <cell r="K102">
            <v>-142.75107563470152</v>
          </cell>
          <cell r="L102">
            <v>0</v>
          </cell>
          <cell r="S102">
            <v>0</v>
          </cell>
          <cell r="T102" t="str">
            <v>VA / VE + Technical Purchasing</v>
          </cell>
          <cell r="V102">
            <v>-215.20326701515432</v>
          </cell>
          <cell r="W102">
            <v>-156.09681570098419</v>
          </cell>
          <cell r="X102">
            <v>-51.872283007012499</v>
          </cell>
          <cell r="Y102">
            <v>24.235355995673061</v>
          </cell>
          <cell r="Z102">
            <v>-31.469524302831598</v>
          </cell>
          <cell r="AA102">
            <v>0</v>
          </cell>
          <cell r="AB102">
            <v>-9.0949470177292824E-13</v>
          </cell>
        </row>
        <row r="103">
          <cell r="D103" t="str">
            <v>Sales</v>
          </cell>
          <cell r="E103">
            <v>-70.888370888370901</v>
          </cell>
          <cell r="F103">
            <v>-1.71467331775417</v>
          </cell>
          <cell r="H103">
            <v>69.173697570616724</v>
          </cell>
          <cell r="I103">
            <v>10.796959364559642</v>
          </cell>
          <cell r="J103">
            <v>-5.2716083524599888E-3</v>
          </cell>
          <cell r="K103">
            <v>58.38200981440955</v>
          </cell>
          <cell r="S103">
            <v>0</v>
          </cell>
          <cell r="T103" t="str">
            <v>Sales</v>
          </cell>
          <cell r="V103">
            <v>69.173697570616724</v>
          </cell>
          <cell r="W103">
            <v>0</v>
          </cell>
          <cell r="X103">
            <v>0</v>
          </cell>
          <cell r="Y103">
            <v>69.173697570616724</v>
          </cell>
          <cell r="Z103">
            <v>0</v>
          </cell>
          <cell r="AA103">
            <v>0</v>
          </cell>
        </row>
        <row r="104">
          <cell r="D104" t="str">
            <v>Materials</v>
          </cell>
          <cell r="E104">
            <v>256.35108564275203</v>
          </cell>
          <cell r="F104">
            <v>183.667849258394</v>
          </cell>
          <cell r="H104">
            <v>-72.683236384358025</v>
          </cell>
          <cell r="I104">
            <v>-39.04465880735308</v>
          </cell>
          <cell r="J104">
            <v>-5.3154020581910117</v>
          </cell>
          <cell r="K104">
            <v>-28.32317551881394</v>
          </cell>
          <cell r="S104">
            <v>0</v>
          </cell>
          <cell r="T104" t="str">
            <v>Materials</v>
          </cell>
          <cell r="V104">
            <v>-72.683236384358025</v>
          </cell>
          <cell r="W104">
            <v>-16.368479287715502</v>
          </cell>
          <cell r="X104">
            <v>0</v>
          </cell>
          <cell r="Y104">
            <v>-35.944386726273009</v>
          </cell>
          <cell r="Z104">
            <v>-20.370370370370399</v>
          </cell>
          <cell r="AA104">
            <v>0</v>
          </cell>
          <cell r="AB104">
            <v>-8.8107299234252423E-13</v>
          </cell>
        </row>
        <row r="105">
          <cell r="D105" t="str">
            <v>Technical variance purchasing</v>
          </cell>
          <cell r="E105">
            <v>89.546156004489305</v>
          </cell>
          <cell r="F105">
            <v>31.532360443140099</v>
          </cell>
          <cell r="H105">
            <v>-58.013795561349205</v>
          </cell>
          <cell r="I105">
            <v>-13.638713875304976</v>
          </cell>
          <cell r="J105">
            <v>0.29049736794370062</v>
          </cell>
          <cell r="K105">
            <v>-44.665579053987933</v>
          </cell>
          <cell r="S105">
            <v>0</v>
          </cell>
          <cell r="T105" t="str">
            <v>Technical variance purchasing</v>
          </cell>
          <cell r="V105">
            <v>-58.013795561349205</v>
          </cell>
          <cell r="W105">
            <v>-38.7283364132687</v>
          </cell>
          <cell r="X105">
            <v>0</v>
          </cell>
          <cell r="Y105">
            <v>-8.186305215619301</v>
          </cell>
          <cell r="Z105">
            <v>-11.099153932461199</v>
          </cell>
          <cell r="AA105">
            <v>0</v>
          </cell>
          <cell r="AB105">
            <v>0</v>
          </cell>
        </row>
        <row r="106">
          <cell r="D106" t="str">
            <v>Direct Labor</v>
          </cell>
          <cell r="E106">
            <v>163.05449557301401</v>
          </cell>
          <cell r="F106">
            <v>9.3745629329501892</v>
          </cell>
          <cell r="H106">
            <v>-153.67993264006381</v>
          </cell>
          <cell r="I106">
            <v>-24.834718880518214</v>
          </cell>
          <cell r="J106">
            <v>-0.70088288323641024</v>
          </cell>
          <cell r="K106">
            <v>-128.1443308763092</v>
          </cell>
          <cell r="S106">
            <v>0</v>
          </cell>
          <cell r="T106" t="str">
            <v>Direct Labor</v>
          </cell>
          <cell r="V106">
            <v>-153.67993264006381</v>
          </cell>
          <cell r="W106">
            <v>-101</v>
          </cell>
          <cell r="X106">
            <v>-51.872283007012499</v>
          </cell>
          <cell r="Y106">
            <v>-0.80764963305135595</v>
          </cell>
          <cell r="Z106">
            <v>0</v>
          </cell>
          <cell r="AA106">
            <v>0</v>
          </cell>
        </row>
        <row r="107">
          <cell r="S107">
            <v>0</v>
          </cell>
          <cell r="T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</row>
        <row r="108">
          <cell r="D108" t="str">
            <v>NON RECURRING</v>
          </cell>
          <cell r="E108">
            <v>-53.661518567315696</v>
          </cell>
          <cell r="F108">
            <v>1063.0374387500269</v>
          </cell>
          <cell r="H108">
            <v>1116.6989573173428</v>
          </cell>
          <cell r="I108">
            <v>0</v>
          </cell>
          <cell r="J108">
            <v>-34.971348490644004</v>
          </cell>
          <cell r="K108">
            <v>1151.6703058079868</v>
          </cell>
          <cell r="L108">
            <v>0</v>
          </cell>
          <cell r="S108">
            <v>0</v>
          </cell>
          <cell r="T108" t="str">
            <v>NON RECURRING</v>
          </cell>
          <cell r="V108">
            <v>1116.6989573173428</v>
          </cell>
          <cell r="W108">
            <v>2.6470071947601497</v>
          </cell>
          <cell r="X108">
            <v>261.83501545361003</v>
          </cell>
          <cell r="Y108">
            <v>450.64717377547328</v>
          </cell>
          <cell r="Z108">
            <v>407.802782589961</v>
          </cell>
          <cell r="AA108">
            <v>0</v>
          </cell>
          <cell r="AB108">
            <v>6.2330216964617193</v>
          </cell>
        </row>
        <row r="109">
          <cell r="D109" t="str">
            <v>Other Sales Variances  - Non recurring</v>
          </cell>
          <cell r="E109">
            <v>-66.6666666666667</v>
          </cell>
          <cell r="F109">
            <v>905.36023236979599</v>
          </cell>
          <cell r="H109">
            <v>972.02689903646274</v>
          </cell>
          <cell r="J109">
            <v>-20.454876635530013</v>
          </cell>
          <cell r="K109">
            <v>992.48177567199275</v>
          </cell>
          <cell r="S109">
            <v>0</v>
          </cell>
          <cell r="T109" t="str">
            <v>Other Sales Variances  - Non recurring</v>
          </cell>
          <cell r="V109">
            <v>972.02689903646274</v>
          </cell>
          <cell r="W109">
            <v>-107.47182707469304</v>
          </cell>
          <cell r="X109">
            <v>261.83501545361003</v>
          </cell>
          <cell r="Y109">
            <v>409.87988382550469</v>
          </cell>
          <cell r="Z109">
            <v>407.802782589961</v>
          </cell>
          <cell r="AA109">
            <v>0</v>
          </cell>
          <cell r="AB109">
            <v>1.8955757919911775E-2</v>
          </cell>
        </row>
        <row r="110">
          <cell r="D110" t="str">
            <v>Other Purchasing Variance  - Non recurring</v>
          </cell>
          <cell r="E110">
            <v>13.005148099351</v>
          </cell>
          <cell r="F110">
            <v>157.67720638023101</v>
          </cell>
          <cell r="H110">
            <v>144.67205828088001</v>
          </cell>
          <cell r="J110">
            <v>-14.516471855113991</v>
          </cell>
          <cell r="K110">
            <v>159.188530135994</v>
          </cell>
          <cell r="S110">
            <v>0</v>
          </cell>
          <cell r="T110" t="str">
            <v>Other Purchasing Variance  - Non recurring</v>
          </cell>
          <cell r="V110">
            <v>144.67205828088001</v>
          </cell>
          <cell r="W110">
            <v>110.11883426945319</v>
          </cell>
          <cell r="X110">
            <v>0</v>
          </cell>
          <cell r="Y110">
            <v>40.767289949968578</v>
          </cell>
          <cell r="Z110">
            <v>0</v>
          </cell>
          <cell r="AA110">
            <v>0</v>
          </cell>
          <cell r="AB110">
            <v>6.2140659385417507</v>
          </cell>
        </row>
        <row r="111">
          <cell r="S111">
            <v>0</v>
          </cell>
          <cell r="T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D112" t="str">
            <v>ROLL-OVER - Sales, Materials &amp; Direct Labor</v>
          </cell>
          <cell r="E112">
            <v>-421.61550285463056</v>
          </cell>
          <cell r="F112">
            <v>0</v>
          </cell>
          <cell r="H112">
            <v>421.61550285463056</v>
          </cell>
          <cell r="I112">
            <v>64.215969343662834</v>
          </cell>
          <cell r="J112">
            <v>0</v>
          </cell>
          <cell r="K112">
            <v>357.39953351096784</v>
          </cell>
          <cell r="L112">
            <v>0</v>
          </cell>
          <cell r="S112">
            <v>0</v>
          </cell>
          <cell r="T112" t="str">
            <v>ROLL-OVER - Sales, Materials &amp; Direct Labor</v>
          </cell>
          <cell r="V112">
            <v>421.61550285463056</v>
          </cell>
          <cell r="W112">
            <v>679.26449275362074</v>
          </cell>
          <cell r="X112">
            <v>-364.44444444444429</v>
          </cell>
          <cell r="Y112">
            <v>47.138047138047099</v>
          </cell>
          <cell r="Z112">
            <v>59.657407407407447</v>
          </cell>
          <cell r="AA112">
            <v>0</v>
          </cell>
          <cell r="AB112">
            <v>4.5474735088646412E-13</v>
          </cell>
        </row>
        <row r="113">
          <cell r="D113" t="str">
            <v>Roll over impact - Sales</v>
          </cell>
          <cell r="E113">
            <v>-1161.93760064412</v>
          </cell>
          <cell r="F113">
            <v>0</v>
          </cell>
          <cell r="H113">
            <v>1161.93760064412</v>
          </cell>
          <cell r="I113">
            <v>176.97392253609459</v>
          </cell>
          <cell r="J113">
            <v>0</v>
          </cell>
          <cell r="K113">
            <v>984.96367810802553</v>
          </cell>
          <cell r="S113">
            <v>0</v>
          </cell>
          <cell r="T113" t="str">
            <v>Roll over impact - Sales</v>
          </cell>
          <cell r="V113">
            <v>1161.93760064412</v>
          </cell>
          <cell r="W113">
            <v>1416.30797101449</v>
          </cell>
          <cell r="X113">
            <v>-328.14814814814798</v>
          </cell>
          <cell r="Y113">
            <v>0</v>
          </cell>
          <cell r="Z113">
            <v>73.7777777777778</v>
          </cell>
          <cell r="AA113">
            <v>0</v>
          </cell>
        </row>
        <row r="114">
          <cell r="D114" t="str">
            <v>Roll over impact - Materials - Economical</v>
          </cell>
          <cell r="E114">
            <v>689.34061630800795</v>
          </cell>
          <cell r="F114">
            <v>0</v>
          </cell>
          <cell r="H114">
            <v>-689.34061630800795</v>
          </cell>
          <cell r="I114">
            <v>-104.99299856020582</v>
          </cell>
          <cell r="J114">
            <v>0</v>
          </cell>
          <cell r="K114">
            <v>-584.34761774780213</v>
          </cell>
          <cell r="S114">
            <v>0</v>
          </cell>
          <cell r="T114" t="str">
            <v>Roll over impact - Materials - Economical</v>
          </cell>
          <cell r="V114">
            <v>-689.34061630800795</v>
          </cell>
          <cell r="W114">
            <v>-676.21014492753602</v>
          </cell>
          <cell r="X114">
            <v>-36.296296296296298</v>
          </cell>
          <cell r="Y114">
            <v>47.138047138047099</v>
          </cell>
          <cell r="Z114">
            <v>-23.9722222222222</v>
          </cell>
          <cell r="AA114">
            <v>0</v>
          </cell>
        </row>
        <row r="115">
          <cell r="D115" t="str">
            <v>Roll over -Materials - VAVE</v>
          </cell>
          <cell r="E115">
            <v>0</v>
          </cell>
          <cell r="F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S115">
            <v>0</v>
          </cell>
          <cell r="T115" t="str">
            <v>Roll over -Materials - VAVE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</row>
        <row r="116">
          <cell r="D116" t="str">
            <v>Roll over - Direct Labor</v>
          </cell>
          <cell r="E116">
            <v>50.981481481481502</v>
          </cell>
          <cell r="F116">
            <v>0</v>
          </cell>
          <cell r="H116">
            <v>-50.981481481481502</v>
          </cell>
          <cell r="I116">
            <v>-7.7649546322259351</v>
          </cell>
          <cell r="J116">
            <v>0</v>
          </cell>
          <cell r="K116">
            <v>-43.216526849255573</v>
          </cell>
          <cell r="S116">
            <v>0</v>
          </cell>
          <cell r="T116" t="str">
            <v>Roll over - Direct Labor</v>
          </cell>
          <cell r="V116">
            <v>-50.981481481481502</v>
          </cell>
          <cell r="W116">
            <v>-60.8333333333333</v>
          </cell>
          <cell r="X116">
            <v>0</v>
          </cell>
          <cell r="Y116">
            <v>0</v>
          </cell>
          <cell r="Z116">
            <v>9.8518518518518494</v>
          </cell>
          <cell r="AA116">
            <v>0</v>
          </cell>
        </row>
        <row r="117">
          <cell r="S117">
            <v>0</v>
          </cell>
          <cell r="T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</row>
        <row r="118">
          <cell r="D118" t="str">
            <v>DIRECT LABOR - Rate variance</v>
          </cell>
          <cell r="E118">
            <v>-265.77401429756497</v>
          </cell>
          <cell r="F118">
            <v>-56.073582042675397</v>
          </cell>
          <cell r="H118">
            <v>209.70043225488956</v>
          </cell>
          <cell r="I118">
            <v>40.479858636410654</v>
          </cell>
          <cell r="J118">
            <v>3.1159521885255046</v>
          </cell>
          <cell r="K118">
            <v>166.10462142995343</v>
          </cell>
          <cell r="L118">
            <v>0</v>
          </cell>
          <cell r="S118">
            <v>0</v>
          </cell>
          <cell r="T118" t="str">
            <v>DIRECT LABOR - Rate variance</v>
          </cell>
          <cell r="U118" t="str">
            <v>Volume impact &amp; less wage inflation (mainly in Europe and IOP)</v>
          </cell>
          <cell r="V118">
            <v>209.70043225488956</v>
          </cell>
          <cell r="W118">
            <v>158.51448102585468</v>
          </cell>
          <cell r="X118">
            <v>0</v>
          </cell>
          <cell r="Y118">
            <v>14.380395673479757</v>
          </cell>
          <cell r="Z118">
            <v>36.8055555555556</v>
          </cell>
          <cell r="AA118">
            <v>0</v>
          </cell>
          <cell r="AB118">
            <v>4.5474735088646412E-13</v>
          </cell>
        </row>
        <row r="119">
          <cell r="D119" t="str">
            <v>Direct Labor - Rate Variance</v>
          </cell>
          <cell r="E119">
            <v>-265.77401429756497</v>
          </cell>
          <cell r="F119">
            <v>-56.073582042675397</v>
          </cell>
          <cell r="H119">
            <v>209.70043225488956</v>
          </cell>
          <cell r="I119">
            <v>40.479858636410654</v>
          </cell>
          <cell r="J119">
            <v>3.1159521885255046</v>
          </cell>
          <cell r="K119">
            <v>166.10462142995343</v>
          </cell>
          <cell r="S119">
            <v>0</v>
          </cell>
          <cell r="T119" t="str">
            <v>Direct Labor - Rate Variance</v>
          </cell>
          <cell r="V119">
            <v>209.70043225488956</v>
          </cell>
          <cell r="W119">
            <v>158.51448102585468</v>
          </cell>
          <cell r="X119">
            <v>0</v>
          </cell>
          <cell r="Y119">
            <v>14.380395673479757</v>
          </cell>
          <cell r="Z119">
            <v>36.8055555555556</v>
          </cell>
          <cell r="AA119">
            <v>0</v>
          </cell>
        </row>
        <row r="120">
          <cell r="S120">
            <v>0</v>
          </cell>
          <cell r="T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D121" t="str">
            <v>ECONOMICAL PERFORMANCE</v>
          </cell>
          <cell r="E121">
            <v>123.11540901396518</v>
          </cell>
          <cell r="F121">
            <v>904.89437517625333</v>
          </cell>
          <cell r="H121">
            <v>781.77896616228816</v>
          </cell>
          <cell r="I121">
            <v>-26.924773129465493</v>
          </cell>
          <cell r="J121">
            <v>-24.506246976988422</v>
          </cell>
          <cell r="K121">
            <v>833.20998626874211</v>
          </cell>
          <cell r="L121">
            <v>0</v>
          </cell>
          <cell r="S121">
            <v>0</v>
          </cell>
          <cell r="T121" t="str">
            <v>ECONOMICAL PERFORMANCE</v>
          </cell>
          <cell r="V121">
            <v>781.77896616228816</v>
          </cell>
          <cell r="W121">
            <v>814.22776047207037</v>
          </cell>
          <cell r="X121">
            <v>-1542.7623568805016</v>
          </cell>
          <cell r="Y121">
            <v>672.77893151590774</v>
          </cell>
          <cell r="Z121">
            <v>605.79754176965025</v>
          </cell>
          <cell r="AA121">
            <v>0</v>
          </cell>
          <cell r="AB121">
            <v>-231.73708928516135</v>
          </cell>
        </row>
        <row r="122">
          <cell r="C122" t="str">
            <v>INDUSTRIAL 
PERFORMANCE</v>
          </cell>
          <cell r="D122" t="str">
            <v>START-UP COSTS</v>
          </cell>
          <cell r="E122">
            <v>-120.84456887717751</v>
          </cell>
          <cell r="F122">
            <v>-82.217483843107601</v>
          </cell>
          <cell r="H122">
            <v>38.627085034069907</v>
          </cell>
          <cell r="I122">
            <v>0</v>
          </cell>
          <cell r="J122">
            <v>0.44599270986180173</v>
          </cell>
          <cell r="K122">
            <v>0</v>
          </cell>
          <cell r="L122">
            <v>38.181092324208109</v>
          </cell>
          <cell r="S122" t="str">
            <v>INDUSTRIAL 
PERFORMANCE</v>
          </cell>
          <cell r="T122" t="str">
            <v>START-UP COSTS</v>
          </cell>
          <cell r="V122">
            <v>38.627085034069907</v>
          </cell>
          <cell r="W122">
            <v>19.708921927952588</v>
          </cell>
          <cell r="X122">
            <v>-4.0002794105652999</v>
          </cell>
          <cell r="Y122">
            <v>21.066590664830841</v>
          </cell>
          <cell r="Z122">
            <v>1.8518518518518501</v>
          </cell>
          <cell r="AA122">
            <v>0</v>
          </cell>
          <cell r="AB122">
            <v>7.1054273576010019E-14</v>
          </cell>
        </row>
        <row r="123">
          <cell r="D123" t="str">
            <v>Materials</v>
          </cell>
          <cell r="E123">
            <v>-65.535926901868905</v>
          </cell>
          <cell r="F123">
            <v>-21.917174170535699</v>
          </cell>
          <cell r="H123">
            <v>43.618752731333203</v>
          </cell>
          <cell r="J123">
            <v>-0.39291588721939874</v>
          </cell>
          <cell r="L123">
            <v>44.011668618552605</v>
          </cell>
          <cell r="S123">
            <v>0</v>
          </cell>
          <cell r="T123" t="str">
            <v>Materials</v>
          </cell>
          <cell r="V123">
            <v>43.618752731333203</v>
          </cell>
          <cell r="W123">
            <v>21.902231248743689</v>
          </cell>
          <cell r="X123">
            <v>-1.6144268505666695</v>
          </cell>
          <cell r="Y123">
            <v>21.47909648130431</v>
          </cell>
          <cell r="Z123">
            <v>1.8518518518518501</v>
          </cell>
          <cell r="AA123">
            <v>0</v>
          </cell>
          <cell r="AB123">
            <v>0</v>
          </cell>
        </row>
        <row r="124">
          <cell r="D124" t="str">
            <v>Direct Labor</v>
          </cell>
          <cell r="E124">
            <v>-55.308641975308603</v>
          </cell>
          <cell r="F124">
            <v>-60.300309672571899</v>
          </cell>
          <cell r="H124">
            <v>-4.9916676972632956</v>
          </cell>
          <cell r="J124">
            <v>0.83890859708120047</v>
          </cell>
          <cell r="L124">
            <v>-5.8305762943444961</v>
          </cell>
          <cell r="S124">
            <v>0</v>
          </cell>
          <cell r="T124" t="str">
            <v>Direct Labor</v>
          </cell>
          <cell r="V124">
            <v>-4.9916676972632956</v>
          </cell>
          <cell r="W124">
            <v>-2.1933093207911014</v>
          </cell>
          <cell r="X124">
            <v>-2.3858525599986304</v>
          </cell>
          <cell r="Y124">
            <v>-0.41250581647346984</v>
          </cell>
          <cell r="Z124">
            <v>0</v>
          </cell>
          <cell r="AA124">
            <v>0</v>
          </cell>
          <cell r="AB124">
            <v>9.4146912488213275E-14</v>
          </cell>
        </row>
        <row r="125">
          <cell r="S125">
            <v>0</v>
          </cell>
          <cell r="T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D126" t="str">
            <v>MATERIAL</v>
          </cell>
          <cell r="E126">
            <v>-648.8645167455561</v>
          </cell>
          <cell r="F126">
            <v>-1372.0698759030865</v>
          </cell>
          <cell r="H126">
            <v>-723.20535915753044</v>
          </cell>
          <cell r="I126">
            <v>46.106359884351392</v>
          </cell>
          <cell r="J126">
            <v>71.375381827195895</v>
          </cell>
          <cell r="K126">
            <v>0</v>
          </cell>
          <cell r="L126">
            <v>-840.68710086907777</v>
          </cell>
          <cell r="S126">
            <v>0</v>
          </cell>
          <cell r="T126" t="str">
            <v>MATERIAL</v>
          </cell>
          <cell r="V126">
            <v>-723.20535915753044</v>
          </cell>
          <cell r="W126">
            <v>84.493645661495577</v>
          </cell>
          <cell r="X126">
            <v>90.840251636764904</v>
          </cell>
          <cell r="Y126">
            <v>-26.58286954748754</v>
          </cell>
          <cell r="Z126">
            <v>-871.95638690830401</v>
          </cell>
          <cell r="AA126">
            <v>0</v>
          </cell>
          <cell r="AB126">
            <v>0</v>
          </cell>
        </row>
        <row r="127">
          <cell r="D127" t="str">
            <v>Scrap variance</v>
          </cell>
          <cell r="E127">
            <v>-328.17503741114899</v>
          </cell>
          <cell r="F127">
            <v>-577.46724839974502</v>
          </cell>
          <cell r="H127">
            <v>-249.29221098859603</v>
          </cell>
          <cell r="I127">
            <v>49.984115856897006</v>
          </cell>
          <cell r="J127">
            <v>3.749555983323944</v>
          </cell>
          <cell r="L127">
            <v>-303.02588282881698</v>
          </cell>
          <cell r="S127">
            <v>0</v>
          </cell>
          <cell r="T127" t="str">
            <v>Scrap variance</v>
          </cell>
          <cell r="U127" t="str">
            <v>Europe -85 K€ slight volume impact positive but still issues in Beaulieu, Pisek, Trabitz, Messei, Pfaffenheim &amp; Vigo
NAO +58 K€ mainly due to volume impact
Asia -63 K€ mainly due to accrual made for price difference on steel (still wrongly classified)
IOP</v>
          </cell>
          <cell r="V127">
            <v>-249.29221098859603</v>
          </cell>
          <cell r="W127">
            <v>-79.284172399936011</v>
          </cell>
          <cell r="X127">
            <v>74.319082665133692</v>
          </cell>
          <cell r="Y127">
            <v>-21.407167495415312</v>
          </cell>
          <cell r="Z127">
            <v>-222.91995375837797</v>
          </cell>
          <cell r="AA127">
            <v>0</v>
          </cell>
          <cell r="AB127">
            <v>4.2632564145606011E-13</v>
          </cell>
        </row>
        <row r="128">
          <cell r="D128" t="str">
            <v>Physical inventory variance</v>
          </cell>
          <cell r="E128">
            <v>-29</v>
          </cell>
          <cell r="F128">
            <v>-52.921066754038598</v>
          </cell>
          <cell r="H128">
            <v>-23.921066754038598</v>
          </cell>
          <cell r="J128">
            <v>-5.6255756107213983</v>
          </cell>
          <cell r="L128">
            <v>-18.2954911433172</v>
          </cell>
          <cell r="S128">
            <v>0</v>
          </cell>
          <cell r="T128" t="str">
            <v>Physical inventory variance</v>
          </cell>
          <cell r="V128">
            <v>-23.921066754038598</v>
          </cell>
          <cell r="W128">
            <v>32.998196546155881</v>
          </cell>
          <cell r="X128">
            <v>0</v>
          </cell>
          <cell r="Y128">
            <v>7.6575701161404903E-3</v>
          </cell>
          <cell r="Z128">
            <v>-56.926920870310603</v>
          </cell>
          <cell r="AA128">
            <v>0</v>
          </cell>
          <cell r="AB128">
            <v>0</v>
          </cell>
        </row>
        <row r="129">
          <cell r="D129" t="str">
            <v>Exceptional subcontracting</v>
          </cell>
          <cell r="E129">
            <v>0</v>
          </cell>
          <cell r="F129">
            <v>-8</v>
          </cell>
          <cell r="H129">
            <v>-8</v>
          </cell>
          <cell r="J129">
            <v>0</v>
          </cell>
          <cell r="L129">
            <v>-8</v>
          </cell>
          <cell r="S129">
            <v>0</v>
          </cell>
          <cell r="T129" t="str">
            <v>Exceptional subcontracting</v>
          </cell>
          <cell r="V129">
            <v>-8</v>
          </cell>
          <cell r="W129">
            <v>-8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</row>
        <row r="130">
          <cell r="D130" t="str">
            <v>Normal incoming freight</v>
          </cell>
          <cell r="E130">
            <v>25.459742351046671</v>
          </cell>
          <cell r="F130">
            <v>-87.01652928113181</v>
          </cell>
          <cell r="H130">
            <v>-112.47627163217848</v>
          </cell>
          <cell r="I130">
            <v>-3.877755972545617</v>
          </cell>
          <cell r="J130">
            <v>20.887351854432396</v>
          </cell>
          <cell r="L130">
            <v>-129.48586751406526</v>
          </cell>
          <cell r="S130">
            <v>0</v>
          </cell>
          <cell r="T130" t="str">
            <v>Normal incoming freight</v>
          </cell>
          <cell r="U130" t="str">
            <v>Mainly due to NAO -170 K€ problem in budget ???</v>
          </cell>
          <cell r="V130">
            <v>-112.47627163217848</v>
          </cell>
          <cell r="W130">
            <v>83.265920477951894</v>
          </cell>
          <cell r="X130">
            <v>-165.29798311940564</v>
          </cell>
          <cell r="Y130">
            <v>0</v>
          </cell>
          <cell r="Z130">
            <v>-30.444208990725233</v>
          </cell>
          <cell r="AA130">
            <v>0</v>
          </cell>
          <cell r="AB130">
            <v>-4.9737991503207013E-13</v>
          </cell>
        </row>
        <row r="131">
          <cell r="D131" t="str">
            <v>Exceptional Income freight</v>
          </cell>
          <cell r="E131">
            <v>-6.6666666666666696</v>
          </cell>
          <cell r="F131">
            <v>-16.2683164231772</v>
          </cell>
          <cell r="H131">
            <v>-9.6016497565105308</v>
          </cell>
          <cell r="J131">
            <v>0.50946135460059949</v>
          </cell>
          <cell r="L131">
            <v>-10.11111111111113</v>
          </cell>
          <cell r="S131">
            <v>0</v>
          </cell>
          <cell r="T131" t="str">
            <v>Exceptional Income freight</v>
          </cell>
          <cell r="V131">
            <v>-9.6016497565105308</v>
          </cell>
          <cell r="W131">
            <v>-14</v>
          </cell>
          <cell r="X131">
            <v>6.6666666666666696</v>
          </cell>
          <cell r="Y131">
            <v>0</v>
          </cell>
          <cell r="Z131">
            <v>-2.26831642317718</v>
          </cell>
          <cell r="AA131">
            <v>0</v>
          </cell>
          <cell r="AB131">
            <v>1.9539925233402755E-14</v>
          </cell>
        </row>
        <row r="132">
          <cell r="D132" t="str">
            <v>Manufacturing variance</v>
          </cell>
          <cell r="E132">
            <v>-296.48255501878702</v>
          </cell>
          <cell r="F132">
            <v>-12.7107582374608</v>
          </cell>
          <cell r="H132">
            <v>283.7717967813262</v>
          </cell>
          <cell r="J132">
            <v>-1.9918623543136995</v>
          </cell>
          <cell r="L132">
            <v>285.7636591356399</v>
          </cell>
          <cell r="S132">
            <v>0</v>
          </cell>
          <cell r="T132" t="str">
            <v>Manufacturing variance</v>
          </cell>
          <cell r="U132" t="str">
            <v>Europe -591 K€ mainly due to Division accrual -290 K€ &amp; inventory -160 K€</v>
          </cell>
          <cell r="V132">
            <v>283.7717967813262</v>
          </cell>
          <cell r="W132">
            <v>105.71407647302431</v>
          </cell>
          <cell r="X132">
            <v>175.15248542437018</v>
          </cell>
          <cell r="Y132">
            <v>-5.1833596221883695</v>
          </cell>
          <cell r="Z132">
            <v>8.0885945061198896</v>
          </cell>
          <cell r="AA132">
            <v>0</v>
          </cell>
          <cell r="AB132">
            <v>0</v>
          </cell>
        </row>
        <row r="133">
          <cell r="D133" t="str">
            <v>Inventory depreciation / extinction</v>
          </cell>
          <cell r="E133">
            <v>-14</v>
          </cell>
          <cell r="F133">
            <v>-617.68595680753299</v>
          </cell>
          <cell r="H133">
            <v>-603.68595680753299</v>
          </cell>
          <cell r="J133">
            <v>53.846450599874061</v>
          </cell>
          <cell r="L133">
            <v>-657.53240740740705</v>
          </cell>
          <cell r="S133">
            <v>0</v>
          </cell>
          <cell r="T133" t="str">
            <v>Inventory depreciation / extinction</v>
          </cell>
          <cell r="V133">
            <v>-603.68595680753299</v>
          </cell>
          <cell r="W133">
            <v>-36.200375435700501</v>
          </cell>
          <cell r="X133">
            <v>0</v>
          </cell>
          <cell r="Y133">
            <v>0</v>
          </cell>
          <cell r="Z133">
            <v>-567.48558137183295</v>
          </cell>
          <cell r="AA133">
            <v>0</v>
          </cell>
          <cell r="AB133">
            <v>0</v>
          </cell>
        </row>
        <row r="134">
          <cell r="S134">
            <v>0</v>
          </cell>
          <cell r="T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D135" t="str">
            <v>DL - Calendarization, Cost of unemployment &amp; other economical</v>
          </cell>
          <cell r="E135">
            <v>-226.25</v>
          </cell>
          <cell r="F135">
            <v>-407.32015257048801</v>
          </cell>
          <cell r="H135">
            <v>-181.07015257048801</v>
          </cell>
          <cell r="I135">
            <v>34.459983007344832</v>
          </cell>
          <cell r="J135">
            <v>10.978559184745489</v>
          </cell>
          <cell r="K135">
            <v>0</v>
          </cell>
          <cell r="L135">
            <v>-226.50869476257833</v>
          </cell>
          <cell r="S135">
            <v>0</v>
          </cell>
          <cell r="T135" t="str">
            <v>DL - Calendarization, Cost of unemployment &amp; other economical</v>
          </cell>
          <cell r="V135">
            <v>-181.07015257048801</v>
          </cell>
          <cell r="W135">
            <v>-183.24988229570741</v>
          </cell>
          <cell r="X135">
            <v>0</v>
          </cell>
          <cell r="Y135">
            <v>0</v>
          </cell>
          <cell r="Z135">
            <v>2.1797297252194401</v>
          </cell>
          <cell r="AA135">
            <v>0</v>
          </cell>
          <cell r="AB135">
            <v>0</v>
          </cell>
        </row>
        <row r="136">
          <cell r="D136" t="str">
            <v>Direct Labor - Calendarization</v>
          </cell>
          <cell r="E136">
            <v>-226.25</v>
          </cell>
          <cell r="F136">
            <v>-387.61150476478701</v>
          </cell>
          <cell r="H136">
            <v>-161.36150476478701</v>
          </cell>
          <cell r="I136">
            <v>34.459983007344832</v>
          </cell>
          <cell r="J136">
            <v>7.5134952352129858</v>
          </cell>
          <cell r="L136">
            <v>-203.33498300734482</v>
          </cell>
          <cell r="S136">
            <v>0</v>
          </cell>
          <cell r="T136" t="str">
            <v>Direct Labor - Calendarization</v>
          </cell>
          <cell r="U136" t="str">
            <v>Europe effect</v>
          </cell>
          <cell r="V136">
            <v>-161.36150476478701</v>
          </cell>
          <cell r="W136">
            <v>-161.36150476478701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</row>
        <row r="137">
          <cell r="D137" t="str">
            <v>Direct Labor - Other economical variances</v>
          </cell>
          <cell r="E137">
            <v>0</v>
          </cell>
          <cell r="F137">
            <v>-19.708647805700998</v>
          </cell>
          <cell r="H137">
            <v>-19.708647805700998</v>
          </cell>
          <cell r="I137">
            <v>0</v>
          </cell>
          <cell r="J137">
            <v>3.4650639495325031</v>
          </cell>
          <cell r="L137">
            <v>-23.173711755233501</v>
          </cell>
          <cell r="S137">
            <v>0</v>
          </cell>
          <cell r="T137" t="str">
            <v>Direct Labor - Other economical variances</v>
          </cell>
          <cell r="U137" t="str">
            <v>Europe effect</v>
          </cell>
          <cell r="V137">
            <v>-19.708647805700998</v>
          </cell>
          <cell r="W137">
            <v>-21.888377530920401</v>
          </cell>
          <cell r="X137">
            <v>0</v>
          </cell>
          <cell r="Y137">
            <v>0</v>
          </cell>
          <cell r="Z137">
            <v>2.1797297252194401</v>
          </cell>
          <cell r="AA137">
            <v>0</v>
          </cell>
          <cell r="AB137">
            <v>3.5527136788005009E-14</v>
          </cell>
        </row>
        <row r="138">
          <cell r="S138">
            <v>0</v>
          </cell>
          <cell r="T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D139" t="str">
            <v>DL - Efficiency variances</v>
          </cell>
          <cell r="E139">
            <v>-1423.2938550833098</v>
          </cell>
          <cell r="F139">
            <v>-625.52426073485719</v>
          </cell>
          <cell r="H139">
            <v>797.76959434845253</v>
          </cell>
          <cell r="I139">
            <v>216.78091518510129</v>
          </cell>
          <cell r="J139">
            <v>20.925647061468165</v>
          </cell>
          <cell r="K139">
            <v>0</v>
          </cell>
          <cell r="L139">
            <v>560.0630321018831</v>
          </cell>
          <cell r="S139">
            <v>0</v>
          </cell>
          <cell r="T139" t="str">
            <v>DL - Efficiency variances</v>
          </cell>
          <cell r="V139">
            <v>797.76959434845253</v>
          </cell>
          <cell r="W139">
            <v>-50.694808307290579</v>
          </cell>
          <cell r="X139">
            <v>194.41115996273601</v>
          </cell>
          <cell r="Y139">
            <v>320.04315461013175</v>
          </cell>
          <cell r="Z139">
            <v>111.01008808287379</v>
          </cell>
          <cell r="AA139">
            <v>223</v>
          </cell>
          <cell r="AB139">
            <v>-1.5916157281026244E-12</v>
          </cell>
        </row>
        <row r="140">
          <cell r="D140" t="str">
            <v>Direct Labor - Efficiency Variance</v>
          </cell>
          <cell r="E140">
            <v>-1131.1688550833101</v>
          </cell>
          <cell r="F140">
            <v>-337.023712759239</v>
          </cell>
          <cell r="H140">
            <v>794.145142324071</v>
          </cell>
          <cell r="I140">
            <v>172.28755590987214</v>
          </cell>
          <cell r="J140">
            <v>16.666094026984979</v>
          </cell>
          <cell r="L140">
            <v>605.191492387214</v>
          </cell>
          <cell r="S140">
            <v>0</v>
          </cell>
          <cell r="T140" t="str">
            <v>Direct Labor - Efficiency Variance</v>
          </cell>
          <cell r="U140" t="str">
            <v>Europe -196 K€ mainly due low efficiency in Bakov, Messei, Pfaffenhain, Beaulieu, Zilina &amp; Trabitz (absenteeism, lack of flex)
NAO +191 K€ mainly due to flexibilisation
Asia NS
IOP +85 K€
Boards +220 K€</v>
          </cell>
          <cell r="V140">
            <v>794.145142324071</v>
          </cell>
          <cell r="W140">
            <v>-55.305015852009035</v>
          </cell>
          <cell r="X140">
            <v>194.41115996273601</v>
          </cell>
          <cell r="Y140">
            <v>321.02891013046883</v>
          </cell>
          <cell r="Z140">
            <v>111.01008808287379</v>
          </cell>
          <cell r="AA140">
            <v>223</v>
          </cell>
          <cell r="AB140">
            <v>-1.3642420526593924E-12</v>
          </cell>
        </row>
        <row r="141">
          <cell r="D141" t="str">
            <v>Direct Labor - additional needs of headcount (quality walls…)</v>
          </cell>
          <cell r="E141">
            <v>-294.20833333333297</v>
          </cell>
          <cell r="F141">
            <v>-286.70371168742798</v>
          </cell>
          <cell r="H141">
            <v>7.5046216459049901</v>
          </cell>
          <cell r="I141">
            <v>44.810670352644856</v>
          </cell>
          <cell r="J141">
            <v>4.0980559893400255</v>
          </cell>
          <cell r="L141">
            <v>-41.404104696079891</v>
          </cell>
          <cell r="S141">
            <v>0</v>
          </cell>
          <cell r="T141" t="str">
            <v>Direct Labor - additional needs of headcount (quality walls…)</v>
          </cell>
          <cell r="U141" t="str">
            <v>Europe effect</v>
          </cell>
          <cell r="V141">
            <v>7.5046216459049901</v>
          </cell>
          <cell r="W141">
            <v>8.4903771662419558</v>
          </cell>
          <cell r="X141">
            <v>0</v>
          </cell>
          <cell r="Y141">
            <v>-0.98575552033707603</v>
          </cell>
          <cell r="Z141">
            <v>0</v>
          </cell>
          <cell r="AA141">
            <v>0</v>
          </cell>
          <cell r="AB141">
            <v>-1.1013412404281553E-13</v>
          </cell>
        </row>
        <row r="142">
          <cell r="D142" t="str">
            <v>Direct Labor - Logistics efficiency variances</v>
          </cell>
          <cell r="E142">
            <v>2.0833333333333299</v>
          </cell>
          <cell r="F142">
            <v>-1.7968362881901701</v>
          </cell>
          <cell r="H142">
            <v>-3.8801696215234998</v>
          </cell>
          <cell r="I142">
            <v>-0.31731107741569775</v>
          </cell>
          <cell r="J142">
            <v>0.16149704514315988</v>
          </cell>
          <cell r="L142">
            <v>-3.7243555892509619</v>
          </cell>
          <cell r="S142">
            <v>0</v>
          </cell>
          <cell r="T142" t="str">
            <v>Direct Labor - Logistics efficiency variances</v>
          </cell>
          <cell r="U142" t="str">
            <v>Europe effect</v>
          </cell>
          <cell r="V142">
            <v>-3.8801696215234998</v>
          </cell>
          <cell r="W142">
            <v>-3.8801696215234998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</row>
        <row r="143">
          <cell r="S143">
            <v>0</v>
          </cell>
          <cell r="T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</row>
        <row r="144">
          <cell r="D144" t="str">
            <v>FREIGHT-OUT Variance</v>
          </cell>
          <cell r="E144">
            <v>11.2173913043478</v>
          </cell>
          <cell r="F144">
            <v>6.9105451539845397</v>
          </cell>
          <cell r="H144">
            <v>-4.3068461503632598</v>
          </cell>
          <cell r="I144">
            <v>-1.7085132098765208</v>
          </cell>
          <cell r="J144">
            <v>-2.3237113131060028E-2</v>
          </cell>
          <cell r="K144">
            <v>0</v>
          </cell>
          <cell r="L144">
            <v>-2.5750958273556801</v>
          </cell>
          <cell r="S144">
            <v>0</v>
          </cell>
          <cell r="T144" t="str">
            <v>FREIGHT-OUT Variance</v>
          </cell>
          <cell r="V144">
            <v>-4.3068461503632598</v>
          </cell>
          <cell r="W144">
            <v>-17.88737081039589</v>
          </cell>
          <cell r="X144">
            <v>0</v>
          </cell>
          <cell r="Y144">
            <v>0.87475556078993</v>
          </cell>
          <cell r="Z144">
            <v>12.705769099242699</v>
          </cell>
          <cell r="AA144">
            <v>0</v>
          </cell>
          <cell r="AB144">
            <v>0</v>
          </cell>
        </row>
        <row r="145">
          <cell r="D145" t="str">
            <v>Exceptional Freight-out</v>
          </cell>
          <cell r="E145">
            <v>11.2173913043478</v>
          </cell>
          <cell r="F145">
            <v>6.9105451539845397</v>
          </cell>
          <cell r="H145">
            <v>-4.3068461503632598</v>
          </cell>
          <cell r="I145">
            <v>-1.7085132098765208</v>
          </cell>
          <cell r="J145">
            <v>-2.3237113131060028E-2</v>
          </cell>
          <cell r="L145">
            <v>-2.5750958273556801</v>
          </cell>
          <cell r="S145">
            <v>0</v>
          </cell>
          <cell r="T145" t="str">
            <v>Exceptional Freight-out</v>
          </cell>
          <cell r="V145">
            <v>-4.3068461503632598</v>
          </cell>
          <cell r="W145">
            <v>-17.88737081039589</v>
          </cell>
          <cell r="X145">
            <v>0</v>
          </cell>
          <cell r="Y145">
            <v>0.87475556078993</v>
          </cell>
          <cell r="Z145">
            <v>12.705769099242699</v>
          </cell>
          <cell r="AA145">
            <v>0</v>
          </cell>
          <cell r="AB145">
            <v>0</v>
          </cell>
        </row>
        <row r="146">
          <cell r="S146">
            <v>0</v>
          </cell>
          <cell r="T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</row>
        <row r="147">
          <cell r="D147" t="str">
            <v>INDUSTRIAL PERFORMANCE</v>
          </cell>
          <cell r="E147">
            <v>-2408.0355494016958</v>
          </cell>
          <cell r="F147">
            <v>-2480.2212278975549</v>
          </cell>
          <cell r="H147">
            <v>-72.185678495859364</v>
          </cell>
          <cell r="I147">
            <v>295.638744866921</v>
          </cell>
          <cell r="J147">
            <v>103.70234367014029</v>
          </cell>
          <cell r="K147">
            <v>0</v>
          </cell>
          <cell r="L147">
            <v>-471.52676703292053</v>
          </cell>
          <cell r="S147">
            <v>0</v>
          </cell>
          <cell r="T147" t="str">
            <v>INDUSTRIAL PERFORMANCE</v>
          </cell>
          <cell r="V147">
            <v>-72.185678495859364</v>
          </cell>
          <cell r="W147">
            <v>-147.62949382394572</v>
          </cell>
          <cell r="X147">
            <v>281.25113218893557</v>
          </cell>
          <cell r="Y147">
            <v>315.40163128826498</v>
          </cell>
          <cell r="Z147">
            <v>-744.20894814911628</v>
          </cell>
          <cell r="AA147">
            <v>223</v>
          </cell>
          <cell r="AB147">
            <v>-2.0889956431346945E-12</v>
          </cell>
        </row>
        <row r="149">
          <cell r="C149" t="str">
            <v>ACTUAL</v>
          </cell>
          <cell r="S149" t="str">
            <v>ACTUAL</v>
          </cell>
        </row>
        <row r="150">
          <cell r="C150" t="str">
            <v>Sales</v>
          </cell>
          <cell r="E150">
            <v>94572.258701689294</v>
          </cell>
          <cell r="F150">
            <v>75433.355738969796</v>
          </cell>
          <cell r="H150">
            <v>-19138.902962719498</v>
          </cell>
          <cell r="I150">
            <v>-14414.390099566495</v>
          </cell>
          <cell r="J150">
            <v>-3353.031272094202</v>
          </cell>
          <cell r="K150">
            <v>-1371.4815910586924</v>
          </cell>
          <cell r="L150">
            <v>0</v>
          </cell>
          <cell r="S150" t="str">
            <v>Sales</v>
          </cell>
          <cell r="V150">
            <v>-19138.902962719498</v>
          </cell>
          <cell r="W150">
            <v>-8026.3479498464949</v>
          </cell>
          <cell r="X150">
            <v>-11058.958648243701</v>
          </cell>
          <cell r="Y150">
            <v>2252.1633719558995</v>
          </cell>
          <cell r="Z150">
            <v>-2684.2400889117698</v>
          </cell>
          <cell r="AA150">
            <v>0</v>
          </cell>
          <cell r="AB150">
            <v>-378.48035232656912</v>
          </cell>
        </row>
        <row r="151">
          <cell r="C151" t="str">
            <v>Materials</v>
          </cell>
          <cell r="E151">
            <v>-53557.454525278801</v>
          </cell>
          <cell r="F151">
            <v>-42270.764205083302</v>
          </cell>
          <cell r="H151">
            <v>11286.690320195499</v>
          </cell>
          <cell r="I151">
            <v>7846.8015196489187</v>
          </cell>
          <cell r="J151">
            <v>2024.6164191740972</v>
          </cell>
          <cell r="K151">
            <v>2209.9478136230455</v>
          </cell>
          <cell r="L151">
            <v>-796.6754322505252</v>
          </cell>
          <cell r="S151" t="str">
            <v>Materials</v>
          </cell>
          <cell r="V151">
            <v>11286.690320195499</v>
          </cell>
          <cell r="W151">
            <v>5540.4315004283017</v>
          </cell>
          <cell r="X151">
            <v>5770.0081715754595</v>
          </cell>
          <cell r="Y151">
            <v>-940.42835600260878</v>
          </cell>
          <cell r="Z151">
            <v>1295.1593565208404</v>
          </cell>
          <cell r="AA151">
            <v>0</v>
          </cell>
          <cell r="AB151">
            <v>378.48035232649272</v>
          </cell>
        </row>
        <row r="152">
          <cell r="C152" t="str">
            <v>% of pdt sales wo Mono.</v>
          </cell>
          <cell r="E152">
            <v>-0.56631252399518017</v>
          </cell>
          <cell r="F152">
            <v>-0.56037231528393616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</row>
        <row r="153">
          <cell r="C153" t="str">
            <v>Direct Labor Cost</v>
          </cell>
          <cell r="E153">
            <v>-9430.4743062671805</v>
          </cell>
          <cell r="F153">
            <v>-7383.2701969133896</v>
          </cell>
          <cell r="H153">
            <v>2047.204109353791</v>
          </cell>
          <cell r="I153">
            <v>1501.8784450543831</v>
          </cell>
          <cell r="J153">
            <v>222.85813955005051</v>
          </cell>
          <cell r="K153">
            <v>-5.2562362956113446</v>
          </cell>
          <cell r="L153">
            <v>327.72376104496027</v>
          </cell>
          <cell r="S153" t="str">
            <v>Direct Labor Cost</v>
          </cell>
          <cell r="V153">
            <v>2047.204109353791</v>
          </cell>
          <cell r="W153">
            <v>418.65270513439918</v>
          </cell>
          <cell r="X153">
            <v>889.06718893633001</v>
          </cell>
          <cell r="Y153">
            <v>265.66589466639897</v>
          </cell>
          <cell r="Z153">
            <v>250.81832061666699</v>
          </cell>
          <cell r="AA153">
            <v>223</v>
          </cell>
          <cell r="AB153">
            <v>4.3200998334214091E-12</v>
          </cell>
        </row>
        <row r="154">
          <cell r="C154" t="str">
            <v>% of pdt sales wo Mono.</v>
          </cell>
          <cell r="E154">
            <v>-9.9717130961351666E-2</v>
          </cell>
          <cell r="F154">
            <v>-9.7878055729915009E-2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C155" t="str">
            <v>Freight-out</v>
          </cell>
          <cell r="E155">
            <v>-933.82924380891404</v>
          </cell>
          <cell r="F155">
            <v>-826.53895465013898</v>
          </cell>
          <cell r="H155">
            <v>107.29028915877507</v>
          </cell>
          <cell r="I155">
            <v>88.991907769812542</v>
          </cell>
          <cell r="J155">
            <v>20.873477216318975</v>
          </cell>
          <cell r="K155">
            <v>0</v>
          </cell>
          <cell r="L155">
            <v>-2.5750958273556801</v>
          </cell>
          <cell r="S155" t="str">
            <v>Freight-out</v>
          </cell>
          <cell r="V155">
            <v>107.29028915877507</v>
          </cell>
          <cell r="W155">
            <v>18.048358903869996</v>
          </cell>
          <cell r="X155">
            <v>11.7404427201679</v>
          </cell>
          <cell r="Y155">
            <v>21.32481085441799</v>
          </cell>
          <cell r="Z155">
            <v>-87.823323319681009</v>
          </cell>
          <cell r="AA155">
            <v>144</v>
          </cell>
          <cell r="AB155">
            <v>-1.8474111129762605E-13</v>
          </cell>
        </row>
        <row r="156">
          <cell r="C156" t="str">
            <v>% of pdt sales wo Mono.</v>
          </cell>
          <cell r="E156">
            <v>-9.874240677221275E-3</v>
          </cell>
          <cell r="F156">
            <v>-1.0957207810166913E-2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C157" t="str">
            <v>VARIABLE COST MARGIN - ACTUAL</v>
          </cell>
          <cell r="E157">
            <v>30650.5006263344</v>
          </cell>
          <cell r="F157">
            <v>24952.782382322901</v>
          </cell>
          <cell r="H157">
            <v>-5697.7182440114339</v>
          </cell>
          <cell r="I157">
            <v>-4976.7182270933818</v>
          </cell>
          <cell r="J157">
            <v>-1084.6832361537354</v>
          </cell>
          <cell r="K157">
            <v>833.20998626874166</v>
          </cell>
          <cell r="L157">
            <v>-471.52676703292059</v>
          </cell>
          <cell r="S157" t="str">
            <v>VARIABLE COST MARGIN - ACTUAL</v>
          </cell>
          <cell r="V157">
            <v>-5697.7182440114339</v>
          </cell>
          <cell r="W157">
            <v>-2049.2153853799236</v>
          </cell>
          <cell r="X157">
            <v>-4388.1428450117428</v>
          </cell>
          <cell r="Y157">
            <v>1598.7257214741076</v>
          </cell>
          <cell r="Z157">
            <v>-1226.0857350939432</v>
          </cell>
          <cell r="AA157">
            <v>367</v>
          </cell>
          <cell r="AB157">
            <v>-6.8212102632969618E-11</v>
          </cell>
        </row>
        <row r="158">
          <cell r="C158" t="str">
            <v>% of pdt sales wo Mono.</v>
          </cell>
          <cell r="E158">
            <v>0.32409610436624697</v>
          </cell>
          <cell r="F158">
            <v>0.33079242117598101</v>
          </cell>
        </row>
        <row r="160">
          <cell r="B160" t="str">
            <v>OPERATING INCOME</v>
          </cell>
          <cell r="C160" t="str">
            <v>Indirect Labor Costs</v>
          </cell>
          <cell r="E160">
            <v>-6623.3540724349896</v>
          </cell>
          <cell r="F160">
            <v>-5551.9117760450699</v>
          </cell>
          <cell r="H160">
            <v>1071.4422963899196</v>
          </cell>
          <cell r="J160">
            <v>178.1435966775698</v>
          </cell>
          <cell r="L160">
            <v>893.29869971234984</v>
          </cell>
          <cell r="R160" t="str">
            <v>OPERATING INCOME</v>
          </cell>
          <cell r="S160" t="str">
            <v>Indirect Labor Costs</v>
          </cell>
          <cell r="U160" t="str">
            <v>Europe +189 K€ mainly due to people flexibilisation
NAO +486 K€ mainly due to lower salaries (administrative people) and hourly rate favorable compared to budget
Asia NS
IOP +253 K€ mainly due to less people (all sites and especially Togliatti postponneme</v>
          </cell>
          <cell r="V160">
            <v>1071.4422963899196</v>
          </cell>
          <cell r="W160">
            <v>35.619690235610051</v>
          </cell>
          <cell r="X160">
            <v>595.60676178184985</v>
          </cell>
          <cell r="Y160">
            <v>34.356847611790045</v>
          </cell>
          <cell r="Z160">
            <v>261.85899676066401</v>
          </cell>
          <cell r="AA160">
            <v>144</v>
          </cell>
          <cell r="AB160">
            <v>-5.6843418860808015E-12</v>
          </cell>
        </row>
        <row r="161">
          <cell r="C161" t="str">
            <v>Manufacturing Costs</v>
          </cell>
          <cell r="E161">
            <v>-7774.2472639606003</v>
          </cell>
          <cell r="F161">
            <v>-6794.5989548102498</v>
          </cell>
          <cell r="H161">
            <v>979.64830915035054</v>
          </cell>
          <cell r="I161">
            <v>355.22708766096702</v>
          </cell>
          <cell r="J161">
            <v>406.10741073629015</v>
          </cell>
          <cell r="L161">
            <v>218.31381075309309</v>
          </cell>
          <cell r="S161" t="str">
            <v>Manufacturing Costs</v>
          </cell>
          <cell r="U161" t="str">
            <v>Europe +1 167 K€ mainly due to volume effect and flexibilisation
NAO +732 K€ mainly due to volume effect, effort on consummable &amp; maintenance
Asia -340 K€ mainly due to DPCA warranty costs accrual increase (responsability at 100%, -250 K€)
IOP +351 K€ mai</v>
          </cell>
          <cell r="V161">
            <v>979.64830915035054</v>
          </cell>
          <cell r="W161">
            <v>75.156240492100096</v>
          </cell>
          <cell r="X161">
            <v>828.28032110000004</v>
          </cell>
          <cell r="Y161">
            <v>-485.54516929900387</v>
          </cell>
          <cell r="Z161">
            <v>216.75691685725599</v>
          </cell>
          <cell r="AA161">
            <v>345</v>
          </cell>
          <cell r="AB161">
            <v>1.5916157281026244E-12</v>
          </cell>
        </row>
        <row r="162">
          <cell r="C162" t="str">
            <v>Productive Equip. Depreciation</v>
          </cell>
          <cell r="E162">
            <v>-3733.6476636174698</v>
          </cell>
          <cell r="F162">
            <v>-3416.9428964674198</v>
          </cell>
          <cell r="H162">
            <v>316.70476715004997</v>
          </cell>
          <cell r="J162">
            <v>147.53304227297031</v>
          </cell>
          <cell r="L162">
            <v>169.17172487707967</v>
          </cell>
          <cell r="S162" t="str">
            <v>Productive Equip. Depreciation</v>
          </cell>
          <cell r="V162">
            <v>316.70476715004997</v>
          </cell>
          <cell r="W162">
            <v>83.721837989470032</v>
          </cell>
          <cell r="X162">
            <v>132.59177517934995</v>
          </cell>
          <cell r="Y162">
            <v>33.635713645121029</v>
          </cell>
          <cell r="Z162">
            <v>66.75544033609799</v>
          </cell>
          <cell r="AA162">
            <v>0</v>
          </cell>
          <cell r="AB162">
            <v>-1.0970779840135947E-11</v>
          </cell>
        </row>
        <row r="163">
          <cell r="C163" t="str">
            <v>Inventory Variance - Fixed Costs</v>
          </cell>
          <cell r="E163">
            <v>-18.518518518518501</v>
          </cell>
          <cell r="F163">
            <v>-75.472488365479705</v>
          </cell>
          <cell r="H163">
            <v>-56.953969846961201</v>
          </cell>
          <cell r="J163">
            <v>6.1817512935908923</v>
          </cell>
          <cell r="L163">
            <v>-63.135721140552093</v>
          </cell>
          <cell r="S163" t="str">
            <v>Inventory Variance - Fixed Costs</v>
          </cell>
          <cell r="V163">
            <v>-56.953969846961201</v>
          </cell>
          <cell r="W163">
            <v>-2.8934846813189599</v>
          </cell>
          <cell r="X163">
            <v>-74.340254350606898</v>
          </cell>
          <cell r="Y163">
            <v>20.2797691849646</v>
          </cell>
          <cell r="Z163">
            <v>0</v>
          </cell>
          <cell r="AA163">
            <v>0</v>
          </cell>
          <cell r="AB163">
            <v>-5.6843418860808015E-14</v>
          </cell>
        </row>
        <row r="164">
          <cell r="C164" t="str">
            <v>Completion Losses Reserves</v>
          </cell>
          <cell r="E164">
            <v>55.5555555555556</v>
          </cell>
          <cell r="F164">
            <v>54.853704354806503</v>
          </cell>
          <cell r="H164">
            <v>-0.7018512007490969</v>
          </cell>
          <cell r="J164">
            <v>-0.7018512007490969</v>
          </cell>
          <cell r="L164">
            <v>0</v>
          </cell>
          <cell r="S164" t="str">
            <v>Completion Losses Reserves</v>
          </cell>
          <cell r="V164">
            <v>-0.7018512007490969</v>
          </cell>
          <cell r="W164">
            <v>0</v>
          </cell>
          <cell r="X164">
            <v>-0.7018512007490969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</row>
        <row r="165">
          <cell r="C165" t="str">
            <v>GROSS MARGIN ON PROD SALES EXCL. MONO.</v>
          </cell>
          <cell r="E165">
            <v>12556.2886633583</v>
          </cell>
          <cell r="F165">
            <v>9168.7099709894992</v>
          </cell>
          <cell r="H165">
            <v>-3387.5786923688011</v>
          </cell>
          <cell r="I165">
            <v>-4621.4911394324145</v>
          </cell>
          <cell r="J165">
            <v>-347.41928637406329</v>
          </cell>
          <cell r="K165">
            <v>833.20998626874166</v>
          </cell>
          <cell r="L165">
            <v>746.12174716904997</v>
          </cell>
          <cell r="S165" t="str">
            <v>GROSS MARGIN ON PROD SALES EXCL. MONO.</v>
          </cell>
          <cell r="V165">
            <v>-3387.5786923688011</v>
          </cell>
          <cell r="W165">
            <v>-1857.6111013439904</v>
          </cell>
          <cell r="X165">
            <v>-2906.7060925019118</v>
          </cell>
          <cell r="Y165">
            <v>1201.4528826169599</v>
          </cell>
          <cell r="Z165">
            <v>-680.71438113989086</v>
          </cell>
          <cell r="AA165">
            <v>856</v>
          </cell>
          <cell r="AB165">
            <v>-3.2287061912938952E-11</v>
          </cell>
        </row>
        <row r="166">
          <cell r="C166" t="str">
            <v>% of total sales</v>
          </cell>
          <cell r="E166">
            <v>0.13276925850914476</v>
          </cell>
          <cell r="F166">
            <v>0.12154715750306772</v>
          </cell>
        </row>
        <row r="168">
          <cell r="C168" t="str">
            <v>Tooling sales</v>
          </cell>
          <cell r="E168">
            <v>225</v>
          </cell>
          <cell r="F168">
            <v>4838.7968512536199</v>
          </cell>
          <cell r="H168">
            <v>4613.7968512536199</v>
          </cell>
          <cell r="J168">
            <v>-8.8715172136598994</v>
          </cell>
          <cell r="L168">
            <v>4622.6683684672798</v>
          </cell>
          <cell r="S168" t="str">
            <v>Tooling sales</v>
          </cell>
          <cell r="V168">
            <v>4613.7968512536199</v>
          </cell>
          <cell r="W168">
            <v>1977.2024193860939</v>
          </cell>
          <cell r="X168">
            <v>2407.4243932548302</v>
          </cell>
          <cell r="Y168">
            <v>102.899642649745</v>
          </cell>
          <cell r="Z168">
            <v>120.85916444742701</v>
          </cell>
          <cell r="AA168">
            <v>0</v>
          </cell>
          <cell r="AB168">
            <v>-5.4112315155243778</v>
          </cell>
        </row>
        <row r="169">
          <cell r="C169" t="str">
            <v>Gross Margin on Tooling</v>
          </cell>
          <cell r="E169">
            <v>36.239130434782602</v>
          </cell>
          <cell r="F169">
            <v>27.013986725852099</v>
          </cell>
          <cell r="H169">
            <v>-9.2251437089305028</v>
          </cell>
          <cell r="J169">
            <v>-3.1614348064534994</v>
          </cell>
          <cell r="L169">
            <v>-6.0637089024770034</v>
          </cell>
          <cell r="S169" t="str">
            <v>Gross Margin on Tooling</v>
          </cell>
          <cell r="V169">
            <v>-9.2251437089305028</v>
          </cell>
          <cell r="W169">
            <v>-12.876665528479002</v>
          </cell>
          <cell r="X169">
            <v>0</v>
          </cell>
          <cell r="Y169">
            <v>3.6421403735154398</v>
          </cell>
          <cell r="Z169">
            <v>9.3814460331321497E-3</v>
          </cell>
          <cell r="AA169">
            <v>0</v>
          </cell>
          <cell r="AB169">
            <v>7.2830630415410269E-14</v>
          </cell>
        </row>
        <row r="170">
          <cell r="C170" t="str">
            <v>Engineering / Prototype Sales</v>
          </cell>
          <cell r="E170">
            <v>1916.85038089929</v>
          </cell>
          <cell r="F170">
            <v>1891.3233664096299</v>
          </cell>
          <cell r="H170">
            <v>-25.527014489660132</v>
          </cell>
          <cell r="I170">
            <v>255.51851851851899</v>
          </cell>
          <cell r="J170">
            <v>-68.376886021780138</v>
          </cell>
          <cell r="L170">
            <v>-212.66864698639898</v>
          </cell>
          <cell r="S170" t="str">
            <v>Engineering / Prototype Sales</v>
          </cell>
          <cell r="V170">
            <v>-25.527014489660132</v>
          </cell>
          <cell r="W170">
            <v>-310.90095493910007</v>
          </cell>
          <cell r="X170">
            <v>103.93602717485501</v>
          </cell>
          <cell r="Y170">
            <v>151.70999317952311</v>
          </cell>
          <cell r="Z170">
            <v>0.43323427630009498</v>
          </cell>
          <cell r="AA170">
            <v>-234</v>
          </cell>
          <cell r="AB170">
            <v>-263.29468581876176</v>
          </cell>
        </row>
        <row r="171">
          <cell r="C171" t="str">
            <v>Monoliths Sales</v>
          </cell>
          <cell r="E171">
            <v>96642.669652624798</v>
          </cell>
          <cell r="F171">
            <v>69250.6986780468</v>
          </cell>
          <cell r="H171">
            <v>-27391.970974577998</v>
          </cell>
          <cell r="I171">
            <v>-14719.579023265815</v>
          </cell>
          <cell r="J171">
            <v>-535.94952562369872</v>
          </cell>
          <cell r="L171">
            <v>-12136.442425688485</v>
          </cell>
          <cell r="S171" t="str">
            <v>Monoliths Sales</v>
          </cell>
          <cell r="V171">
            <v>-27391.970974577998</v>
          </cell>
          <cell r="W171">
            <v>-19060.822637539699</v>
          </cell>
          <cell r="X171">
            <v>-3484.5688060172706</v>
          </cell>
          <cell r="Y171">
            <v>961.36738674400112</v>
          </cell>
          <cell r="Z171">
            <v>-7612.8023811097009</v>
          </cell>
          <cell r="AA171">
            <v>0</v>
          </cell>
          <cell r="AB171">
            <v>-1804.8554633446693</v>
          </cell>
        </row>
        <row r="172">
          <cell r="C172" t="str">
            <v>Gross Margin on Monoliths</v>
          </cell>
          <cell r="E172">
            <v>1646.3490401245999</v>
          </cell>
          <cell r="F172">
            <v>923.40476495882797</v>
          </cell>
          <cell r="H172">
            <v>-722.94427516577196</v>
          </cell>
          <cell r="I172">
            <v>-250.75429810763396</v>
          </cell>
          <cell r="J172">
            <v>-5.1838569741980791</v>
          </cell>
          <cell r="L172">
            <v>-467.00612008393989</v>
          </cell>
          <cell r="S172" t="str">
            <v>Gross Margin on Monoliths</v>
          </cell>
          <cell r="V172">
            <v>-722.94427516577196</v>
          </cell>
          <cell r="W172">
            <v>-246.88795508594001</v>
          </cell>
          <cell r="X172">
            <v>-19.716919210001603</v>
          </cell>
          <cell r="Y172">
            <v>39.433044599745983</v>
          </cell>
          <cell r="Z172">
            <v>-494.77244546958082</v>
          </cell>
          <cell r="AA172">
            <v>-1</v>
          </cell>
          <cell r="AB172">
            <v>-4.4337866711430252E-12</v>
          </cell>
        </row>
        <row r="173">
          <cell r="C173" t="str">
            <v>Services &amp; Royalties Sales</v>
          </cell>
          <cell r="E173">
            <v>112</v>
          </cell>
          <cell r="F173">
            <v>96.130714384363699</v>
          </cell>
          <cell r="H173">
            <v>-15.869285615636301</v>
          </cell>
          <cell r="J173">
            <v>-2.1940455607665967</v>
          </cell>
          <cell r="L173">
            <v>-13.675240054869704</v>
          </cell>
          <cell r="S173" t="str">
            <v>Services &amp; Royalties Sales</v>
          </cell>
          <cell r="V173">
            <v>-15.869285615636301</v>
          </cell>
          <cell r="W173">
            <v>-97.327537359137011</v>
          </cell>
          <cell r="X173">
            <v>40.154002247094603</v>
          </cell>
          <cell r="Y173">
            <v>0</v>
          </cell>
          <cell r="Z173">
            <v>6.93960645567104</v>
          </cell>
          <cell r="AA173">
            <v>534</v>
          </cell>
          <cell r="AB173">
            <v>499.63535695926498</v>
          </cell>
        </row>
        <row r="174">
          <cell r="C174" t="str">
            <v>Gross Margin on Service &amp; Royalties</v>
          </cell>
          <cell r="E174">
            <v>0</v>
          </cell>
          <cell r="F174">
            <v>-1.00602181800501</v>
          </cell>
          <cell r="H174">
            <v>-1.00602181800501</v>
          </cell>
          <cell r="J174">
            <v>-7.4608923629153057E-2</v>
          </cell>
          <cell r="L174">
            <v>-0.93141289437585695</v>
          </cell>
          <cell r="S174" t="str">
            <v>Gross Margin on Service &amp; Royalties</v>
          </cell>
          <cell r="V174">
            <v>-1.00602181800501</v>
          </cell>
          <cell r="W174">
            <v>4.1000000000000003E-35</v>
          </cell>
          <cell r="X174">
            <v>5.4395717969081499E-2</v>
          </cell>
          <cell r="Y174">
            <v>0</v>
          </cell>
          <cell r="Z174">
            <v>-6.0417535974093398E-2</v>
          </cell>
          <cell r="AA174">
            <v>-1</v>
          </cell>
          <cell r="AB174">
            <v>-1.9984014443252818E-15</v>
          </cell>
        </row>
        <row r="175">
          <cell r="C175" t="str">
            <v>TOTAL SALES</v>
          </cell>
          <cell r="E175">
            <v>193468.77873521301</v>
          </cell>
          <cell r="F175">
            <v>151510.305349064</v>
          </cell>
          <cell r="H175">
            <v>-41958.473386149009</v>
          </cell>
          <cell r="I175">
            <v>-28878.450604313792</v>
          </cell>
          <cell r="J175">
            <v>-3968.4232465141072</v>
          </cell>
          <cell r="K175">
            <v>-1371.4815910586924</v>
          </cell>
          <cell r="L175">
            <v>-7740.1179442624734</v>
          </cell>
          <cell r="S175" t="str">
            <v>TOTAL SALES</v>
          </cell>
          <cell r="V175">
            <v>-41958.473386149009</v>
          </cell>
          <cell r="W175">
            <v>-25518.196660298898</v>
          </cell>
          <cell r="X175">
            <v>-11992.013031584203</v>
          </cell>
          <cell r="Y175">
            <v>3468.1403945291022</v>
          </cell>
          <cell r="Z175">
            <v>-10168.810464841998</v>
          </cell>
          <cell r="AA175">
            <v>300</v>
          </cell>
          <cell r="AB175">
            <v>-1952.4063760469871</v>
          </cell>
        </row>
        <row r="176">
          <cell r="C176" t="str">
            <v>GROSS MARGIN</v>
          </cell>
          <cell r="E176">
            <v>14238.8768339177</v>
          </cell>
          <cell r="F176">
            <v>10118.1227008562</v>
          </cell>
          <cell r="H176">
            <v>-4120.7541330615004</v>
          </cell>
          <cell r="I176">
            <v>-4872.2454375400484</v>
          </cell>
          <cell r="J176">
            <v>-355.83918707834403</v>
          </cell>
          <cell r="K176">
            <v>833.20998626874166</v>
          </cell>
          <cell r="L176">
            <v>272.12050528825728</v>
          </cell>
          <cell r="S176" t="str">
            <v>GROSS MARGIN</v>
          </cell>
          <cell r="V176">
            <v>-4120.7541330615004</v>
          </cell>
          <cell r="W176">
            <v>-2117.3757219584095</v>
          </cell>
          <cell r="X176">
            <v>-2926.3686159939452</v>
          </cell>
          <cell r="Y176">
            <v>1244.52806759022</v>
          </cell>
          <cell r="Z176">
            <v>-1175.5378626994161</v>
          </cell>
          <cell r="AA176">
            <v>854</v>
          </cell>
          <cell r="AB176">
            <v>-5.0931703299283981E-11</v>
          </cell>
        </row>
        <row r="177">
          <cell r="C177" t="str">
            <v>% of total sales</v>
          </cell>
          <cell r="E177">
            <v>7.3597801810727517E-2</v>
          </cell>
          <cell r="F177">
            <v>6.6781745819501165E-2</v>
          </cell>
        </row>
        <row r="179">
          <cell r="C179" t="str">
            <v>R&amp;D Expenses</v>
          </cell>
          <cell r="E179">
            <v>-3838.1237615012201</v>
          </cell>
          <cell r="F179">
            <v>-4237.7715054776199</v>
          </cell>
          <cell r="H179">
            <v>-399.64774397639985</v>
          </cell>
          <cell r="I179">
            <v>255.51851851851899</v>
          </cell>
          <cell r="J179">
            <v>114.86621462568019</v>
          </cell>
          <cell r="L179">
            <v>-770.03247712059897</v>
          </cell>
          <cell r="S179" t="str">
            <v>R&amp;D Expenses</v>
          </cell>
          <cell r="V179">
            <v>-399.64774397639985</v>
          </cell>
          <cell r="W179">
            <v>-199.49140231808997</v>
          </cell>
          <cell r="X179">
            <v>56.736172349229946</v>
          </cell>
          <cell r="Y179">
            <v>-123.21554427775499</v>
          </cell>
          <cell r="Z179">
            <v>118.32303027021919</v>
          </cell>
          <cell r="AA179">
            <v>-252</v>
          </cell>
          <cell r="AB179">
            <v>4.0358827391173691E-12</v>
          </cell>
        </row>
        <row r="180">
          <cell r="C180" t="str">
            <v>SG&amp;A Gross Expenses</v>
          </cell>
          <cell r="E180">
            <v>-4972.4979023794203</v>
          </cell>
          <cell r="F180">
            <v>-4784.5435701456299</v>
          </cell>
          <cell r="H180">
            <v>187.95433223379041</v>
          </cell>
          <cell r="J180">
            <v>57.068578728640205</v>
          </cell>
          <cell r="K180">
            <v>130.88575350515021</v>
          </cell>
          <cell r="S180" t="str">
            <v>SG&amp;A Gross Expenses</v>
          </cell>
          <cell r="V180">
            <v>187.95433223379041</v>
          </cell>
          <cell r="W180">
            <v>2.1562559235899244</v>
          </cell>
          <cell r="X180">
            <v>57.771158782001976</v>
          </cell>
          <cell r="Y180">
            <v>-58.765285685804997</v>
          </cell>
          <cell r="Z180">
            <v>100.79220321401493</v>
          </cell>
          <cell r="AA180">
            <v>86</v>
          </cell>
          <cell r="AB180">
            <v>1.1425527191022411E-11</v>
          </cell>
        </row>
        <row r="181">
          <cell r="C181" t="str">
            <v>SG&amp;A Service Management Fees</v>
          </cell>
          <cell r="E181">
            <v>-1622.03132672778</v>
          </cell>
          <cell r="F181">
            <v>-1565.8419388893401</v>
          </cell>
          <cell r="H181">
            <v>56.18938783843987</v>
          </cell>
          <cell r="K181">
            <v>56.18938783843987</v>
          </cell>
          <cell r="S181" t="str">
            <v>SG&amp;A Service Management Fees</v>
          </cell>
          <cell r="V181">
            <v>56.18938783843987</v>
          </cell>
          <cell r="W181">
            <v>13.898448078449974</v>
          </cell>
          <cell r="X181">
            <v>19.128695284363971</v>
          </cell>
          <cell r="Y181">
            <v>1.9467234854730009</v>
          </cell>
          <cell r="Z181">
            <v>21.215520990165004</v>
          </cell>
          <cell r="AA181">
            <v>0</v>
          </cell>
          <cell r="AB181">
            <v>1.2079226507921703E-11</v>
          </cell>
        </row>
        <row r="182"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</row>
        <row r="183">
          <cell r="C183" t="str">
            <v>OPERATING MARGIN</v>
          </cell>
          <cell r="E183">
            <v>3806.2238433092998</v>
          </cell>
          <cell r="F183">
            <v>-470.03431365641001</v>
          </cell>
          <cell r="H183">
            <v>-4276.2581569657095</v>
          </cell>
          <cell r="I183">
            <v>-4616.7269190215293</v>
          </cell>
          <cell r="J183">
            <v>-183.90439372402363</v>
          </cell>
          <cell r="K183">
            <v>1020.2851276123317</v>
          </cell>
          <cell r="L183">
            <v>-497.91197183234169</v>
          </cell>
          <cell r="S183" t="str">
            <v>OPERATING MARGIN</v>
          </cell>
          <cell r="V183">
            <v>-4276.2581569657095</v>
          </cell>
          <cell r="W183">
            <v>-2300.8124202744698</v>
          </cell>
          <cell r="X183">
            <v>-2792.7325895783488</v>
          </cell>
          <cell r="Y183">
            <v>1064.493961112132</v>
          </cell>
          <cell r="Z183">
            <v>-935.20710822501701</v>
          </cell>
          <cell r="AA183">
            <v>688</v>
          </cell>
          <cell r="AB183">
            <v>0</v>
          </cell>
        </row>
        <row r="184">
          <cell r="C184" t="str">
            <v>% of total sales</v>
          </cell>
          <cell r="E184">
            <v>1.9673581795430717E-2</v>
          </cell>
          <cell r="F184">
            <v>-3.1023256970771711E-3</v>
          </cell>
        </row>
        <row r="185">
          <cell r="C185" t="str">
            <v>(1) Volume Impact on "Variances versus standard" and Monoliths is based on the standard sales, Actual vs Budget</v>
          </cell>
        </row>
        <row r="186">
          <cell r="C186" t="str">
            <v>(2) 30% of the manufacturing costs are considered variable, a volume impact is calculated on this 30%, based on the standard sales.</v>
          </cell>
        </row>
        <row r="187">
          <cell r="C187" t="str">
            <v>(3) - Piece price sales are directly linked with volumes variations</v>
          </cell>
        </row>
        <row r="188">
          <cell r="C188" t="str">
            <v>- Volume impact on Piece Price Sales = Volume on R&amp;D Expenses (if  we consider that amortization is calculated on a linear basis).</v>
          </cell>
        </row>
      </sheetData>
      <sheetData sheetId="4">
        <row r="71">
          <cell r="B71" t="str">
            <v>Standard Analysis  - Detailed P&amp;L - ES DIVISION EUROPE</v>
          </cell>
        </row>
        <row r="72">
          <cell r="B72" t="str">
            <v>2009.May</v>
          </cell>
        </row>
        <row r="74">
          <cell r="D74" t="str">
            <v>VOLUME / MIX IMPACT</v>
          </cell>
          <cell r="E74">
            <v>-0.1287272979551313</v>
          </cell>
        </row>
        <row r="76">
          <cell r="E76" t="str">
            <v>BUDGET</v>
          </cell>
          <cell r="F76" t="str">
            <v>ACTUAL</v>
          </cell>
          <cell r="H76" t="str">
            <v>VARIANCE</v>
          </cell>
          <cell r="I76" t="str">
            <v>Volume / Mix</v>
          </cell>
          <cell r="J76" t="str">
            <v>Translation impact</v>
          </cell>
          <cell r="K76" t="str">
            <v>Squeeze</v>
          </cell>
          <cell r="L76" t="str">
            <v>Indus</v>
          </cell>
          <cell r="R76" t="str">
            <v>Standard Analysis  - Detailed P&amp;L - ES DIVISION EUROPE</v>
          </cell>
        </row>
        <row r="77">
          <cell r="B77" t="str">
            <v>VARIABLE COST MARGIN</v>
          </cell>
          <cell r="C77" t="str">
            <v>STANDARD</v>
          </cell>
          <cell r="R77" t="str">
            <v>VARIABLE COST MARGIN</v>
          </cell>
          <cell r="S77" t="str">
            <v>STANDARD</v>
          </cell>
        </row>
        <row r="78">
          <cell r="C78" t="str">
            <v>Sales</v>
          </cell>
          <cell r="E78">
            <v>49039.208333333365</v>
          </cell>
          <cell r="F78">
            <v>41154.277605800402</v>
          </cell>
          <cell r="H78">
            <v>-7884.9307275329629</v>
          </cell>
          <cell r="I78">
            <v>-6312.6847826087615</v>
          </cell>
          <cell r="J78">
            <v>-1572.2459449242015</v>
          </cell>
          <cell r="S78" t="str">
            <v>Sales</v>
          </cell>
        </row>
        <row r="79">
          <cell r="C79" t="str">
            <v>Purchase</v>
          </cell>
          <cell r="E79">
            <v>-26420.755434782601</v>
          </cell>
          <cell r="F79">
            <v>-21947.683646357498</v>
          </cell>
          <cell r="H79">
            <v>4473.0717884251026</v>
          </cell>
          <cell r="I79">
            <v>3664.2101449274996</v>
          </cell>
          <cell r="J79">
            <v>808.86164349760293</v>
          </cell>
          <cell r="S79" t="str">
            <v>Purchase</v>
          </cell>
        </row>
        <row r="80">
          <cell r="C80" t="str">
            <v>% of std pdt sales wo Mono.</v>
          </cell>
          <cell r="E80">
            <v>-0.53876798449096597</v>
          </cell>
          <cell r="F80">
            <v>-0.53330260967244214</v>
          </cell>
        </row>
        <row r="81">
          <cell r="C81" t="str">
            <v>Direct Labor Cost</v>
          </cell>
          <cell r="E81">
            <v>-4804.5144927536203</v>
          </cell>
          <cell r="F81">
            <v>-4146.40493538796</v>
          </cell>
          <cell r="H81">
            <v>658.10955736566029</v>
          </cell>
          <cell r="I81">
            <v>548.60507246376073</v>
          </cell>
          <cell r="J81">
            <v>109.50448490189956</v>
          </cell>
          <cell r="S81" t="str">
            <v>Direct Labor Cost</v>
          </cell>
        </row>
        <row r="82">
          <cell r="C82" t="str">
            <v>% of std pdt sales wo Mono.</v>
          </cell>
          <cell r="E82">
            <v>-9.7972921179640113E-2</v>
          </cell>
          <cell r="F82">
            <v>-0.1007527085058967</v>
          </cell>
        </row>
        <row r="83">
          <cell r="C83" t="str">
            <v>Freight-out</v>
          </cell>
          <cell r="E83">
            <v>-470.31702898550702</v>
          </cell>
          <cell r="F83">
            <v>-434.38129927124101</v>
          </cell>
          <cell r="H83">
            <v>35.935729714266017</v>
          </cell>
          <cell r="I83">
            <v>12.43659420289805</v>
          </cell>
          <cell r="J83">
            <v>23.499135511367967</v>
          </cell>
          <cell r="S83" t="str">
            <v>Freight-out</v>
          </cell>
        </row>
        <row r="84">
          <cell r="C84" t="str">
            <v>% of std pdt sales wo Mono.</v>
          </cell>
          <cell r="E84">
            <v>-9.5906325768684766E-3</v>
          </cell>
          <cell r="F84">
            <v>-1.0554948951649636E-2</v>
          </cell>
        </row>
        <row r="85">
          <cell r="C85" t="str">
            <v>VARIABLE COST MARGIN - STANDARD</v>
          </cell>
          <cell r="E85">
            <v>17343.621376811636</v>
          </cell>
          <cell r="F85">
            <v>14625.807724783703</v>
          </cell>
          <cell r="H85">
            <v>-2717.8136520279331</v>
          </cell>
          <cell r="I85">
            <v>-2087.432971014603</v>
          </cell>
          <cell r="J85">
            <v>-630.38068101333192</v>
          </cell>
          <cell r="K85">
            <v>0</v>
          </cell>
          <cell r="L85">
            <v>0</v>
          </cell>
          <cell r="S85" t="str">
            <v>VARIABLE COST MARGIN - STANDARD</v>
          </cell>
        </row>
        <row r="86">
          <cell r="C86" t="str">
            <v>% of std pdt sales wo Mono.</v>
          </cell>
          <cell r="E86">
            <v>0.35366846175252542</v>
          </cell>
          <cell r="F86">
            <v>0.35538973287001152</v>
          </cell>
        </row>
        <row r="88">
          <cell r="C88" t="str">
            <v>VARIANCES vs STANDARD</v>
          </cell>
          <cell r="I88" t="str">
            <v>(1)</v>
          </cell>
          <cell r="S88" t="str">
            <v>VARIANCES vs STANDARD</v>
          </cell>
        </row>
        <row r="89">
          <cell r="C89" t="str">
            <v>ECONOMICAL</v>
          </cell>
          <cell r="D89" t="str">
            <v>PROCESS</v>
          </cell>
          <cell r="E89">
            <v>-112.55797101449298</v>
          </cell>
          <cell r="F89">
            <v>-738.65496286141604</v>
          </cell>
          <cell r="H89">
            <v>-626.09699184692306</v>
          </cell>
          <cell r="I89">
            <v>14.489283472007671</v>
          </cell>
          <cell r="J89">
            <v>86.38851539944983</v>
          </cell>
          <cell r="K89">
            <v>-726.97479071838052</v>
          </cell>
          <cell r="L89">
            <v>0</v>
          </cell>
          <cell r="S89" t="str">
            <v>ECONOMICAL</v>
          </cell>
          <cell r="T89" t="str">
            <v>PROCESS</v>
          </cell>
        </row>
        <row r="90">
          <cell r="D90" t="str">
            <v>Sales</v>
          </cell>
          <cell r="E90">
            <v>-458.44927536231899</v>
          </cell>
          <cell r="F90">
            <v>-1355.9664956341001</v>
          </cell>
          <cell r="H90">
            <v>-897.51722027178107</v>
          </cell>
          <cell r="I90">
            <v>59.01493646687927</v>
          </cell>
          <cell r="J90">
            <v>110.07335943835983</v>
          </cell>
          <cell r="K90">
            <v>-1066.60551617702</v>
          </cell>
          <cell r="S90">
            <v>0</v>
          </cell>
          <cell r="T90" t="str">
            <v>Sales</v>
          </cell>
        </row>
        <row r="91">
          <cell r="D91" t="str">
            <v>Materials</v>
          </cell>
          <cell r="E91">
            <v>345.89130434782601</v>
          </cell>
          <cell r="F91">
            <v>617.31153277268402</v>
          </cell>
          <cell r="H91">
            <v>271.42022842485801</v>
          </cell>
          <cell r="I91">
            <v>-44.525652994871599</v>
          </cell>
          <cell r="J91">
            <v>-23.684844038910001</v>
          </cell>
          <cell r="K91">
            <v>339.63072545863957</v>
          </cell>
          <cell r="S91">
            <v>0</v>
          </cell>
          <cell r="T91" t="str">
            <v>Materials</v>
          </cell>
        </row>
        <row r="92">
          <cell r="S92">
            <v>0</v>
          </cell>
          <cell r="T92">
            <v>0</v>
          </cell>
        </row>
        <row r="93">
          <cell r="D93" t="str">
            <v>PASSTHROUGH MANDATED SUPPLIERS</v>
          </cell>
          <cell r="E93">
            <v>0</v>
          </cell>
          <cell r="F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S93">
            <v>0</v>
          </cell>
          <cell r="T93" t="str">
            <v>PASSTHROUGH MANDATED SUPPLIERS</v>
          </cell>
        </row>
        <row r="94">
          <cell r="D94" t="str">
            <v>Sales</v>
          </cell>
          <cell r="E94">
            <v>0</v>
          </cell>
          <cell r="F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S94">
            <v>0</v>
          </cell>
          <cell r="T94" t="str">
            <v>Sales</v>
          </cell>
        </row>
        <row r="95">
          <cell r="D95" t="str">
            <v>Materials</v>
          </cell>
          <cell r="E95">
            <v>0</v>
          </cell>
          <cell r="F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S95">
            <v>0</v>
          </cell>
          <cell r="T95" t="str">
            <v>Materials</v>
          </cell>
        </row>
        <row r="96">
          <cell r="S96">
            <v>0</v>
          </cell>
          <cell r="T96">
            <v>0</v>
          </cell>
        </row>
        <row r="97">
          <cell r="D97" t="str">
            <v>PASSTHROUGH RAW MATERIAL</v>
          </cell>
          <cell r="E97">
            <v>-902.54528985507204</v>
          </cell>
          <cell r="F97">
            <v>-146.54970280932991</v>
          </cell>
          <cell r="H97">
            <v>755.99558704574201</v>
          </cell>
          <cell r="I97">
            <v>116.18221644517419</v>
          </cell>
          <cell r="J97">
            <v>12.414065306612088</v>
          </cell>
          <cell r="K97">
            <v>627.39930529395565</v>
          </cell>
          <cell r="L97">
            <v>0</v>
          </cell>
          <cell r="S97">
            <v>0</v>
          </cell>
          <cell r="T97" t="str">
            <v>PASSTHROUGH RAW MATERIAL</v>
          </cell>
        </row>
        <row r="98">
          <cell r="D98" t="str">
            <v>Sales</v>
          </cell>
          <cell r="E98">
            <v>-232.75905797101399</v>
          </cell>
          <cell r="F98">
            <v>-785.495203952525</v>
          </cell>
          <cell r="H98">
            <v>-552.73614598151107</v>
          </cell>
          <cell r="I98">
            <v>29.962444607190395</v>
          </cell>
          <cell r="J98">
            <v>54.213129380808027</v>
          </cell>
          <cell r="K98">
            <v>-636.91171996950948</v>
          </cell>
          <cell r="S98">
            <v>0</v>
          </cell>
          <cell r="T98" t="str">
            <v>Sales</v>
          </cell>
        </row>
        <row r="99">
          <cell r="D99" t="str">
            <v>Materials</v>
          </cell>
          <cell r="E99">
            <v>-669.786231884058</v>
          </cell>
          <cell r="F99">
            <v>638.94550114319509</v>
          </cell>
          <cell r="H99">
            <v>1308.7317330272531</v>
          </cell>
          <cell r="I99">
            <v>86.219771837983799</v>
          </cell>
          <cell r="J99">
            <v>-41.79906407419594</v>
          </cell>
          <cell r="K99">
            <v>1264.3110252634651</v>
          </cell>
          <cell r="S99">
            <v>0</v>
          </cell>
          <cell r="T99" t="str">
            <v>Materials</v>
          </cell>
        </row>
        <row r="100">
          <cell r="D100" t="str">
            <v>Spot purchasing surcharges</v>
          </cell>
          <cell r="E100">
            <v>0</v>
          </cell>
          <cell r="F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S100">
            <v>0</v>
          </cell>
          <cell r="T100" t="str">
            <v>Spot purchasing surcharges</v>
          </cell>
        </row>
        <row r="101">
          <cell r="S101">
            <v>0</v>
          </cell>
          <cell r="T101">
            <v>0</v>
          </cell>
        </row>
        <row r="102">
          <cell r="D102" t="str">
            <v>VA / VE + Technical Purchasing</v>
          </cell>
          <cell r="E102">
            <v>260.25</v>
          </cell>
          <cell r="F102">
            <v>104.15318429901581</v>
          </cell>
          <cell r="H102">
            <v>-156.09681570098419</v>
          </cell>
          <cell r="I102">
            <v>-33.501279292822922</v>
          </cell>
          <cell r="J102">
            <v>-1.3482367650901494E-2</v>
          </cell>
          <cell r="K102">
            <v>-122.58205404051039</v>
          </cell>
          <cell r="L102">
            <v>0</v>
          </cell>
          <cell r="S102">
            <v>0</v>
          </cell>
          <cell r="T102" t="str">
            <v>VA / VE + Technical Purchasing</v>
          </cell>
        </row>
        <row r="103">
          <cell r="D103" t="str">
            <v>Sales</v>
          </cell>
          <cell r="E103">
            <v>0</v>
          </cell>
          <cell r="F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S103">
            <v>0</v>
          </cell>
          <cell r="T103" t="str">
            <v>Sales</v>
          </cell>
        </row>
        <row r="104">
          <cell r="D104" t="str">
            <v>Materials</v>
          </cell>
          <cell r="E104">
            <v>87.375</v>
          </cell>
          <cell r="F104">
            <v>71.006520712284498</v>
          </cell>
          <cell r="H104">
            <v>-16.368479287715502</v>
          </cell>
          <cell r="I104">
            <v>-11.247547658829598</v>
          </cell>
          <cell r="J104">
            <v>6.5207122844981313E-3</v>
          </cell>
          <cell r="K104">
            <v>-5.1274523411704109</v>
          </cell>
          <cell r="S104">
            <v>0</v>
          </cell>
          <cell r="T104" t="str">
            <v>Materials</v>
          </cell>
        </row>
        <row r="105">
          <cell r="D105" t="str">
            <v>Technical variance purchasing</v>
          </cell>
          <cell r="E105">
            <v>66.875</v>
          </cell>
          <cell r="F105">
            <v>28.1466635867313</v>
          </cell>
          <cell r="H105">
            <v>-38.7283364132687</v>
          </cell>
          <cell r="I105">
            <v>-8.6086380507494056</v>
          </cell>
          <cell r="J105">
            <v>-2.0003079935399626E-2</v>
          </cell>
          <cell r="K105">
            <v>-30.099695282583895</v>
          </cell>
          <cell r="S105">
            <v>0</v>
          </cell>
          <cell r="T105" t="str">
            <v>Technical variance purchasing</v>
          </cell>
        </row>
        <row r="106">
          <cell r="D106" t="str">
            <v>Direct Labor</v>
          </cell>
          <cell r="E106">
            <v>106</v>
          </cell>
          <cell r="F106">
            <v>5</v>
          </cell>
          <cell r="H106">
            <v>-101</v>
          </cell>
          <cell r="I106">
            <v>-13.645093583243918</v>
          </cell>
          <cell r="J106">
            <v>0</v>
          </cell>
          <cell r="K106">
            <v>-87.35490641675608</v>
          </cell>
          <cell r="S106">
            <v>0</v>
          </cell>
          <cell r="T106" t="str">
            <v>Direct Labor</v>
          </cell>
        </row>
        <row r="107">
          <cell r="S107">
            <v>0</v>
          </cell>
          <cell r="T107">
            <v>0</v>
          </cell>
        </row>
        <row r="108">
          <cell r="D108" t="str">
            <v>NON RECURRING</v>
          </cell>
          <cell r="E108">
            <v>5.4855072463768098</v>
          </cell>
          <cell r="F108">
            <v>8.1325144411369621</v>
          </cell>
          <cell r="H108">
            <v>2.6470071947601497</v>
          </cell>
          <cell r="I108">
            <v>0</v>
          </cell>
          <cell r="J108">
            <v>15.136137629541977</v>
          </cell>
          <cell r="K108">
            <v>-12.489130434781828</v>
          </cell>
          <cell r="L108">
            <v>0</v>
          </cell>
          <cell r="S108">
            <v>0</v>
          </cell>
          <cell r="T108" t="str">
            <v>NON RECURRING</v>
          </cell>
        </row>
        <row r="109">
          <cell r="D109" t="str">
            <v>Other Sales Variances  - Non recurring</v>
          </cell>
          <cell r="E109">
            <v>0</v>
          </cell>
          <cell r="F109">
            <v>-107.47182707469304</v>
          </cell>
          <cell r="H109">
            <v>-107.47182707469304</v>
          </cell>
          <cell r="J109">
            <v>26.823462780378975</v>
          </cell>
          <cell r="K109">
            <v>-134.29528985507201</v>
          </cell>
          <cell r="S109">
            <v>0</v>
          </cell>
          <cell r="T109" t="str">
            <v>Other Sales Variances  - Non recurring</v>
          </cell>
        </row>
        <row r="110">
          <cell r="D110" t="str">
            <v>Other Purchasing Variance  - Non recurring</v>
          </cell>
          <cell r="E110">
            <v>5.4855072463768098</v>
          </cell>
          <cell r="F110">
            <v>115.60434151583</v>
          </cell>
          <cell r="H110">
            <v>110.11883426945319</v>
          </cell>
          <cell r="J110">
            <v>-11.687325150836998</v>
          </cell>
          <cell r="K110">
            <v>121.80615942029019</v>
          </cell>
          <cell r="S110">
            <v>0</v>
          </cell>
          <cell r="T110" t="str">
            <v>Other Purchasing Variance  - Non recurring</v>
          </cell>
        </row>
        <row r="111">
          <cell r="S111">
            <v>0</v>
          </cell>
          <cell r="T111">
            <v>0</v>
          </cell>
        </row>
        <row r="112">
          <cell r="D112" t="str">
            <v>ROLL-OVER - Sales, Materials &amp; Direct Labor</v>
          </cell>
          <cell r="E112">
            <v>-679.26449275362074</v>
          </cell>
          <cell r="F112">
            <v>0</v>
          </cell>
          <cell r="H112">
            <v>679.26449275362074</v>
          </cell>
          <cell r="I112">
            <v>87.439882749036443</v>
          </cell>
          <cell r="J112">
            <v>0</v>
          </cell>
          <cell r="K112">
            <v>591.82461000458443</v>
          </cell>
          <cell r="L112">
            <v>0</v>
          </cell>
          <cell r="S112">
            <v>0</v>
          </cell>
          <cell r="T112" t="str">
            <v>ROLL-OVER - Sales, Materials &amp; Direct Labor</v>
          </cell>
        </row>
        <row r="113">
          <cell r="D113" t="str">
            <v>Roll over impact - Sales</v>
          </cell>
          <cell r="E113">
            <v>-1416.30797101449</v>
          </cell>
          <cell r="F113">
            <v>0</v>
          </cell>
          <cell r="H113">
            <v>1416.30797101449</v>
          </cell>
          <cell r="I113">
            <v>182.31749818100971</v>
          </cell>
          <cell r="J113">
            <v>0</v>
          </cell>
          <cell r="K113">
            <v>1233.9904728334805</v>
          </cell>
          <cell r="S113">
            <v>0</v>
          </cell>
          <cell r="T113" t="str">
            <v>Roll over impact - Sales</v>
          </cell>
        </row>
        <row r="114">
          <cell r="D114" t="str">
            <v>Roll over impact - Materials - Economical</v>
          </cell>
          <cell r="E114">
            <v>676.21014492753602</v>
          </cell>
          <cell r="F114">
            <v>0</v>
          </cell>
          <cell r="H114">
            <v>-676.21014492753602</v>
          </cell>
          <cell r="I114">
            <v>-87.046704806369448</v>
          </cell>
          <cell r="J114">
            <v>0</v>
          </cell>
          <cell r="K114">
            <v>-589.16344012116656</v>
          </cell>
          <cell r="S114">
            <v>0</v>
          </cell>
          <cell r="T114" t="str">
            <v>Roll over impact - Materials - Economical</v>
          </cell>
        </row>
        <row r="115">
          <cell r="D115" t="str">
            <v>Roll over -Materials - VAVE</v>
          </cell>
          <cell r="E115">
            <v>0</v>
          </cell>
          <cell r="F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S115">
            <v>0</v>
          </cell>
          <cell r="T115" t="str">
            <v>Roll over -Materials - VAVE</v>
          </cell>
        </row>
        <row r="116">
          <cell r="D116" t="str">
            <v>Roll over - Direct Labor</v>
          </cell>
          <cell r="E116">
            <v>60.8333333333333</v>
          </cell>
          <cell r="F116">
            <v>0</v>
          </cell>
          <cell r="H116">
            <v>-60.8333333333333</v>
          </cell>
          <cell r="I116">
            <v>-7.8309106256038161</v>
          </cell>
          <cell r="J116">
            <v>0</v>
          </cell>
          <cell r="K116">
            <v>-53.002422707729487</v>
          </cell>
          <cell r="S116">
            <v>0</v>
          </cell>
          <cell r="T116" t="str">
            <v>Roll over - Direct Labor</v>
          </cell>
        </row>
        <row r="117">
          <cell r="S117">
            <v>0</v>
          </cell>
          <cell r="T117">
            <v>0</v>
          </cell>
        </row>
        <row r="118">
          <cell r="D118" t="str">
            <v>DIRECT LABOR - Rate variance</v>
          </cell>
          <cell r="E118">
            <v>-213.70471014492799</v>
          </cell>
          <cell r="F118">
            <v>-55.190229119073301</v>
          </cell>
          <cell r="H118">
            <v>158.51448102585468</v>
          </cell>
          <cell r="I118">
            <v>27.509629897241116</v>
          </cell>
          <cell r="J118">
            <v>3.1014375475933988</v>
          </cell>
          <cell r="K118">
            <v>127.90341358102019</v>
          </cell>
          <cell r="L118">
            <v>0</v>
          </cell>
          <cell r="S118">
            <v>0</v>
          </cell>
          <cell r="T118" t="str">
            <v>DIRECT LABOR - Rate variance</v>
          </cell>
        </row>
        <row r="119">
          <cell r="D119" t="str">
            <v>Direct Labor - Rate Variance</v>
          </cell>
          <cell r="E119">
            <v>-213.70471014492799</v>
          </cell>
          <cell r="F119">
            <v>-55.190229119073301</v>
          </cell>
          <cell r="H119">
            <v>158.51448102585468</v>
          </cell>
          <cell r="I119">
            <v>27.509629897241116</v>
          </cell>
          <cell r="J119">
            <v>3.1014375475933988</v>
          </cell>
          <cell r="K119">
            <v>127.90341358102019</v>
          </cell>
          <cell r="S119">
            <v>0</v>
          </cell>
          <cell r="T119" t="str">
            <v>Direct Labor - Rate Variance</v>
          </cell>
        </row>
        <row r="120">
          <cell r="S120">
            <v>0</v>
          </cell>
          <cell r="T120">
            <v>0</v>
          </cell>
        </row>
        <row r="121">
          <cell r="D121" t="str">
            <v>ECONOMICAL PERFORMANCE</v>
          </cell>
          <cell r="E121">
            <v>-1642.336956521737</v>
          </cell>
          <cell r="F121">
            <v>-828.10919604966648</v>
          </cell>
          <cell r="H121">
            <v>814.22776047207037</v>
          </cell>
          <cell r="I121">
            <v>212.11973327063652</v>
          </cell>
          <cell r="J121">
            <v>117.02667351554639</v>
          </cell>
          <cell r="K121">
            <v>485.08135368588751</v>
          </cell>
          <cell r="L121">
            <v>0</v>
          </cell>
          <cell r="S121">
            <v>0</v>
          </cell>
          <cell r="T121" t="str">
            <v>ECONOMICAL PERFORMANCE</v>
          </cell>
        </row>
        <row r="122">
          <cell r="C122" t="str">
            <v>INDUSTRIAL 
PERFORMANCE</v>
          </cell>
          <cell r="D122" t="str">
            <v>START-UP COSTS</v>
          </cell>
          <cell r="E122">
            <v>-77.039855072463808</v>
          </cell>
          <cell r="F122">
            <v>-57.330933144511214</v>
          </cell>
          <cell r="H122">
            <v>19.708921927952588</v>
          </cell>
          <cell r="I122">
            <v>0</v>
          </cell>
          <cell r="J122">
            <v>0.66363207288004666</v>
          </cell>
          <cell r="K122">
            <v>0</v>
          </cell>
          <cell r="L122">
            <v>19.045289855072543</v>
          </cell>
          <cell r="S122" t="str">
            <v>INDUSTRIAL 
PERFORMANCE</v>
          </cell>
          <cell r="T122" t="str">
            <v>START-UP COSTS</v>
          </cell>
        </row>
        <row r="123">
          <cell r="D123" t="str">
            <v>Materials</v>
          </cell>
          <cell r="E123">
            <v>-30.373188405797102</v>
          </cell>
          <cell r="F123">
            <v>-8.4709571570534106</v>
          </cell>
          <cell r="H123">
            <v>21.902231248743689</v>
          </cell>
          <cell r="J123">
            <v>-0.30247889618385138</v>
          </cell>
          <cell r="L123">
            <v>22.204710144927542</v>
          </cell>
          <cell r="T123" t="str">
            <v>Materials</v>
          </cell>
        </row>
        <row r="124">
          <cell r="D124" t="str">
            <v>Direct Labor</v>
          </cell>
          <cell r="E124">
            <v>-46.6666666666667</v>
          </cell>
          <cell r="F124">
            <v>-48.859975987457801</v>
          </cell>
          <cell r="H124">
            <v>-2.1933093207911014</v>
          </cell>
          <cell r="J124">
            <v>0.96611096906389804</v>
          </cell>
          <cell r="L124">
            <v>-3.1594202898549995</v>
          </cell>
          <cell r="T124" t="str">
            <v>Direct Labor</v>
          </cell>
        </row>
        <row r="125">
          <cell r="T125">
            <v>0</v>
          </cell>
        </row>
        <row r="126">
          <cell r="D126" t="str">
            <v>MATERIAL</v>
          </cell>
          <cell r="E126">
            <v>-177.23731884058012</v>
          </cell>
          <cell r="F126">
            <v>-92.743673179084539</v>
          </cell>
          <cell r="H126">
            <v>84.493645661495577</v>
          </cell>
          <cell r="I126">
            <v>15.680710582972839</v>
          </cell>
          <cell r="J126">
            <v>14.524442762943975</v>
          </cell>
          <cell r="K126">
            <v>0</v>
          </cell>
          <cell r="L126">
            <v>54.288492315578765</v>
          </cell>
          <cell r="T126" t="str">
            <v>MATERIAL</v>
          </cell>
        </row>
        <row r="127">
          <cell r="D127" t="str">
            <v>Scrap variance</v>
          </cell>
          <cell r="E127">
            <v>-141.791666666667</v>
          </cell>
          <cell r="F127">
            <v>-221.07583906660301</v>
          </cell>
          <cell r="H127">
            <v>-79.284172399936011</v>
          </cell>
          <cell r="I127">
            <v>18.2524581225547</v>
          </cell>
          <cell r="J127">
            <v>5.844450788469004</v>
          </cell>
          <cell r="L127">
            <v>-103.38108131095971</v>
          </cell>
          <cell r="T127" t="str">
            <v>Scrap variance</v>
          </cell>
        </row>
        <row r="128">
          <cell r="D128" t="str">
            <v>Physical inventory variance</v>
          </cell>
          <cell r="E128">
            <v>-29</v>
          </cell>
          <cell r="F128">
            <v>3.9981965461558802</v>
          </cell>
          <cell r="H128">
            <v>32.998196546155881</v>
          </cell>
          <cell r="J128">
            <v>3.3677617635471844</v>
          </cell>
          <cell r="L128">
            <v>29.630434782608695</v>
          </cell>
          <cell r="T128" t="str">
            <v>Physical inventory variance</v>
          </cell>
        </row>
        <row r="129">
          <cell r="D129" t="str">
            <v>Exceptional subcontracting</v>
          </cell>
          <cell r="E129">
            <v>0</v>
          </cell>
          <cell r="F129">
            <v>-8</v>
          </cell>
          <cell r="H129">
            <v>-8</v>
          </cell>
          <cell r="J129">
            <v>0</v>
          </cell>
          <cell r="L129">
            <v>-8</v>
          </cell>
          <cell r="T129" t="str">
            <v>Exceptional subcontracting</v>
          </cell>
        </row>
        <row r="130">
          <cell r="D130" t="str">
            <v>Normal incoming freight</v>
          </cell>
          <cell r="E130">
            <v>19.978260869565201</v>
          </cell>
          <cell r="F130">
            <v>103.2441813475171</v>
          </cell>
          <cell r="H130">
            <v>83.265920477951894</v>
          </cell>
          <cell r="I130">
            <v>-2.5717475395818603</v>
          </cell>
          <cell r="J130">
            <v>-4.3409635800191069</v>
          </cell>
          <cell r="L130">
            <v>90.178631597552865</v>
          </cell>
          <cell r="T130" t="str">
            <v>Normal incoming freight</v>
          </cell>
        </row>
        <row r="131">
          <cell r="D131" t="str">
            <v>Exceptional Income freight</v>
          </cell>
          <cell r="E131">
            <v>0</v>
          </cell>
          <cell r="F131">
            <v>-14</v>
          </cell>
          <cell r="H131">
            <v>-14</v>
          </cell>
          <cell r="J131">
            <v>0</v>
          </cell>
          <cell r="L131">
            <v>-14</v>
          </cell>
          <cell r="T131" t="str">
            <v>Exceptional Income freight</v>
          </cell>
        </row>
        <row r="132">
          <cell r="D132" t="str">
            <v>Manufacturing variance</v>
          </cell>
          <cell r="E132">
            <v>-12.423913043478301</v>
          </cell>
          <cell r="F132">
            <v>93.290163429545998</v>
          </cell>
          <cell r="H132">
            <v>105.71407647302431</v>
          </cell>
          <cell r="J132">
            <v>1.1452358933140943</v>
          </cell>
          <cell r="L132">
            <v>104.56884057971021</v>
          </cell>
          <cell r="T132" t="str">
            <v>Manufacturing variance</v>
          </cell>
        </row>
        <row r="133">
          <cell r="D133" t="str">
            <v>Inventory depreciation / extinction</v>
          </cell>
          <cell r="E133">
            <v>-14</v>
          </cell>
          <cell r="F133">
            <v>-50.200375435700501</v>
          </cell>
          <cell r="H133">
            <v>-36.200375435700501</v>
          </cell>
          <cell r="J133">
            <v>8.5079578976327994</v>
          </cell>
          <cell r="L133">
            <v>-44.7083333333333</v>
          </cell>
          <cell r="T133" t="str">
            <v>Inventory depreciation / extinction</v>
          </cell>
        </row>
        <row r="134">
          <cell r="T134">
            <v>0</v>
          </cell>
        </row>
        <row r="135">
          <cell r="D135" t="str">
            <v>DL - Calendarization, Cost of unemployment &amp; other economical</v>
          </cell>
          <cell r="E135">
            <v>-226.25</v>
          </cell>
          <cell r="F135">
            <v>-409.49988229570744</v>
          </cell>
          <cell r="H135">
            <v>-183.24988229570741</v>
          </cell>
          <cell r="I135">
            <v>29.124551162348457</v>
          </cell>
          <cell r="J135">
            <v>11.391422052118685</v>
          </cell>
          <cell r="K135">
            <v>0</v>
          </cell>
          <cell r="L135">
            <v>-223.76585551017456</v>
          </cell>
          <cell r="T135" t="str">
            <v>DL - Calendarization, Cost of unemployment &amp; other economical</v>
          </cell>
        </row>
        <row r="136">
          <cell r="D136" t="str">
            <v>Direct Labor - Calendarization</v>
          </cell>
          <cell r="E136">
            <v>-226.25</v>
          </cell>
          <cell r="F136">
            <v>-387.61150476478701</v>
          </cell>
          <cell r="H136">
            <v>-161.36150476478701</v>
          </cell>
          <cell r="I136">
            <v>29.124551162348457</v>
          </cell>
          <cell r="J136">
            <v>7.5134952352129858</v>
          </cell>
          <cell r="L136">
            <v>-197.99955116234847</v>
          </cell>
          <cell r="T136" t="str">
            <v>Direct Labor - Calendarization</v>
          </cell>
        </row>
        <row r="137">
          <cell r="D137" t="str">
            <v>Direct Labor - Other economical variances</v>
          </cell>
          <cell r="E137">
            <v>0</v>
          </cell>
          <cell r="F137">
            <v>-21.888377530920401</v>
          </cell>
          <cell r="H137">
            <v>-21.888377530920401</v>
          </cell>
          <cell r="I137">
            <v>0</v>
          </cell>
          <cell r="J137">
            <v>3.8779268169056991</v>
          </cell>
          <cell r="L137">
            <v>-25.7663043478261</v>
          </cell>
          <cell r="T137" t="str">
            <v>Direct Labor - Other economical variances</v>
          </cell>
        </row>
        <row r="138">
          <cell r="T138">
            <v>0</v>
          </cell>
        </row>
        <row r="139">
          <cell r="D139" t="str">
            <v>DL - Efficiency variances</v>
          </cell>
          <cell r="E139">
            <v>-525.89492753623165</v>
          </cell>
          <cell r="F139">
            <v>-576.58973584352225</v>
          </cell>
          <cell r="H139">
            <v>-50.694808307290579</v>
          </cell>
          <cell r="I139">
            <v>67.697033030048672</v>
          </cell>
          <cell r="J139">
            <v>21.625843866623139</v>
          </cell>
          <cell r="K139">
            <v>0</v>
          </cell>
          <cell r="L139">
            <v>-140.01768520396237</v>
          </cell>
          <cell r="T139" t="str">
            <v>DL - Efficiency variances</v>
          </cell>
        </row>
        <row r="140">
          <cell r="D140" t="str">
            <v>Direct Labor - Efficiency Variance</v>
          </cell>
          <cell r="E140">
            <v>-233.76992753623199</v>
          </cell>
          <cell r="F140">
            <v>-289.07494338824102</v>
          </cell>
          <cell r="H140">
            <v>-55.305015852009035</v>
          </cell>
          <cell r="I140">
            <v>30.092571114905986</v>
          </cell>
          <cell r="J140">
            <v>17.390636321903969</v>
          </cell>
          <cell r="L140">
            <v>-102.78822328881898</v>
          </cell>
          <cell r="T140" t="str">
            <v>Direct Labor - Efficiency Variance</v>
          </cell>
        </row>
        <row r="141">
          <cell r="D141" t="str">
            <v>Direct Labor - additional needs of headcount (quality walls…)</v>
          </cell>
          <cell r="E141">
            <v>-294.20833333333297</v>
          </cell>
          <cell r="F141">
            <v>-285.71795616709102</v>
          </cell>
          <cell r="H141">
            <v>8.4903771662419558</v>
          </cell>
          <cell r="I141">
            <v>37.872643785882538</v>
          </cell>
          <cell r="J141">
            <v>4.0737104995760092</v>
          </cell>
          <cell r="L141">
            <v>-33.455977119216591</v>
          </cell>
          <cell r="T141" t="str">
            <v>Direct Labor - additional needs of headcount (quality walls…)</v>
          </cell>
        </row>
        <row r="142">
          <cell r="D142" t="str">
            <v>Direct Labor - Logistics efficiency variances</v>
          </cell>
          <cell r="E142">
            <v>2.0833333333333299</v>
          </cell>
          <cell r="F142">
            <v>-1.7968362881901701</v>
          </cell>
          <cell r="H142">
            <v>-3.8801696215234998</v>
          </cell>
          <cell r="I142">
            <v>-0.26818187073985644</v>
          </cell>
          <cell r="J142">
            <v>0.16149704514315988</v>
          </cell>
          <cell r="L142">
            <v>-3.7734847959268034</v>
          </cell>
          <cell r="T142" t="str">
            <v>Direct Labor - Logistics efficiency variances</v>
          </cell>
        </row>
        <row r="143">
          <cell r="T143">
            <v>0</v>
          </cell>
        </row>
        <row r="144">
          <cell r="D144" t="str">
            <v>FREIGHT-OUT Variance</v>
          </cell>
          <cell r="E144">
            <v>11.2173913043478</v>
          </cell>
          <cell r="F144">
            <v>-6.6699795060480902</v>
          </cell>
          <cell r="H144">
            <v>-17.88737081039589</v>
          </cell>
          <cell r="I144">
            <v>-1.443984472714078</v>
          </cell>
          <cell r="J144">
            <v>0.3300204939519098</v>
          </cell>
          <cell r="K144">
            <v>0</v>
          </cell>
          <cell r="L144">
            <v>-16.773406831633721</v>
          </cell>
          <cell r="T144" t="str">
            <v>FREIGHT-OUT Variance</v>
          </cell>
        </row>
        <row r="145">
          <cell r="D145" t="str">
            <v>Exceptional Freight-out</v>
          </cell>
          <cell r="E145">
            <v>11.2173913043478</v>
          </cell>
          <cell r="F145">
            <v>-6.6699795060480902</v>
          </cell>
          <cell r="H145">
            <v>-17.88737081039589</v>
          </cell>
          <cell r="I145">
            <v>-1.443984472714078</v>
          </cell>
          <cell r="J145">
            <v>0.3300204939519098</v>
          </cell>
          <cell r="L145">
            <v>-16.773406831633721</v>
          </cell>
          <cell r="T145" t="str">
            <v>Exceptional Freight-out</v>
          </cell>
        </row>
        <row r="146">
          <cell r="T146">
            <v>0</v>
          </cell>
        </row>
        <row r="147">
          <cell r="D147" t="str">
            <v>INDUSTRIAL PERFORMANCE</v>
          </cell>
          <cell r="E147">
            <v>-995.20471014492773</v>
          </cell>
          <cell r="F147">
            <v>-1142.8342039688735</v>
          </cell>
          <cell r="H147">
            <v>-147.62949382394572</v>
          </cell>
          <cell r="I147">
            <v>111.05831030265588</v>
          </cell>
          <cell r="J147">
            <v>48.535361248517759</v>
          </cell>
          <cell r="K147">
            <v>0</v>
          </cell>
          <cell r="L147">
            <v>-307.22316537511932</v>
          </cell>
          <cell r="T147" t="str">
            <v>INDUSTRIAL PERFORMANCE</v>
          </cell>
        </row>
        <row r="149">
          <cell r="C149" t="str">
            <v>ACTUAL</v>
          </cell>
          <cell r="S149" t="str">
            <v>ACTUAL</v>
          </cell>
        </row>
        <row r="150">
          <cell r="C150" t="str">
            <v>Sales</v>
          </cell>
          <cell r="E150">
            <v>46931.692028985497</v>
          </cell>
          <cell r="F150">
            <v>38905.344079139002</v>
          </cell>
          <cell r="H150">
            <v>-8026.3479498464949</v>
          </cell>
          <cell r="I150">
            <v>-6041.3899033536818</v>
          </cell>
          <cell r="J150">
            <v>-1381.135993324795</v>
          </cell>
          <cell r="K150">
            <v>-603.8220531681211</v>
          </cell>
          <cell r="L150">
            <v>0</v>
          </cell>
          <cell r="S150" t="str">
            <v>Sales</v>
          </cell>
        </row>
        <row r="151">
          <cell r="C151" t="str">
            <v>Materials</v>
          </cell>
          <cell r="E151">
            <v>-26117.3152173913</v>
          </cell>
          <cell r="F151">
            <v>-20576.883716962999</v>
          </cell>
          <cell r="H151">
            <v>5540.4315004283017</v>
          </cell>
          <cell r="I151">
            <v>3614.6820838376361</v>
          </cell>
          <cell r="J151">
            <v>745.89889173270058</v>
          </cell>
          <cell r="K151">
            <v>1101.357322397474</v>
          </cell>
          <cell r="L151">
            <v>76.493202460506311</v>
          </cell>
          <cell r="S151" t="str">
            <v>Materials</v>
          </cell>
        </row>
        <row r="152">
          <cell r="C152" t="str">
            <v>% of pdt sales wo Mono.</v>
          </cell>
          <cell r="E152">
            <v>-0.55649634795312675</v>
          </cell>
          <cell r="F152">
            <v>-0.52889607338021971</v>
          </cell>
        </row>
        <row r="153">
          <cell r="C153" t="str">
            <v>Direct Labor Cost</v>
          </cell>
          <cell r="E153">
            <v>-5650.1974637681196</v>
          </cell>
          <cell r="F153">
            <v>-5231.5447586337204</v>
          </cell>
          <cell r="H153">
            <v>418.65270513439918</v>
          </cell>
          <cell r="I153">
            <v>651.46028234455127</v>
          </cell>
          <cell r="J153">
            <v>146.58929933728996</v>
          </cell>
          <cell r="K153">
            <v>-12.453915543465371</v>
          </cell>
          <cell r="L153">
            <v>-366.94296100399197</v>
          </cell>
          <cell r="S153" t="str">
            <v>Direct Labor Cost</v>
          </cell>
        </row>
        <row r="154">
          <cell r="C154" t="str">
            <v>% of pdt sales wo Mono.</v>
          </cell>
          <cell r="E154">
            <v>-0.1203919402752089</v>
          </cell>
          <cell r="F154">
            <v>-0.13446853851213897</v>
          </cell>
        </row>
        <row r="155">
          <cell r="C155" t="str">
            <v>Freight-out</v>
          </cell>
          <cell r="E155">
            <v>-459.09963768115898</v>
          </cell>
          <cell r="F155">
            <v>-441.05127877728899</v>
          </cell>
          <cell r="H155">
            <v>18.048358903869996</v>
          </cell>
          <cell r="I155">
            <v>10.992609730183972</v>
          </cell>
          <cell r="J155">
            <v>23.829156005319987</v>
          </cell>
          <cell r="K155">
            <v>0</v>
          </cell>
          <cell r="L155">
            <v>-16.773406831633721</v>
          </cell>
          <cell r="S155" t="str">
            <v>Freight-out</v>
          </cell>
        </row>
        <row r="156">
          <cell r="C156" t="str">
            <v>% of pdt sales wo Mono.</v>
          </cell>
          <cell r="E156">
            <v>-9.7822946037746591E-3</v>
          </cell>
          <cell r="F156">
            <v>-1.1336521735423493E-2</v>
          </cell>
        </row>
        <row r="157">
          <cell r="C157" t="str">
            <v>VARIABLE COST MARGIN - ACTUAL</v>
          </cell>
          <cell r="E157">
            <v>14705.079710144901</v>
          </cell>
          <cell r="F157">
            <v>12655.8643247651</v>
          </cell>
          <cell r="H157">
            <v>-2049.2153853799236</v>
          </cell>
          <cell r="I157">
            <v>-1764.2549274413104</v>
          </cell>
          <cell r="J157">
            <v>-464.81864624948457</v>
          </cell>
          <cell r="K157">
            <v>485.08135368588751</v>
          </cell>
          <cell r="L157">
            <v>-307.22316537511938</v>
          </cell>
          <cell r="S157" t="str">
            <v>VARIABLE COST MARGIN - ACTUAL</v>
          </cell>
        </row>
        <row r="158">
          <cell r="C158" t="str">
            <v>% of pdt sales wo Mono.</v>
          </cell>
          <cell r="E158">
            <v>0.31332941716788926</v>
          </cell>
          <cell r="F158">
            <v>0.32529886637222055</v>
          </cell>
        </row>
        <row r="160">
          <cell r="B160" t="str">
            <v>OPERATING INCOME</v>
          </cell>
          <cell r="C160" t="str">
            <v>Indirect Labor Costs</v>
          </cell>
          <cell r="E160">
            <v>-3436.4384057971001</v>
          </cell>
          <cell r="F160">
            <v>-3400.8187155614901</v>
          </cell>
          <cell r="H160">
            <v>35.619690235610051</v>
          </cell>
          <cell r="J160">
            <v>95.675849655900038</v>
          </cell>
          <cell r="L160">
            <v>-60.056159420289987</v>
          </cell>
          <cell r="R160" t="str">
            <v>OPERATING INCOME</v>
          </cell>
          <cell r="S160" t="str">
            <v>Indirect Labor Costs</v>
          </cell>
        </row>
        <row r="161">
          <cell r="C161" t="str">
            <v>Manufacturing Costs</v>
          </cell>
          <cell r="E161">
            <v>-3552.4039855072501</v>
          </cell>
          <cell r="F161">
            <v>-3477.24774501515</v>
          </cell>
          <cell r="H161">
            <v>75.156240492100096</v>
          </cell>
          <cell r="I161">
            <v>137.18740988981631</v>
          </cell>
          <cell r="J161">
            <v>163.6906607819501</v>
          </cell>
          <cell r="L161">
            <v>-225.72183017966609</v>
          </cell>
          <cell r="S161" t="str">
            <v>Manufacturing Costs</v>
          </cell>
        </row>
        <row r="162">
          <cell r="C162" t="str">
            <v>Productive Equip. Depreciation</v>
          </cell>
          <cell r="E162">
            <v>-1841.77173913043</v>
          </cell>
          <cell r="F162">
            <v>-1758.0499011409599</v>
          </cell>
          <cell r="H162">
            <v>83.721837989470032</v>
          </cell>
          <cell r="J162">
            <v>73.053359728610076</v>
          </cell>
          <cell r="L162">
            <v>10.668478260859956</v>
          </cell>
          <cell r="S162" t="str">
            <v>Productive Equip. Depreciation</v>
          </cell>
        </row>
        <row r="163">
          <cell r="C163" t="str">
            <v>Inventory Variance - Fixed Costs</v>
          </cell>
          <cell r="E163">
            <v>0</v>
          </cell>
          <cell r="F163">
            <v>-2.8934846813189599</v>
          </cell>
          <cell r="H163">
            <v>-2.8934846813189599</v>
          </cell>
          <cell r="J163">
            <v>6.39637039114481</v>
          </cell>
          <cell r="L163">
            <v>-9.2898550724637694</v>
          </cell>
          <cell r="S163" t="str">
            <v>Inventory Variance - Fixed Costs</v>
          </cell>
        </row>
        <row r="164">
          <cell r="C164" t="str">
            <v>Completion Losses Reserves</v>
          </cell>
          <cell r="E164">
            <v>0</v>
          </cell>
          <cell r="F164">
            <v>0</v>
          </cell>
          <cell r="H164">
            <v>0</v>
          </cell>
          <cell r="J164">
            <v>0</v>
          </cell>
          <cell r="L164">
            <v>0</v>
          </cell>
          <cell r="S164" t="str">
            <v>Completion Losses Reserves</v>
          </cell>
        </row>
        <row r="165">
          <cell r="C165" t="str">
            <v>GROSS MARGIN ON PROD SALES EXCL. MONO.</v>
          </cell>
          <cell r="E165">
            <v>5874.4655797101505</v>
          </cell>
          <cell r="F165">
            <v>4016.85447836616</v>
          </cell>
          <cell r="H165">
            <v>-1857.6111013439904</v>
          </cell>
          <cell r="I165">
            <v>-1627.0675175514941</v>
          </cell>
          <cell r="J165">
            <v>-126.00240569187957</v>
          </cell>
          <cell r="K165">
            <v>485.08135368588751</v>
          </cell>
          <cell r="L165">
            <v>-591.62253178667925</v>
          </cell>
          <cell r="S165" t="str">
            <v>GROSS MARGIN ON PROD SALES EXCL. MONO.</v>
          </cell>
        </row>
        <row r="166">
          <cell r="C166" t="str">
            <v>% of total sales</v>
          </cell>
          <cell r="E166">
            <v>0.12517054735810548</v>
          </cell>
          <cell r="F166">
            <v>0.1032468565294091</v>
          </cell>
        </row>
        <row r="168">
          <cell r="C168" t="str">
            <v>Tooling sales</v>
          </cell>
          <cell r="E168">
            <v>230.434782608696</v>
          </cell>
          <cell r="F168">
            <v>2207.6372019947898</v>
          </cell>
          <cell r="H168">
            <v>1977.2024193860939</v>
          </cell>
          <cell r="J168">
            <v>-36.672580613910213</v>
          </cell>
          <cell r="L168">
            <v>2013.8750000000041</v>
          </cell>
          <cell r="S168" t="str">
            <v>Tooling sales</v>
          </cell>
        </row>
        <row r="169">
          <cell r="C169" t="str">
            <v>Gross Margin on Tooling</v>
          </cell>
          <cell r="E169">
            <v>36.239130434782602</v>
          </cell>
          <cell r="F169">
            <v>23.3624649063036</v>
          </cell>
          <cell r="H169">
            <v>-12.876665528479002</v>
          </cell>
          <cell r="J169">
            <v>-3.4255785719572991</v>
          </cell>
          <cell r="L169">
            <v>-9.4510869565217028</v>
          </cell>
          <cell r="S169" t="str">
            <v>Gross Margin on Tooling</v>
          </cell>
        </row>
        <row r="170">
          <cell r="C170" t="str">
            <v>Engineering / Prototype Sales</v>
          </cell>
          <cell r="E170">
            <v>1773.66123188406</v>
          </cell>
          <cell r="F170">
            <v>1462.76027694496</v>
          </cell>
          <cell r="H170">
            <v>-310.90095493910007</v>
          </cell>
          <cell r="I170">
            <v>37</v>
          </cell>
          <cell r="J170">
            <v>-82.236099866629957</v>
          </cell>
          <cell r="L170">
            <v>-265.66485507247012</v>
          </cell>
          <cell r="S170" t="str">
            <v>Engineering / Prototype Sales</v>
          </cell>
        </row>
        <row r="171">
          <cell r="C171" t="str">
            <v>Monoliths Sales</v>
          </cell>
          <cell r="E171">
            <v>54808.903985507197</v>
          </cell>
          <cell r="F171">
            <v>35748.081347967498</v>
          </cell>
          <cell r="H171">
            <v>-19060.822637539699</v>
          </cell>
          <cell r="I171">
            <v>-7055.4021139365686</v>
          </cell>
          <cell r="J171">
            <v>-799.05089840930304</v>
          </cell>
          <cell r="L171">
            <v>-11206.369625193827</v>
          </cell>
          <cell r="S171" t="str">
            <v>Monoliths Sales</v>
          </cell>
        </row>
        <row r="172">
          <cell r="C172" t="str">
            <v>Gross Margin on Monoliths</v>
          </cell>
          <cell r="E172">
            <v>959.43659420289896</v>
          </cell>
          <cell r="F172">
            <v>712.54863911695895</v>
          </cell>
          <cell r="H172">
            <v>-246.88795508594001</v>
          </cell>
          <cell r="I172">
            <v>-123.50568033101298</v>
          </cell>
          <cell r="J172">
            <v>-59.35172320188201</v>
          </cell>
          <cell r="L172">
            <v>-64.030551553045015</v>
          </cell>
          <cell r="S172" t="str">
            <v>Gross Margin on Monoliths</v>
          </cell>
        </row>
        <row r="173">
          <cell r="C173" t="str">
            <v>Services &amp; Royalties Sales</v>
          </cell>
          <cell r="E173">
            <v>322</v>
          </cell>
          <cell r="F173">
            <v>224.67246264086299</v>
          </cell>
          <cell r="H173">
            <v>-97.327537359137011</v>
          </cell>
          <cell r="J173">
            <v>-0.24420402580400946</v>
          </cell>
          <cell r="L173">
            <v>-97.083333333333002</v>
          </cell>
          <cell r="S173" t="str">
            <v>Services &amp; Royalties Sales</v>
          </cell>
        </row>
        <row r="174">
          <cell r="C174" t="str">
            <v>Gross Margin on Service &amp; Royalties</v>
          </cell>
          <cell r="E174">
            <v>0</v>
          </cell>
          <cell r="F174">
            <v>4.1000000000000003E-35</v>
          </cell>
          <cell r="H174">
            <v>4.1000000000000003E-35</v>
          </cell>
          <cell r="J174">
            <v>2.7000000000000003E-35</v>
          </cell>
          <cell r="L174">
            <v>1.4E-35</v>
          </cell>
          <cell r="S174" t="str">
            <v>Gross Margin on Service &amp; Royalties</v>
          </cell>
        </row>
        <row r="175">
          <cell r="C175" t="str">
            <v>TOTAL SALES</v>
          </cell>
          <cell r="E175">
            <v>104066.692028986</v>
          </cell>
          <cell r="F175">
            <v>78548.495368687101</v>
          </cell>
          <cell r="H175">
            <v>-25518.196660298898</v>
          </cell>
          <cell r="I175">
            <v>-13059.79201729025</v>
          </cell>
          <cell r="J175">
            <v>-2299.339776240442</v>
          </cell>
          <cell r="K175">
            <v>-603.8220531681211</v>
          </cell>
          <cell r="L175">
            <v>-9555.2428135996252</v>
          </cell>
          <cell r="S175" t="str">
            <v>TOTAL SALES</v>
          </cell>
        </row>
        <row r="176">
          <cell r="C176" t="str">
            <v>GROSS MARGIN</v>
          </cell>
          <cell r="E176">
            <v>6870.1413043478296</v>
          </cell>
          <cell r="F176">
            <v>4752.7655823894202</v>
          </cell>
          <cell r="H176">
            <v>-2117.3757219584095</v>
          </cell>
          <cell r="I176">
            <v>-1750.5731978825072</v>
          </cell>
          <cell r="J176">
            <v>-188.77970746571887</v>
          </cell>
          <cell r="K176">
            <v>485.08135368588751</v>
          </cell>
          <cell r="L176">
            <v>-665.10417029624602</v>
          </cell>
          <cell r="S176" t="str">
            <v>GROSS MARGIN</v>
          </cell>
        </row>
        <row r="177">
          <cell r="C177" t="str">
            <v>% of total sales</v>
          </cell>
          <cell r="E177">
            <v>6.601671649593964E-2</v>
          </cell>
          <cell r="F177">
            <v>6.0507404503181386E-2</v>
          </cell>
        </row>
        <row r="179">
          <cell r="C179" t="str">
            <v>R&amp;D Expenses</v>
          </cell>
          <cell r="E179">
            <v>-1752.53623188406</v>
          </cell>
          <cell r="F179">
            <v>-1952.02763420215</v>
          </cell>
          <cell r="H179">
            <v>-199.49140231808997</v>
          </cell>
          <cell r="I179">
            <v>37</v>
          </cell>
          <cell r="J179">
            <v>78.365481739879897</v>
          </cell>
          <cell r="L179">
            <v>-314.85688405796986</v>
          </cell>
          <cell r="S179" t="str">
            <v>R&amp;D Expenses</v>
          </cell>
        </row>
        <row r="180">
          <cell r="C180" t="str">
            <v>SG&amp;A Gross Expenses</v>
          </cell>
          <cell r="E180">
            <v>-1320.3496376811599</v>
          </cell>
          <cell r="F180">
            <v>-1318.19338175757</v>
          </cell>
          <cell r="H180">
            <v>2.1562559235899244</v>
          </cell>
          <cell r="J180">
            <v>2.7142269380799462</v>
          </cell>
          <cell r="K180">
            <v>-0.55797101449002184</v>
          </cell>
          <cell r="S180" t="str">
            <v>SG&amp;A Gross Expenses</v>
          </cell>
        </row>
        <row r="181">
          <cell r="C181" t="str">
            <v>SG&amp;A Service Management Fees</v>
          </cell>
          <cell r="E181">
            <v>-1460.39855072464</v>
          </cell>
          <cell r="F181">
            <v>-1446.50010264619</v>
          </cell>
          <cell r="H181">
            <v>13.898448078449974</v>
          </cell>
          <cell r="K181">
            <v>13.898448078449974</v>
          </cell>
          <cell r="S181" t="str">
            <v>SG&amp;A Service Management Fees</v>
          </cell>
        </row>
        <row r="183">
          <cell r="C183" t="str">
            <v>OPERATING MARGIN</v>
          </cell>
          <cell r="E183">
            <v>2336.8568840579701</v>
          </cell>
          <cell r="F183">
            <v>36.044463783500298</v>
          </cell>
          <cell r="H183">
            <v>-2300.8124202744698</v>
          </cell>
          <cell r="I183">
            <v>-1713.5731978825072</v>
          </cell>
          <cell r="J183">
            <v>-107.69999878775903</v>
          </cell>
          <cell r="K183">
            <v>498.42183074984746</v>
          </cell>
          <cell r="L183">
            <v>-979.96105435421589</v>
          </cell>
          <cell r="S183" t="str">
            <v>OPERATING MARGIN</v>
          </cell>
        </row>
        <row r="184">
          <cell r="C184" t="str">
            <v>% of total sales</v>
          </cell>
          <cell r="E184">
            <v>2.2455377782231018E-2</v>
          </cell>
          <cell r="F184">
            <v>4.5888165794031509E-4</v>
          </cell>
        </row>
        <row r="185">
          <cell r="C185" t="str">
            <v>(1) Volume Impact on "Variances versus standard" and Monoliths is based on the standard sales, Actual vs Budget</v>
          </cell>
        </row>
        <row r="186">
          <cell r="C186" t="str">
            <v>(2) 30% of the manufacturing costs are considered variable, a volume impact is calculated on this 30%, based on the standard sales.</v>
          </cell>
        </row>
        <row r="187">
          <cell r="C187" t="str">
            <v>(3) - Piece price sales are directly linked with volumes variations</v>
          </cell>
        </row>
        <row r="188">
          <cell r="C188" t="str">
            <v>- Volume impact on Piece Price Sales = Volume on R&amp;D Expenses (if  we consider that amortization is calculated on a linear basis).</v>
          </cell>
        </row>
      </sheetData>
      <sheetData sheetId="5">
        <row r="71">
          <cell r="B71" t="str">
            <v>Standard Analysis  - Detailed P&amp;L - ES DIVISION ASIA</v>
          </cell>
        </row>
        <row r="72">
          <cell r="B72" t="str">
            <v>2009.May</v>
          </cell>
        </row>
        <row r="74">
          <cell r="D74" t="str">
            <v>VOLUME / MIX IMPACT</v>
          </cell>
          <cell r="E74">
            <v>0.15219772224626524</v>
          </cell>
        </row>
        <row r="76">
          <cell r="E76" t="str">
            <v>BUDGET</v>
          </cell>
          <cell r="F76" t="str">
            <v>ACTUAL</v>
          </cell>
          <cell r="H76" t="str">
            <v>VARIANCE</v>
          </cell>
          <cell r="I76" t="str">
            <v>Volume / Mix</v>
          </cell>
          <cell r="J76" t="str">
            <v>Translation impact</v>
          </cell>
          <cell r="K76" t="str">
            <v>Squeeze</v>
          </cell>
          <cell r="L76" t="str">
            <v>Indus</v>
          </cell>
          <cell r="R76" t="str">
            <v>Standard Analysis  - Detailed P&amp;L - ES DIVISION ASIA</v>
          </cell>
        </row>
        <row r="77">
          <cell r="B77" t="str">
            <v>VARIABLE COST MARGIN</v>
          </cell>
          <cell r="C77" t="str">
            <v>STANDARD</v>
          </cell>
          <cell r="R77" t="str">
            <v>VARIABLE COST MARGIN</v>
          </cell>
          <cell r="S77" t="str">
            <v>STANDARD</v>
          </cell>
        </row>
        <row r="78">
          <cell r="C78" t="str">
            <v>Sales</v>
          </cell>
          <cell r="E78">
            <v>13947.500647500599</v>
          </cell>
          <cell r="F78">
            <v>15693.6149082293</v>
          </cell>
          <cell r="H78">
            <v>1746.1142607287002</v>
          </cell>
          <cell r="I78">
            <v>2122.7778295779008</v>
          </cell>
          <cell r="J78">
            <v>-376.6635688492006</v>
          </cell>
          <cell r="S78" t="str">
            <v>Sales</v>
          </cell>
        </row>
        <row r="79">
          <cell r="C79" t="str">
            <v>Purchase</v>
          </cell>
          <cell r="E79">
            <v>-9181.8527151860508</v>
          </cell>
          <cell r="F79">
            <v>-10270.3343723707</v>
          </cell>
          <cell r="H79">
            <v>-1088.4816571846495</v>
          </cell>
          <cell r="I79">
            <v>-1327.5921091254495</v>
          </cell>
          <cell r="J79">
            <v>239.11045194079998</v>
          </cell>
          <cell r="S79" t="str">
            <v>Purchase</v>
          </cell>
        </row>
        <row r="80">
          <cell r="C80" t="str">
            <v>% of std pdt sales wo Mono.</v>
          </cell>
          <cell r="E80">
            <v>-0.65831527434497339</v>
          </cell>
          <cell r="F80">
            <v>-0.65442757659264472</v>
          </cell>
        </row>
        <row r="81">
          <cell r="C81" t="str">
            <v>Direct Labor Cost</v>
          </cell>
          <cell r="E81">
            <v>-567.00336700336698</v>
          </cell>
          <cell r="F81">
            <v>-634.54086717105497</v>
          </cell>
          <cell r="H81">
            <v>-67.537500167687995</v>
          </cell>
          <cell r="I81">
            <v>-72.253060519727001</v>
          </cell>
          <cell r="J81">
            <v>4.7155603520390059</v>
          </cell>
          <cell r="S81" t="str">
            <v>Direct Labor Cost</v>
          </cell>
        </row>
        <row r="82">
          <cell r="C82" t="str">
            <v>% of std pdt sales wo Mono.</v>
          </cell>
          <cell r="E82">
            <v>-4.0652686193276812E-2</v>
          </cell>
          <cell r="F82">
            <v>-4.0433059615749792E-2</v>
          </cell>
        </row>
        <row r="83">
          <cell r="C83" t="str">
            <v>Freight-out</v>
          </cell>
          <cell r="E83">
            <v>-171.28550461883799</v>
          </cell>
          <cell r="F83">
            <v>-150.83544932520999</v>
          </cell>
          <cell r="H83">
            <v>20.450055293627997</v>
          </cell>
          <cell r="I83">
            <v>18.279944746610994</v>
          </cell>
          <cell r="J83">
            <v>2.1701105470170035</v>
          </cell>
          <cell r="S83" t="str">
            <v>Freight-out</v>
          </cell>
        </row>
        <row r="84">
          <cell r="C84" t="str">
            <v>% of std pdt sales wo Mono.</v>
          </cell>
          <cell r="E84">
            <v>-1.2280731074892078E-2</v>
          </cell>
          <cell r="F84">
            <v>-9.6112623004478114E-3</v>
          </cell>
        </row>
        <row r="85">
          <cell r="C85" t="str">
            <v>VARIABLE COST MARGIN - STANDARD</v>
          </cell>
          <cell r="E85">
            <v>4027.3590606923435</v>
          </cell>
          <cell r="F85">
            <v>4637.9042193623345</v>
          </cell>
          <cell r="H85">
            <v>610.545158669991</v>
          </cell>
          <cell r="I85">
            <v>741.2126046793353</v>
          </cell>
          <cell r="J85">
            <v>-130.66744600934362</v>
          </cell>
          <cell r="K85">
            <v>0</v>
          </cell>
          <cell r="L85">
            <v>0</v>
          </cell>
          <cell r="S85" t="str">
            <v>VARIABLE COST MARGIN - STANDARD</v>
          </cell>
        </row>
        <row r="86">
          <cell r="C86" t="str">
            <v>% of std pdt sales wo Mono.</v>
          </cell>
          <cell r="E86">
            <v>0.28875130838685775</v>
          </cell>
          <cell r="F86">
            <v>0.29552810149115771</v>
          </cell>
        </row>
        <row r="88">
          <cell r="C88" t="str">
            <v>VARIANCES vs STANDARD</v>
          </cell>
          <cell r="I88" t="str">
            <v>(1)</v>
          </cell>
          <cell r="S88" t="str">
            <v>VARIANCES vs STANDARD</v>
          </cell>
        </row>
        <row r="89">
          <cell r="C89" t="str">
            <v>ECONOMICAL</v>
          </cell>
          <cell r="D89" t="str">
            <v>PROCESS</v>
          </cell>
          <cell r="E89">
            <v>-75.91297591297598</v>
          </cell>
          <cell r="F89">
            <v>61.901306201457999</v>
          </cell>
          <cell r="H89">
            <v>137.81428211443398</v>
          </cell>
          <cell r="I89">
            <v>-11.553782022890541</v>
          </cell>
          <cell r="J89">
            <v>-1.3724570723060197</v>
          </cell>
          <cell r="K89">
            <v>150.74052120963051</v>
          </cell>
          <cell r="L89">
            <v>0</v>
          </cell>
          <cell r="S89" t="str">
            <v>ECONOMICAL</v>
          </cell>
          <cell r="T89" t="str">
            <v>PROCESS</v>
          </cell>
        </row>
        <row r="90">
          <cell r="D90" t="str">
            <v>Sales</v>
          </cell>
          <cell r="E90">
            <v>-258.90529223862598</v>
          </cell>
          <cell r="F90">
            <v>-392.68688048985098</v>
          </cell>
          <cell r="H90">
            <v>-133.781588251225</v>
          </cell>
          <cell r="I90">
            <v>-39.404795756222526</v>
          </cell>
          <cell r="J90">
            <v>11.664323861353012</v>
          </cell>
          <cell r="K90">
            <v>-106.04111635635553</v>
          </cell>
          <cell r="S90">
            <v>0</v>
          </cell>
          <cell r="T90" t="str">
            <v>Sales</v>
          </cell>
        </row>
        <row r="91">
          <cell r="D91" t="str">
            <v>Materials</v>
          </cell>
          <cell r="E91">
            <v>182.99231632564999</v>
          </cell>
          <cell r="F91">
            <v>454.58818669130898</v>
          </cell>
          <cell r="H91">
            <v>271.59587036565898</v>
          </cell>
          <cell r="I91">
            <v>27.851013733331985</v>
          </cell>
          <cell r="J91">
            <v>-13.036780933659031</v>
          </cell>
          <cell r="K91">
            <v>256.78163756598605</v>
          </cell>
          <cell r="S91">
            <v>0</v>
          </cell>
          <cell r="T91" t="str">
            <v>Materials</v>
          </cell>
        </row>
        <row r="92">
          <cell r="S92">
            <v>0</v>
          </cell>
          <cell r="T92">
            <v>0</v>
          </cell>
        </row>
        <row r="93">
          <cell r="D93" t="str">
            <v>PASSTHROUGH MANDATED SUPPLIERS</v>
          </cell>
          <cell r="E93">
            <v>0</v>
          </cell>
          <cell r="F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S93">
            <v>0</v>
          </cell>
          <cell r="T93" t="str">
            <v>PASSTHROUGH MANDATED SUPPLIERS</v>
          </cell>
        </row>
        <row r="94">
          <cell r="D94" t="str">
            <v>Sales</v>
          </cell>
          <cell r="E94">
            <v>0</v>
          </cell>
          <cell r="F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S94">
            <v>0</v>
          </cell>
          <cell r="T94" t="str">
            <v>Sales</v>
          </cell>
        </row>
        <row r="95">
          <cell r="D95" t="str">
            <v>Materials</v>
          </cell>
          <cell r="E95">
            <v>0</v>
          </cell>
          <cell r="F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S95">
            <v>0</v>
          </cell>
          <cell r="T95" t="str">
            <v>Materials</v>
          </cell>
        </row>
        <row r="96">
          <cell r="S96">
            <v>0</v>
          </cell>
          <cell r="T96">
            <v>0</v>
          </cell>
        </row>
        <row r="97">
          <cell r="D97" t="str">
            <v>PASSTHROUGH RAW MATERIAL</v>
          </cell>
          <cell r="E97">
            <v>6.2678062678060087</v>
          </cell>
          <cell r="F97">
            <v>4.8314830866065002</v>
          </cell>
          <cell r="H97">
            <v>-1.4363231811994979</v>
          </cell>
          <cell r="I97">
            <v>0.95394583744093708</v>
          </cell>
          <cell r="J97">
            <v>0.84287909800250205</v>
          </cell>
          <cell r="K97">
            <v>-3.2331481166429512</v>
          </cell>
          <cell r="L97">
            <v>0</v>
          </cell>
          <cell r="S97">
            <v>0</v>
          </cell>
          <cell r="T97" t="str">
            <v>PASSTHROUGH RAW MATERIAL</v>
          </cell>
        </row>
        <row r="98">
          <cell r="D98" t="str">
            <v>Sales</v>
          </cell>
          <cell r="E98">
            <v>-188.03418803418799</v>
          </cell>
          <cell r="F98">
            <v>-27.257069951868399</v>
          </cell>
          <cell r="H98">
            <v>160.77711808231959</v>
          </cell>
          <cell r="I98">
            <v>-28.618375123229356</v>
          </cell>
          <cell r="J98">
            <v>0.6631579683595028</v>
          </cell>
          <cell r="K98">
            <v>188.73233523718943</v>
          </cell>
          <cell r="S98">
            <v>0</v>
          </cell>
          <cell r="T98" t="str">
            <v>Sales</v>
          </cell>
        </row>
        <row r="99">
          <cell r="D99" t="str">
            <v>Materials</v>
          </cell>
          <cell r="E99">
            <v>194.301994301994</v>
          </cell>
          <cell r="F99">
            <v>32.088553038474899</v>
          </cell>
          <cell r="H99">
            <v>-162.21344126351909</v>
          </cell>
          <cell r="I99">
            <v>29.572320960670293</v>
          </cell>
          <cell r="J99">
            <v>0.17972112964299924</v>
          </cell>
          <cell r="K99">
            <v>-191.96548335383238</v>
          </cell>
          <cell r="S99">
            <v>0</v>
          </cell>
          <cell r="T99" t="str">
            <v>Materials</v>
          </cell>
        </row>
        <row r="100">
          <cell r="D100" t="str">
            <v>Spot purchasing surcharges</v>
          </cell>
          <cell r="E100">
            <v>0</v>
          </cell>
          <cell r="F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S100">
            <v>0</v>
          </cell>
          <cell r="T100" t="str">
            <v>Spot purchasing surcharges</v>
          </cell>
        </row>
        <row r="101">
          <cell r="S101">
            <v>0</v>
          </cell>
          <cell r="T101">
            <v>0</v>
          </cell>
        </row>
        <row r="102">
          <cell r="D102" t="str">
            <v>VA / VE + Technical Purchasing</v>
          </cell>
          <cell r="E102">
            <v>101.17413450746787</v>
          </cell>
          <cell r="F102">
            <v>125.40949050314093</v>
          </cell>
          <cell r="H102">
            <v>24.235355995673061</v>
          </cell>
          <cell r="I102">
            <v>15.398472822273876</v>
          </cell>
          <cell r="J102">
            <v>-5.7914073644239572</v>
          </cell>
          <cell r="K102">
            <v>14.628290537823171</v>
          </cell>
          <cell r="L102">
            <v>0</v>
          </cell>
          <cell r="S102">
            <v>0</v>
          </cell>
          <cell r="T102" t="str">
            <v>VA / VE + Technical Purchasing</v>
          </cell>
        </row>
        <row r="103">
          <cell r="D103" t="str">
            <v>Sales</v>
          </cell>
          <cell r="E103">
            <v>-70.888370888370901</v>
          </cell>
          <cell r="F103">
            <v>-1.71467331775417</v>
          </cell>
          <cell r="H103">
            <v>69.173697570616724</v>
          </cell>
          <cell r="I103">
            <v>-10.789048582958509</v>
          </cell>
          <cell r="J103">
            <v>-5.2716083524599888E-3</v>
          </cell>
          <cell r="K103">
            <v>79.968017761927698</v>
          </cell>
          <cell r="S103">
            <v>0</v>
          </cell>
          <cell r="T103" t="str">
            <v>Sales</v>
          </cell>
        </row>
        <row r="104">
          <cell r="D104" t="str">
            <v>Materials</v>
          </cell>
          <cell r="E104">
            <v>148.60571527238201</v>
          </cell>
          <cell r="F104">
            <v>112.661328546109</v>
          </cell>
          <cell r="H104">
            <v>-35.944386726273009</v>
          </cell>
          <cell r="I104">
            <v>22.617451377233575</v>
          </cell>
          <cell r="J104">
            <v>-5.321922770475993</v>
          </cell>
          <cell r="K104">
            <v>-53.239915333030567</v>
          </cell>
          <cell r="S104">
            <v>0</v>
          </cell>
          <cell r="T104" t="str">
            <v>Materials</v>
          </cell>
        </row>
        <row r="105">
          <cell r="D105" t="str">
            <v>Technical variance purchasing</v>
          </cell>
          <cell r="E105">
            <v>22.671156004489301</v>
          </cell>
          <cell r="F105">
            <v>14.48485078887</v>
          </cell>
          <cell r="H105">
            <v>-8.186305215619301</v>
          </cell>
          <cell r="I105">
            <v>3.4504983045730109</v>
          </cell>
          <cell r="J105">
            <v>-0.44219747151159972</v>
          </cell>
          <cell r="K105">
            <v>-11.194606048680711</v>
          </cell>
          <cell r="S105">
            <v>0</v>
          </cell>
          <cell r="T105" t="str">
            <v>Technical variance purchasing</v>
          </cell>
        </row>
        <row r="106">
          <cell r="D106" t="str">
            <v>Direct Labor</v>
          </cell>
          <cell r="E106">
            <v>0.78563411896745206</v>
          </cell>
          <cell r="F106">
            <v>-2.2015514083903901E-2</v>
          </cell>
          <cell r="H106">
            <v>-0.80764963305135595</v>
          </cell>
          <cell r="I106">
            <v>0.11957172342579757</v>
          </cell>
          <cell r="J106">
            <v>-2.2015514083903901E-2</v>
          </cell>
          <cell r="K106">
            <v>-0.90520584239324953</v>
          </cell>
          <cell r="S106">
            <v>0</v>
          </cell>
          <cell r="T106" t="str">
            <v>Direct Labor</v>
          </cell>
        </row>
        <row r="107">
          <cell r="S107">
            <v>0</v>
          </cell>
          <cell r="T107">
            <v>0</v>
          </cell>
        </row>
        <row r="108">
          <cell r="D108" t="str">
            <v>NON RECURRING</v>
          </cell>
          <cell r="E108">
            <v>-59.147025813692508</v>
          </cell>
          <cell r="F108">
            <v>391.50014796178078</v>
          </cell>
          <cell r="H108">
            <v>450.64717377547328</v>
          </cell>
          <cell r="I108">
            <v>0</v>
          </cell>
          <cell r="J108">
            <v>-6.9199504583176008</v>
          </cell>
          <cell r="K108">
            <v>457.56712423379088</v>
          </cell>
          <cell r="L108">
            <v>0</v>
          </cell>
          <cell r="S108">
            <v>0</v>
          </cell>
          <cell r="T108" t="str">
            <v>NON RECURRING</v>
          </cell>
        </row>
        <row r="109">
          <cell r="D109" t="str">
            <v>Other Sales Variances  - Non recurring</v>
          </cell>
          <cell r="E109">
            <v>-66.6666666666667</v>
          </cell>
          <cell r="F109">
            <v>343.21321715883801</v>
          </cell>
          <cell r="H109">
            <v>409.87988382550469</v>
          </cell>
          <cell r="J109">
            <v>-3.7953298497089918</v>
          </cell>
          <cell r="K109">
            <v>413.67521367521368</v>
          </cell>
          <cell r="S109">
            <v>0</v>
          </cell>
          <cell r="T109" t="str">
            <v>Other Sales Variances  - Non recurring</v>
          </cell>
        </row>
        <row r="110">
          <cell r="D110" t="str">
            <v>Other Purchasing Variance  - Non recurring</v>
          </cell>
          <cell r="E110">
            <v>7.5196408529741898</v>
          </cell>
          <cell r="F110">
            <v>48.28693080294277</v>
          </cell>
          <cell r="H110">
            <v>40.767289949968578</v>
          </cell>
          <cell r="J110">
            <v>-3.124620608608609</v>
          </cell>
          <cell r="K110">
            <v>43.891910558577187</v>
          </cell>
          <cell r="S110">
            <v>0</v>
          </cell>
          <cell r="T110" t="str">
            <v>Other Purchasing Variance  - Non recurring</v>
          </cell>
        </row>
        <row r="111">
          <cell r="S111">
            <v>0</v>
          </cell>
          <cell r="T111">
            <v>0</v>
          </cell>
        </row>
        <row r="112">
          <cell r="D112" t="str">
            <v>ROLL-OVER - Sales, Materials &amp; Direct Labor</v>
          </cell>
          <cell r="E112">
            <v>-47.138047138047099</v>
          </cell>
          <cell r="F112">
            <v>0</v>
          </cell>
          <cell r="H112">
            <v>47.138047138047099</v>
          </cell>
          <cell r="I112">
            <v>-7.1743034055478505</v>
          </cell>
          <cell r="J112">
            <v>0</v>
          </cell>
          <cell r="K112">
            <v>54.312350543594945</v>
          </cell>
          <cell r="L112">
            <v>0</v>
          </cell>
          <cell r="S112">
            <v>0</v>
          </cell>
          <cell r="T112" t="str">
            <v>ROLL-OVER - Sales, Materials &amp; Direct Labor</v>
          </cell>
        </row>
        <row r="113">
          <cell r="D113" t="str">
            <v>Roll over impact - Sales</v>
          </cell>
          <cell r="E113">
            <v>0</v>
          </cell>
          <cell r="F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S113">
            <v>0</v>
          </cell>
          <cell r="T113" t="str">
            <v>Roll over impact - Sales</v>
          </cell>
        </row>
        <row r="114">
          <cell r="D114" t="str">
            <v>Roll over impact - Materials - Economical</v>
          </cell>
          <cell r="E114">
            <v>-47.138047138047099</v>
          </cell>
          <cell r="F114">
            <v>0</v>
          </cell>
          <cell r="H114">
            <v>47.138047138047099</v>
          </cell>
          <cell r="I114">
            <v>-7.1743034055478505</v>
          </cell>
          <cell r="J114">
            <v>0</v>
          </cell>
          <cell r="K114">
            <v>54.312350543594945</v>
          </cell>
          <cell r="S114">
            <v>0</v>
          </cell>
          <cell r="T114" t="str">
            <v>Roll over impact - Materials - Economical</v>
          </cell>
        </row>
        <row r="115">
          <cell r="D115" t="str">
            <v>Roll over -Materials - VAVE</v>
          </cell>
          <cell r="E115">
            <v>0</v>
          </cell>
          <cell r="F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S115">
            <v>0</v>
          </cell>
          <cell r="T115" t="str">
            <v>Roll over -Materials - VAVE</v>
          </cell>
        </row>
        <row r="116">
          <cell r="D116" t="str">
            <v>Roll over - Direct Labor</v>
          </cell>
          <cell r="E116">
            <v>0</v>
          </cell>
          <cell r="F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S116">
            <v>0</v>
          </cell>
          <cell r="T116" t="str">
            <v>Roll over - Direct Labor</v>
          </cell>
        </row>
        <row r="117">
          <cell r="S117">
            <v>0</v>
          </cell>
          <cell r="T117">
            <v>0</v>
          </cell>
        </row>
        <row r="118">
          <cell r="D118" t="str">
            <v>DIRECT LABOR - Rate variance</v>
          </cell>
          <cell r="E118">
            <v>-15.2637485970819</v>
          </cell>
          <cell r="F118">
            <v>-0.88335292360214202</v>
          </cell>
          <cell r="H118">
            <v>14.380395673479757</v>
          </cell>
          <cell r="I118">
            <v>-2.3231077694154916</v>
          </cell>
          <cell r="J118">
            <v>1.4514640932088985E-2</v>
          </cell>
          <cell r="K118">
            <v>16.688988801963159</v>
          </cell>
          <cell r="L118">
            <v>0</v>
          </cell>
          <cell r="S118">
            <v>0</v>
          </cell>
          <cell r="T118" t="str">
            <v>DIRECT LABOR - Rate variance</v>
          </cell>
        </row>
        <row r="119">
          <cell r="D119" t="str">
            <v>Direct Labor - Rate Variance</v>
          </cell>
          <cell r="E119">
            <v>-15.2637485970819</v>
          </cell>
          <cell r="F119">
            <v>-0.88335292360214202</v>
          </cell>
          <cell r="H119">
            <v>14.380395673479757</v>
          </cell>
          <cell r="I119">
            <v>-2.3231077694154916</v>
          </cell>
          <cell r="J119">
            <v>1.4514640932088985E-2</v>
          </cell>
          <cell r="K119">
            <v>16.688988801963159</v>
          </cell>
          <cell r="S119">
            <v>0</v>
          </cell>
          <cell r="T119" t="str">
            <v>Direct Labor - Rate Variance</v>
          </cell>
        </row>
        <row r="120">
          <cell r="S120">
            <v>0</v>
          </cell>
          <cell r="T120">
            <v>0</v>
          </cell>
        </row>
        <row r="121">
          <cell r="D121" t="str">
            <v>ECONOMICAL PERFORMANCE</v>
          </cell>
          <cell r="E121">
            <v>-90.01985668652361</v>
          </cell>
          <cell r="F121">
            <v>582.75907482938408</v>
          </cell>
          <cell r="H121">
            <v>672.77893151590774</v>
          </cell>
          <cell r="I121">
            <v>-4.6987745381390704</v>
          </cell>
          <cell r="J121">
            <v>-13.226421156112988</v>
          </cell>
          <cell r="K121">
            <v>690.70412721015964</v>
          </cell>
          <cell r="L121">
            <v>0</v>
          </cell>
          <cell r="S121">
            <v>0</v>
          </cell>
          <cell r="T121" t="str">
            <v>ECONOMICAL PERFORMANCE</v>
          </cell>
        </row>
        <row r="122">
          <cell r="C122" t="str">
            <v>INDUSTRIAL 
PERFORMANCE</v>
          </cell>
          <cell r="D122" t="str">
            <v>START-UP COSTS</v>
          </cell>
          <cell r="E122">
            <v>-24.915824915824871</v>
          </cell>
          <cell r="F122">
            <v>-3.84923425099403</v>
          </cell>
          <cell r="H122">
            <v>21.066590664830841</v>
          </cell>
          <cell r="I122">
            <v>0</v>
          </cell>
          <cell r="J122">
            <v>7.8936343843230228E-2</v>
          </cell>
          <cell r="K122">
            <v>0</v>
          </cell>
          <cell r="L122">
            <v>20.987654320987609</v>
          </cell>
          <cell r="S122" t="str">
            <v>INDUSTRIAL 
PERFORMANCE</v>
          </cell>
          <cell r="T122" t="str">
            <v>START-UP COSTS</v>
          </cell>
        </row>
        <row r="123">
          <cell r="D123" t="str">
            <v>Materials</v>
          </cell>
          <cell r="E123">
            <v>-23.681257014590301</v>
          </cell>
          <cell r="F123">
            <v>-2.2021605332859902</v>
          </cell>
          <cell r="H123">
            <v>21.47909648130431</v>
          </cell>
          <cell r="J123">
            <v>4.2508378049590068E-2</v>
          </cell>
          <cell r="L123">
            <v>21.436588103254721</v>
          </cell>
          <cell r="S123">
            <v>0</v>
          </cell>
          <cell r="T123" t="str">
            <v>Materials</v>
          </cell>
        </row>
        <row r="124">
          <cell r="D124" t="str">
            <v>Direct Labor</v>
          </cell>
          <cell r="E124">
            <v>-1.2345679012345701</v>
          </cell>
          <cell r="F124">
            <v>-1.6470737177080399</v>
          </cell>
          <cell r="H124">
            <v>-0.41250581647346984</v>
          </cell>
          <cell r="J124">
            <v>3.642796579364016E-2</v>
          </cell>
          <cell r="L124">
            <v>-0.44893378226711</v>
          </cell>
          <cell r="S124">
            <v>0</v>
          </cell>
          <cell r="T124" t="str">
            <v>Direct Labor</v>
          </cell>
        </row>
        <row r="125">
          <cell r="S125">
            <v>0</v>
          </cell>
          <cell r="T125">
            <v>0</v>
          </cell>
        </row>
        <row r="126">
          <cell r="D126" t="str">
            <v>MATERIAL</v>
          </cell>
          <cell r="E126">
            <v>-0.78563411896745006</v>
          </cell>
          <cell r="F126">
            <v>-27.368503666454988</v>
          </cell>
          <cell r="H126">
            <v>-26.58286954748754</v>
          </cell>
          <cell r="I126">
            <v>-1.0590638360570643</v>
          </cell>
          <cell r="J126">
            <v>1.2510249530736313</v>
          </cell>
          <cell r="K126">
            <v>0</v>
          </cell>
          <cell r="L126">
            <v>-26.774830664504108</v>
          </cell>
          <cell r="S126">
            <v>0</v>
          </cell>
          <cell r="T126" t="str">
            <v>MATERIAL</v>
          </cell>
        </row>
        <row r="127">
          <cell r="D127" t="str">
            <v>Scrap variance</v>
          </cell>
          <cell r="E127">
            <v>-6.9584736251402903</v>
          </cell>
          <cell r="F127">
            <v>-28.365641120555601</v>
          </cell>
          <cell r="H127">
            <v>-21.407167495415312</v>
          </cell>
          <cell r="I127">
            <v>-1.0590638360570643</v>
          </cell>
          <cell r="J127">
            <v>1.9373891824746998</v>
          </cell>
          <cell r="L127">
            <v>-22.285492841832948</v>
          </cell>
          <cell r="S127">
            <v>0</v>
          </cell>
          <cell r="T127" t="str">
            <v>Scrap variance</v>
          </cell>
        </row>
        <row r="128">
          <cell r="D128" t="str">
            <v>Physical inventory variance</v>
          </cell>
          <cell r="E128">
            <v>0</v>
          </cell>
          <cell r="F128">
            <v>7.6575701161404903E-3</v>
          </cell>
          <cell r="H128">
            <v>7.6575701161404903E-3</v>
          </cell>
          <cell r="J128">
            <v>7.6575701161404903E-3</v>
          </cell>
          <cell r="L128">
            <v>0</v>
          </cell>
          <cell r="S128">
            <v>0</v>
          </cell>
          <cell r="T128" t="str">
            <v>Physical inventory variance</v>
          </cell>
        </row>
        <row r="129">
          <cell r="D129" t="str">
            <v>Exceptional subcontracting</v>
          </cell>
          <cell r="E129">
            <v>0</v>
          </cell>
          <cell r="F129">
            <v>0</v>
          </cell>
          <cell r="H129">
            <v>0</v>
          </cell>
          <cell r="J129">
            <v>0</v>
          </cell>
          <cell r="L129">
            <v>0</v>
          </cell>
          <cell r="S129">
            <v>0</v>
          </cell>
          <cell r="T129" t="str">
            <v>Exceptional subcontracting</v>
          </cell>
        </row>
        <row r="130">
          <cell r="D130" t="str">
            <v>Normal incoming freight</v>
          </cell>
          <cell r="E130">
            <v>0</v>
          </cell>
          <cell r="F130">
            <v>0</v>
          </cell>
          <cell r="H130">
            <v>0</v>
          </cell>
          <cell r="I130">
            <v>0</v>
          </cell>
          <cell r="J130">
            <v>0</v>
          </cell>
          <cell r="L130">
            <v>0</v>
          </cell>
          <cell r="S130">
            <v>0</v>
          </cell>
          <cell r="T130" t="str">
            <v>Normal incoming freight</v>
          </cell>
        </row>
        <row r="131">
          <cell r="D131" t="str">
            <v>Exceptional Income freight</v>
          </cell>
          <cell r="E131">
            <v>0</v>
          </cell>
          <cell r="F131">
            <v>0</v>
          </cell>
          <cell r="H131">
            <v>0</v>
          </cell>
          <cell r="J131">
            <v>0</v>
          </cell>
          <cell r="L131">
            <v>0</v>
          </cell>
          <cell r="S131">
            <v>0</v>
          </cell>
          <cell r="T131" t="str">
            <v>Exceptional Income freight</v>
          </cell>
        </row>
        <row r="132">
          <cell r="D132" t="str">
            <v>Manufacturing variance</v>
          </cell>
          <cell r="E132">
            <v>6.1728395061728403</v>
          </cell>
          <cell r="F132">
            <v>0.98947988398447095</v>
          </cell>
          <cell r="H132">
            <v>-5.1833596221883695</v>
          </cell>
          <cell r="J132">
            <v>-0.6940217995172091</v>
          </cell>
          <cell r="L132">
            <v>-4.4893378226711604</v>
          </cell>
          <cell r="S132">
            <v>0</v>
          </cell>
          <cell r="T132" t="str">
            <v>Manufacturing variance</v>
          </cell>
        </row>
        <row r="133">
          <cell r="D133" t="str">
            <v>Inventory depreciation / extinction</v>
          </cell>
          <cell r="E133">
            <v>0</v>
          </cell>
          <cell r="F133">
            <v>0</v>
          </cell>
          <cell r="H133">
            <v>0</v>
          </cell>
          <cell r="J133">
            <v>0</v>
          </cell>
          <cell r="L133">
            <v>0</v>
          </cell>
          <cell r="S133">
            <v>0</v>
          </cell>
          <cell r="T133" t="str">
            <v>Inventory depreciation / extinction</v>
          </cell>
        </row>
        <row r="134">
          <cell r="S134">
            <v>0</v>
          </cell>
          <cell r="T134">
            <v>0</v>
          </cell>
        </row>
        <row r="135">
          <cell r="D135" t="str">
            <v>DL - Calendarization, Cost of unemployment &amp; other economical</v>
          </cell>
          <cell r="E135">
            <v>0</v>
          </cell>
          <cell r="F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S135">
            <v>0</v>
          </cell>
          <cell r="T135" t="str">
            <v>DL - Calendarization, Cost of unemployment &amp; other economical</v>
          </cell>
        </row>
        <row r="136">
          <cell r="D136" t="str">
            <v>Direct Labor - Calendarization</v>
          </cell>
          <cell r="E136">
            <v>0</v>
          </cell>
          <cell r="F136">
            <v>0</v>
          </cell>
          <cell r="H136">
            <v>0</v>
          </cell>
          <cell r="I136">
            <v>0</v>
          </cell>
          <cell r="J136">
            <v>0</v>
          </cell>
          <cell r="L136">
            <v>0</v>
          </cell>
          <cell r="S136">
            <v>0</v>
          </cell>
          <cell r="T136" t="str">
            <v>Direct Labor - Calendarization</v>
          </cell>
        </row>
        <row r="137">
          <cell r="D137" t="str">
            <v>Direct Labor - Other economical variances</v>
          </cell>
          <cell r="E137">
            <v>0</v>
          </cell>
          <cell r="F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</v>
          </cell>
          <cell r="S137">
            <v>0</v>
          </cell>
          <cell r="T137" t="str">
            <v>Direct Labor - Other economical variances</v>
          </cell>
        </row>
        <row r="138">
          <cell r="S138">
            <v>0</v>
          </cell>
          <cell r="T138">
            <v>0</v>
          </cell>
        </row>
        <row r="139">
          <cell r="D139" t="str">
            <v>DL - Efficiency variances</v>
          </cell>
          <cell r="E139">
            <v>-58.470258136924798</v>
          </cell>
          <cell r="F139">
            <v>261.57289647320692</v>
          </cell>
          <cell r="H139">
            <v>320.04315461013175</v>
          </cell>
          <cell r="I139">
            <v>-8.8990401075911105</v>
          </cell>
          <cell r="J139">
            <v>-11.301143067499051</v>
          </cell>
          <cell r="K139">
            <v>0</v>
          </cell>
          <cell r="L139">
            <v>340.24333778522191</v>
          </cell>
          <cell r="S139">
            <v>0</v>
          </cell>
          <cell r="T139" t="str">
            <v>DL - Efficiency variances</v>
          </cell>
        </row>
        <row r="140">
          <cell r="D140" t="str">
            <v>Direct Labor - Efficiency Variance</v>
          </cell>
          <cell r="E140">
            <v>-58.470258136924798</v>
          </cell>
          <cell r="F140">
            <v>262.558651993544</v>
          </cell>
          <cell r="H140">
            <v>321.02891013046883</v>
          </cell>
          <cell r="I140">
            <v>-8.8990401075911105</v>
          </cell>
          <cell r="J140">
            <v>-11.325488557262986</v>
          </cell>
          <cell r="L140">
            <v>341.25343879532289</v>
          </cell>
          <cell r="S140">
            <v>0</v>
          </cell>
          <cell r="T140" t="str">
            <v>Direct Labor - Efficiency Variance</v>
          </cell>
        </row>
        <row r="141">
          <cell r="D141" t="str">
            <v>Direct Labor - additional needs of headcount (quality walls…)</v>
          </cell>
          <cell r="E141">
            <v>0</v>
          </cell>
          <cell r="F141">
            <v>-0.98575552033707603</v>
          </cell>
          <cell r="H141">
            <v>-0.98575552033707603</v>
          </cell>
          <cell r="I141">
            <v>0</v>
          </cell>
          <cell r="J141">
            <v>2.4345489763933914E-2</v>
          </cell>
          <cell r="L141">
            <v>-1.0101010101010099</v>
          </cell>
          <cell r="S141">
            <v>0</v>
          </cell>
          <cell r="T141" t="str">
            <v>Direct Labor - additional needs of headcount (quality walls…)</v>
          </cell>
        </row>
        <row r="142">
          <cell r="D142" t="str">
            <v>Direct Labor - Logistics efficiency variances</v>
          </cell>
          <cell r="E142">
            <v>0</v>
          </cell>
          <cell r="F142">
            <v>0</v>
          </cell>
          <cell r="H142">
            <v>0</v>
          </cell>
          <cell r="I142">
            <v>0</v>
          </cell>
          <cell r="J142">
            <v>0</v>
          </cell>
          <cell r="L142">
            <v>0</v>
          </cell>
          <cell r="S142">
            <v>0</v>
          </cell>
          <cell r="T142" t="str">
            <v>Direct Labor - Logistics efficiency variances</v>
          </cell>
        </row>
        <row r="143">
          <cell r="S143">
            <v>0</v>
          </cell>
          <cell r="T143">
            <v>0</v>
          </cell>
        </row>
        <row r="144">
          <cell r="D144" t="str">
            <v>FREIGHT-OUT Variance</v>
          </cell>
          <cell r="E144">
            <v>0</v>
          </cell>
          <cell r="F144">
            <v>0.87475556078993</v>
          </cell>
          <cell r="H144">
            <v>0.87475556078993</v>
          </cell>
          <cell r="I144">
            <v>0</v>
          </cell>
          <cell r="J144">
            <v>8.9121441822477943E-2</v>
          </cell>
          <cell r="K144">
            <v>0</v>
          </cell>
          <cell r="L144">
            <v>0.78563411896745206</v>
          </cell>
          <cell r="S144">
            <v>0</v>
          </cell>
          <cell r="T144" t="str">
            <v>FREIGHT-OUT Variance</v>
          </cell>
        </row>
        <row r="145">
          <cell r="D145" t="str">
            <v>Exceptional Freight-out</v>
          </cell>
          <cell r="E145">
            <v>0</v>
          </cell>
          <cell r="F145">
            <v>0.87475556078993</v>
          </cell>
          <cell r="H145">
            <v>0.87475556078993</v>
          </cell>
          <cell r="I145">
            <v>0</v>
          </cell>
          <cell r="J145">
            <v>8.9121441822477943E-2</v>
          </cell>
          <cell r="L145">
            <v>0.78563411896745206</v>
          </cell>
          <cell r="S145">
            <v>0</v>
          </cell>
          <cell r="T145" t="str">
            <v>Exceptional Freight-out</v>
          </cell>
        </row>
        <row r="146">
          <cell r="S146">
            <v>0</v>
          </cell>
          <cell r="T146">
            <v>0</v>
          </cell>
        </row>
        <row r="147">
          <cell r="D147" t="str">
            <v>INDUSTRIAL PERFORMANCE</v>
          </cell>
          <cell r="E147">
            <v>-84.17171717171712</v>
          </cell>
          <cell r="F147">
            <v>231.22991411654783</v>
          </cell>
          <cell r="H147">
            <v>315.40163128826498</v>
          </cell>
          <cell r="I147">
            <v>-9.9581039436481742</v>
          </cell>
          <cell r="J147">
            <v>-9.882060328759712</v>
          </cell>
          <cell r="K147">
            <v>0</v>
          </cell>
          <cell r="L147">
            <v>335.24179556067281</v>
          </cell>
          <cell r="S147">
            <v>0</v>
          </cell>
          <cell r="T147" t="str">
            <v>INDUSTRIAL PERFORMANCE</v>
          </cell>
        </row>
        <row r="149">
          <cell r="C149" t="str">
            <v>ACTUAL</v>
          </cell>
          <cell r="S149" t="str">
            <v>ACTUAL</v>
          </cell>
        </row>
        <row r="150">
          <cell r="C150" t="str">
            <v>Sales</v>
          </cell>
          <cell r="E150">
            <v>13363.0061296728</v>
          </cell>
          <cell r="F150">
            <v>15615.169501628699</v>
          </cell>
          <cell r="H150">
            <v>2252.1633719558995</v>
          </cell>
          <cell r="I150">
            <v>2043.9656101154906</v>
          </cell>
          <cell r="J150">
            <v>-368.13668847749977</v>
          </cell>
          <cell r="K150">
            <v>576.33445031797532</v>
          </cell>
          <cell r="L150">
            <v>0</v>
          </cell>
          <cell r="S150" t="str">
            <v>Sales</v>
          </cell>
        </row>
        <row r="151">
          <cell r="C151" t="str">
            <v>Materials</v>
          </cell>
          <cell r="E151">
            <v>-8697.3668307001608</v>
          </cell>
          <cell r="F151">
            <v>-9637.7951867027696</v>
          </cell>
          <cell r="H151">
            <v>-940.42835600260878</v>
          </cell>
          <cell r="I151">
            <v>-1252.3341919912455</v>
          </cell>
          <cell r="J151">
            <v>218.65818461727031</v>
          </cell>
          <cell r="K151">
            <v>98.585893932614496</v>
          </cell>
          <cell r="L151">
            <v>-5.3382425612493876</v>
          </cell>
          <cell r="S151" t="str">
            <v>Materials</v>
          </cell>
        </row>
        <row r="152">
          <cell r="C152" t="str">
            <v>% of pdt sales wo Mono.</v>
          </cell>
          <cell r="E152">
            <v>-0.65085406279860181</v>
          </cell>
          <cell r="F152">
            <v>-0.61720720903462012</v>
          </cell>
        </row>
        <row r="153">
          <cell r="C153" t="str">
            <v>Direct Labor Cost</v>
          </cell>
          <cell r="E153">
            <v>-641.18630751964099</v>
          </cell>
          <cell r="F153">
            <v>-375.52041285324202</v>
          </cell>
          <cell r="H153">
            <v>265.66589466639897</v>
          </cell>
          <cell r="I153">
            <v>-83.355636673307799</v>
          </cell>
          <cell r="J153">
            <v>-6.5566556228180275</v>
          </cell>
          <cell r="K153">
            <v>15.78378295956991</v>
          </cell>
          <cell r="L153">
            <v>339.79440400295482</v>
          </cell>
          <cell r="S153" t="str">
            <v>Direct Labor Cost</v>
          </cell>
        </row>
        <row r="154">
          <cell r="C154" t="str">
            <v>% of pdt sales wo Mono.</v>
          </cell>
          <cell r="E154">
            <v>-4.798219063118403E-2</v>
          </cell>
          <cell r="F154">
            <v>-2.4048436542048062E-2</v>
          </cell>
        </row>
        <row r="155">
          <cell r="C155" t="str">
            <v>Freight-out</v>
          </cell>
          <cell r="E155">
            <v>-171.28550461883799</v>
          </cell>
          <cell r="F155">
            <v>-149.96069376442</v>
          </cell>
          <cell r="H155">
            <v>21.32481085441799</v>
          </cell>
          <cell r="I155">
            <v>18.279944746610994</v>
          </cell>
          <cell r="J155">
            <v>2.2592319888389909</v>
          </cell>
          <cell r="K155">
            <v>0</v>
          </cell>
          <cell r="L155">
            <v>0.78563411896745206</v>
          </cell>
          <cell r="S155" t="str">
            <v>Freight-out</v>
          </cell>
        </row>
        <row r="156">
          <cell r="C156" t="str">
            <v>% of pdt sales wo Mono.</v>
          </cell>
          <cell r="E156">
            <v>-1.2817887154784385E-2</v>
          </cell>
          <cell r="F156">
            <v>-9.6035264778124088E-3</v>
          </cell>
        </row>
        <row r="157">
          <cell r="C157" t="str">
            <v>VARIABLE COST MARGIN - ACTUAL</v>
          </cell>
          <cell r="E157">
            <v>3853.1674868341502</v>
          </cell>
          <cell r="F157">
            <v>5451.89320830824</v>
          </cell>
          <cell r="H157">
            <v>1598.7257214741076</v>
          </cell>
          <cell r="I157">
            <v>726.55572619754821</v>
          </cell>
          <cell r="J157">
            <v>-153.77592749420853</v>
          </cell>
          <cell r="K157">
            <v>690.70412721015964</v>
          </cell>
          <cell r="L157">
            <v>335.24179556067287</v>
          </cell>
          <cell r="S157" t="str">
            <v>VARIABLE COST MARGIN - ACTUAL</v>
          </cell>
        </row>
        <row r="158">
          <cell r="C158" t="str">
            <v>% of pdt sales wo Mono.</v>
          </cell>
          <cell r="E158">
            <v>0.28834585941542906</v>
          </cell>
          <cell r="F158">
            <v>0.34914082794551765</v>
          </cell>
        </row>
        <row r="160">
          <cell r="B160" t="str">
            <v>OPERATING INCOME</v>
          </cell>
          <cell r="C160" t="str">
            <v>Indirect Labor Costs</v>
          </cell>
          <cell r="E160">
            <v>-452.64611931278603</v>
          </cell>
          <cell r="F160">
            <v>-418.28927170099598</v>
          </cell>
          <cell r="H160">
            <v>34.356847611790045</v>
          </cell>
          <cell r="J160">
            <v>2.2694781910869892</v>
          </cell>
          <cell r="L160">
            <v>32.087369420703055</v>
          </cell>
          <cell r="R160" t="str">
            <v>OPERATING INCOME</v>
          </cell>
          <cell r="S160" t="str">
            <v>Indirect Labor Costs</v>
          </cell>
        </row>
        <row r="161">
          <cell r="C161" t="str">
            <v>Manufacturing Costs</v>
          </cell>
          <cell r="E161">
            <v>-785.50034292523605</v>
          </cell>
          <cell r="F161">
            <v>-1271.0455122242399</v>
          </cell>
          <cell r="H161">
            <v>-485.54516929900387</v>
          </cell>
          <cell r="I161">
            <v>-35.865408905064349</v>
          </cell>
          <cell r="J161">
            <v>24.083901571839988</v>
          </cell>
          <cell r="L161">
            <v>-473.76366196577942</v>
          </cell>
          <cell r="S161" t="str">
            <v>Manufacturing Costs</v>
          </cell>
        </row>
        <row r="162">
          <cell r="C162" t="str">
            <v>Productive Equip. Depreciation</v>
          </cell>
          <cell r="E162">
            <v>-490.33065699732401</v>
          </cell>
          <cell r="F162">
            <v>-456.69494335220298</v>
          </cell>
          <cell r="H162">
            <v>33.635713645121029</v>
          </cell>
          <cell r="J162">
            <v>4.9558552319290357</v>
          </cell>
          <cell r="L162">
            <v>28.679858413191994</v>
          </cell>
          <cell r="S162" t="str">
            <v>Productive Equip. Depreciation</v>
          </cell>
        </row>
        <row r="163">
          <cell r="C163" t="str">
            <v>Inventory Variance - Fixed Costs</v>
          </cell>
          <cell r="E163">
            <v>0</v>
          </cell>
          <cell r="F163">
            <v>20.2797691849646</v>
          </cell>
          <cell r="H163">
            <v>20.2797691849646</v>
          </cell>
          <cell r="J163">
            <v>-0.48341824488949925</v>
          </cell>
          <cell r="L163">
            <v>20.763187429854099</v>
          </cell>
          <cell r="S163" t="str">
            <v>Inventory Variance - Fixed Costs</v>
          </cell>
        </row>
        <row r="164">
          <cell r="C164" t="str">
            <v>Completion Losses Reserves</v>
          </cell>
          <cell r="E164">
            <v>0</v>
          </cell>
          <cell r="F164">
            <v>0</v>
          </cell>
          <cell r="H164">
            <v>0</v>
          </cell>
          <cell r="J164">
            <v>0</v>
          </cell>
          <cell r="L164">
            <v>0</v>
          </cell>
          <cell r="S164" t="str">
            <v>Completion Losses Reserves</v>
          </cell>
        </row>
        <row r="165">
          <cell r="C165" t="str">
            <v>GROSS MARGIN ON PROD SALES EXCL. MONO.</v>
          </cell>
          <cell r="E165">
            <v>2124.6903675988101</v>
          </cell>
          <cell r="F165">
            <v>3326.14325021577</v>
          </cell>
          <cell r="H165">
            <v>1201.4528826169599</v>
          </cell>
          <cell r="I165">
            <v>690.69031729248388</v>
          </cell>
          <cell r="J165">
            <v>-122.95011074424201</v>
          </cell>
          <cell r="K165">
            <v>690.70412721015964</v>
          </cell>
          <cell r="L165">
            <v>-56.991451141357402</v>
          </cell>
          <cell r="S165" t="str">
            <v>GROSS MARGIN ON PROD SALES EXCL. MONO.</v>
          </cell>
        </row>
        <row r="166">
          <cell r="C166" t="str">
            <v>% of total sales</v>
          </cell>
          <cell r="E166">
            <v>0.15899793407120394</v>
          </cell>
          <cell r="F166">
            <v>0.2130071818861041</v>
          </cell>
        </row>
        <row r="168">
          <cell r="C168" t="str">
            <v>Tooling sales</v>
          </cell>
          <cell r="E168">
            <v>0</v>
          </cell>
          <cell r="F168">
            <v>102.899642649745</v>
          </cell>
          <cell r="H168">
            <v>102.899642649745</v>
          </cell>
          <cell r="J168">
            <v>-1.4774617273589996</v>
          </cell>
          <cell r="L168">
            <v>104.377104377104</v>
          </cell>
          <cell r="S168" t="str">
            <v>Tooling sales</v>
          </cell>
        </row>
        <row r="169">
          <cell r="C169" t="str">
            <v>Gross Margin on Tooling</v>
          </cell>
          <cell r="E169">
            <v>0</v>
          </cell>
          <cell r="F169">
            <v>3.6421403735154398</v>
          </cell>
          <cell r="H169">
            <v>3.6421403735154398</v>
          </cell>
          <cell r="J169">
            <v>0.25476231947072003</v>
          </cell>
          <cell r="L169">
            <v>3.3873780540447198</v>
          </cell>
          <cell r="S169" t="str">
            <v>Gross Margin on Tooling</v>
          </cell>
        </row>
        <row r="170">
          <cell r="C170" t="str">
            <v>Engineering / Prototype Sales</v>
          </cell>
          <cell r="E170">
            <v>27.920227920227902</v>
          </cell>
          <cell r="F170">
            <v>179.630221099751</v>
          </cell>
          <cell r="H170">
            <v>151.70999317952311</v>
          </cell>
          <cell r="I170">
            <v>0</v>
          </cell>
          <cell r="J170">
            <v>1.2162005523969981</v>
          </cell>
          <cell r="L170">
            <v>150.49379262712608</v>
          </cell>
          <cell r="S170" t="str">
            <v>Engineering / Prototype Sales</v>
          </cell>
        </row>
        <row r="171">
          <cell r="C171" t="str">
            <v>Monoliths Sales</v>
          </cell>
          <cell r="E171">
            <v>19940.2313735647</v>
          </cell>
          <cell r="F171">
            <v>20901.598760308701</v>
          </cell>
          <cell r="H171">
            <v>961.36738674400112</v>
          </cell>
          <cell r="I171">
            <v>3034.8577961200644</v>
          </cell>
          <cell r="J171">
            <v>-94.378102334798314</v>
          </cell>
          <cell r="L171">
            <v>-1979.112307041265</v>
          </cell>
          <cell r="S171" t="str">
            <v>Monoliths Sales</v>
          </cell>
        </row>
        <row r="172">
          <cell r="C172" t="str">
            <v>Gross Margin on Monoliths</v>
          </cell>
          <cell r="E172">
            <v>155.93542260208901</v>
          </cell>
          <cell r="F172">
            <v>195.36846720183499</v>
          </cell>
          <cell r="H172">
            <v>39.433044599745983</v>
          </cell>
          <cell r="I172">
            <v>23.733016137546738</v>
          </cell>
          <cell r="J172">
            <v>-2.1483246482900142</v>
          </cell>
          <cell r="L172">
            <v>17.84835311048926</v>
          </cell>
          <cell r="S172" t="str">
            <v>Gross Margin on Monoliths</v>
          </cell>
        </row>
        <row r="173">
          <cell r="C173" t="str">
            <v>Services &amp; Royalties Sales</v>
          </cell>
          <cell r="E173">
            <v>0</v>
          </cell>
          <cell r="F173">
            <v>0</v>
          </cell>
          <cell r="H173">
            <v>0</v>
          </cell>
          <cell r="J173">
            <v>0</v>
          </cell>
          <cell r="L173">
            <v>0</v>
          </cell>
          <cell r="S173" t="str">
            <v>Services &amp; Royalties Sales</v>
          </cell>
        </row>
        <row r="174">
          <cell r="C174" t="str">
            <v>Gross Margin on Service &amp; Royalties</v>
          </cell>
          <cell r="E174">
            <v>0</v>
          </cell>
          <cell r="F174">
            <v>0</v>
          </cell>
          <cell r="H174">
            <v>0</v>
          </cell>
          <cell r="J174">
            <v>0</v>
          </cell>
          <cell r="L174">
            <v>0</v>
          </cell>
          <cell r="S174" t="str">
            <v>Gross Margin on Service &amp; Royalties</v>
          </cell>
        </row>
        <row r="175">
          <cell r="C175" t="str">
            <v>TOTAL SALES</v>
          </cell>
          <cell r="E175">
            <v>33331.157731157698</v>
          </cell>
          <cell r="F175">
            <v>36799.298125686801</v>
          </cell>
          <cell r="H175">
            <v>3468.1403945291022</v>
          </cell>
          <cell r="I175">
            <v>5078.823406235555</v>
          </cell>
          <cell r="J175">
            <v>-462.77605198726008</v>
          </cell>
          <cell r="K175">
            <v>576.33445031797532</v>
          </cell>
          <cell r="L175">
            <v>-1724.2414100370349</v>
          </cell>
          <cell r="S175" t="str">
            <v>TOTAL SALES</v>
          </cell>
        </row>
        <row r="176">
          <cell r="C176" t="str">
            <v>GROSS MARGIN</v>
          </cell>
          <cell r="E176">
            <v>2280.6257902009002</v>
          </cell>
          <cell r="F176">
            <v>3525.1538577911201</v>
          </cell>
          <cell r="H176">
            <v>1244.52806759022</v>
          </cell>
          <cell r="I176">
            <v>714.42333343003065</v>
          </cell>
          <cell r="J176">
            <v>-124.84367307306131</v>
          </cell>
          <cell r="K176">
            <v>690.70412721015964</v>
          </cell>
          <cell r="L176">
            <v>-35.755719976823428</v>
          </cell>
          <cell r="S176" t="str">
            <v>GROSS MARGIN</v>
          </cell>
        </row>
        <row r="177">
          <cell r="C177" t="str">
            <v>% of total sales</v>
          </cell>
          <cell r="E177">
            <v>6.842323955849243E-2</v>
          </cell>
          <cell r="F177">
            <v>9.5794051444977893E-2</v>
          </cell>
        </row>
        <row r="179">
          <cell r="C179" t="str">
            <v>R&amp;D Expenses</v>
          </cell>
          <cell r="E179">
            <v>-432.70549943883299</v>
          </cell>
          <cell r="F179">
            <v>-555.92104371658797</v>
          </cell>
          <cell r="H179">
            <v>-123.21554427775499</v>
          </cell>
          <cell r="I179">
            <v>0</v>
          </cell>
          <cell r="J179">
            <v>10.326646864436043</v>
          </cell>
          <cell r="L179">
            <v>-133.54219114219103</v>
          </cell>
          <cell r="S179" t="str">
            <v>R&amp;D Expenses</v>
          </cell>
        </row>
        <row r="180">
          <cell r="C180" t="str">
            <v>SG&amp;A Gross Expenses</v>
          </cell>
          <cell r="E180">
            <v>-984.63900543900502</v>
          </cell>
          <cell r="F180">
            <v>-1043.40429112481</v>
          </cell>
          <cell r="H180">
            <v>-58.765285685804997</v>
          </cell>
          <cell r="J180">
            <v>29.348260027740025</v>
          </cell>
          <cell r="K180">
            <v>-88.113545713545022</v>
          </cell>
          <cell r="S180" t="str">
            <v>SG&amp;A Gross Expenses</v>
          </cell>
        </row>
        <row r="181">
          <cell r="C181" t="str">
            <v>SG&amp;A Service Management Fees</v>
          </cell>
          <cell r="E181">
            <v>-213.24320124320101</v>
          </cell>
          <cell r="F181">
            <v>-211.29647775772801</v>
          </cell>
          <cell r="H181">
            <v>1.9467234854730009</v>
          </cell>
          <cell r="K181">
            <v>1.9467234854730009</v>
          </cell>
          <cell r="S181" t="str">
            <v>SG&amp;A Service Management Fees</v>
          </cell>
        </row>
        <row r="183">
          <cell r="C183" t="str">
            <v>OPERATING MARGIN</v>
          </cell>
          <cell r="E183">
            <v>650.03808407985798</v>
          </cell>
          <cell r="F183">
            <v>1714.5320451919899</v>
          </cell>
          <cell r="H183">
            <v>1064.493961112132</v>
          </cell>
          <cell r="I183">
            <v>714.42333343003065</v>
          </cell>
          <cell r="J183">
            <v>-85.168766180885243</v>
          </cell>
          <cell r="K183">
            <v>604.53730498208756</v>
          </cell>
          <cell r="L183">
            <v>-169.29791111901446</v>
          </cell>
          <cell r="S183" t="str">
            <v>OPERATING MARGIN</v>
          </cell>
        </row>
        <row r="184">
          <cell r="C184" t="str">
            <v>% of total sales</v>
          </cell>
          <cell r="E184">
            <v>1.9502415407317449E-2</v>
          </cell>
          <cell r="F184">
            <v>4.659143332940921E-2</v>
          </cell>
        </row>
        <row r="185">
          <cell r="C185" t="str">
            <v>(1) Volume Impact on "Variances versus standard" and Monoliths is based on the standard sales, Actual vs Budget</v>
          </cell>
        </row>
        <row r="186">
          <cell r="C186" t="str">
            <v>(2) 30% of the manufacturing costs are considered variable, a volume impact is calculated on this 30%, based on the standard sales.</v>
          </cell>
        </row>
        <row r="187">
          <cell r="C187" t="str">
            <v>(3) - Piece price sales are directly linked with volumes variations</v>
          </cell>
        </row>
        <row r="188">
          <cell r="C188" t="str">
            <v>- Volume impact on Piece Price Sales = Volume on R&amp;D Expenses (if  we consider that amortization is calculated on a linear basis).</v>
          </cell>
        </row>
      </sheetData>
      <sheetData sheetId="6">
        <row r="71">
          <cell r="B71" t="str">
            <v>Standard Analysis  - Detailed P&amp;L - ES DIVISION NORTH AMERICA</v>
          </cell>
        </row>
        <row r="72">
          <cell r="B72" t="str">
            <v>2009.May</v>
          </cell>
        </row>
        <row r="74">
          <cell r="D74" t="str">
            <v>VOLUME / MIX IMPACT</v>
          </cell>
          <cell r="E74">
            <v>-0.32229819223599304</v>
          </cell>
        </row>
        <row r="76">
          <cell r="E76" t="str">
            <v>BUDGET</v>
          </cell>
          <cell r="F76" t="str">
            <v>ACTUAL</v>
          </cell>
          <cell r="H76" t="str">
            <v>VARIANCE</v>
          </cell>
          <cell r="I76" t="str">
            <v>Volume / Mix</v>
          </cell>
          <cell r="J76" t="str">
            <v>Translation impact</v>
          </cell>
          <cell r="K76" t="str">
            <v>Squeeze</v>
          </cell>
          <cell r="L76" t="str">
            <v>Indus</v>
          </cell>
          <cell r="R76" t="str">
            <v>Standard Analysis  - Detailed P&amp;L - ES DIVISION NORTH AMERICA</v>
          </cell>
        </row>
        <row r="77">
          <cell r="B77" t="str">
            <v>VARIABLE COST MARGIN</v>
          </cell>
          <cell r="C77" t="str">
            <v>STANDARD</v>
          </cell>
          <cell r="R77" t="str">
            <v>VARIABLE COST MARGIN</v>
          </cell>
          <cell r="S77" t="str">
            <v>STANDARD</v>
          </cell>
        </row>
        <row r="78">
          <cell r="C78" t="str">
            <v>Sales</v>
          </cell>
          <cell r="E78">
            <v>24400.1646090535</v>
          </cell>
          <cell r="F78">
            <v>15079.528802196401</v>
          </cell>
          <cell r="H78">
            <v>-9320.6358068570989</v>
          </cell>
          <cell r="I78">
            <v>-7864.1289437585983</v>
          </cell>
          <cell r="J78">
            <v>-1456.5068630985006</v>
          </cell>
          <cell r="S78" t="str">
            <v>Sales</v>
          </cell>
        </row>
        <row r="79">
          <cell r="C79" t="str">
            <v>Purchase</v>
          </cell>
          <cell r="E79">
            <v>-14678.710562414301</v>
          </cell>
          <cell r="F79">
            <v>-9245.3609831381491</v>
          </cell>
          <cell r="H79">
            <v>5433.3495792761514</v>
          </cell>
          <cell r="I79">
            <v>4439.1769547325002</v>
          </cell>
          <cell r="J79">
            <v>994.17262454365118</v>
          </cell>
          <cell r="S79" t="str">
            <v>Purchase</v>
          </cell>
        </row>
        <row r="80">
          <cell r="C80" t="str">
            <v>% of std pdt sales wo Mono.</v>
          </cell>
          <cell r="E80">
            <v>-0.60158244002041994</v>
          </cell>
          <cell r="F80">
            <v>-0.61310675581530905</v>
          </cell>
        </row>
        <row r="81">
          <cell r="C81" t="str">
            <v>Direct Labor Cost</v>
          </cell>
          <cell r="E81">
            <v>-1826.65294924554</v>
          </cell>
          <cell r="F81">
            <v>-1077.7387847049399</v>
          </cell>
          <cell r="H81">
            <v>748.91416454060004</v>
          </cell>
          <cell r="I81">
            <v>696.09053497942</v>
          </cell>
          <cell r="J81">
            <v>52.823629561180041</v>
          </cell>
          <cell r="S81" t="str">
            <v>Direct Labor Cost</v>
          </cell>
        </row>
        <row r="82">
          <cell r="C82" t="str">
            <v>% of std pdt sales wo Mono.</v>
          </cell>
          <cell r="E82">
            <v>-7.4862320747122096E-2</v>
          </cell>
          <cell r="F82">
            <v>-7.147032237160901E-2</v>
          </cell>
        </row>
        <row r="83">
          <cell r="C83" t="str">
            <v>Freight-out</v>
          </cell>
          <cell r="E83">
            <v>-26.694101508916301</v>
          </cell>
          <cell r="F83">
            <v>-14.953658788748401</v>
          </cell>
          <cell r="H83">
            <v>11.7404427201679</v>
          </cell>
          <cell r="I83">
            <v>9.4375857338820026</v>
          </cell>
          <cell r="J83">
            <v>2.3028569862858976</v>
          </cell>
          <cell r="S83" t="str">
            <v>Freight-out</v>
          </cell>
        </row>
        <row r="84">
          <cell r="C84" t="str">
            <v>% of std pdt sales wo Mono.</v>
          </cell>
          <cell r="E84">
            <v>-1.0940131731329245E-3</v>
          </cell>
          <cell r="F84">
            <v>-9.9165292131477836E-4</v>
          </cell>
        </row>
        <row r="85">
          <cell r="C85" t="str">
            <v>VARIABLE COST MARGIN - STANDARD</v>
          </cell>
          <cell r="E85">
            <v>7868.1069958847429</v>
          </cell>
          <cell r="F85">
            <v>4741.4753755645634</v>
          </cell>
          <cell r="H85">
            <v>-3126.6316203201795</v>
          </cell>
          <cell r="I85">
            <v>-2719.423868312796</v>
          </cell>
          <cell r="J85">
            <v>-407.20775200738353</v>
          </cell>
          <cell r="K85">
            <v>0</v>
          </cell>
          <cell r="L85">
            <v>0</v>
          </cell>
          <cell r="S85" t="str">
            <v>VARIABLE COST MARGIN - STANDARD</v>
          </cell>
        </row>
        <row r="86">
          <cell r="C86" t="str">
            <v>% of std pdt sales wo Mono.</v>
          </cell>
          <cell r="E86">
            <v>0.32246122605932503</v>
          </cell>
          <cell r="F86">
            <v>0.31443126889176709</v>
          </cell>
        </row>
        <row r="88">
          <cell r="C88" t="str">
            <v>VARIANCES vs STANDARD</v>
          </cell>
          <cell r="I88" t="str">
            <v>(1)</v>
          </cell>
          <cell r="S88" t="str">
            <v>VARIANCES vs STANDARD</v>
          </cell>
        </row>
        <row r="89">
          <cell r="C89" t="str">
            <v>ECONOMICAL</v>
          </cell>
          <cell r="D89" t="str">
            <v>PROCESS</v>
          </cell>
          <cell r="E89">
            <v>975.58299039780491</v>
          </cell>
          <cell r="F89">
            <v>355.16094458668999</v>
          </cell>
          <cell r="H89">
            <v>-620.42204581111491</v>
          </cell>
          <cell r="I89">
            <v>-314.42863418139666</v>
          </cell>
          <cell r="J89">
            <v>-92.795159665709889</v>
          </cell>
          <cell r="K89">
            <v>-213.19825196400836</v>
          </cell>
          <cell r="L89">
            <v>0</v>
          </cell>
          <cell r="S89" t="str">
            <v>ECONOMICAL</v>
          </cell>
          <cell r="T89" t="str">
            <v>PROCESS</v>
          </cell>
        </row>
        <row r="90">
          <cell r="D90" t="str">
            <v>Sales</v>
          </cell>
          <cell r="E90">
            <v>-334.81481481481501</v>
          </cell>
          <cell r="F90">
            <v>-1238.96592443537</v>
          </cell>
          <cell r="H90">
            <v>-904.15110962055496</v>
          </cell>
          <cell r="I90">
            <v>107.91020954864366</v>
          </cell>
          <cell r="J90">
            <v>11.651359515250078</v>
          </cell>
          <cell r="K90">
            <v>-1023.7126786844487</v>
          </cell>
          <cell r="S90">
            <v>0</v>
          </cell>
          <cell r="T90" t="str">
            <v>Sales</v>
          </cell>
        </row>
        <row r="91">
          <cell r="D91" t="str">
            <v>Materials</v>
          </cell>
          <cell r="E91">
            <v>1310.3978052126199</v>
          </cell>
          <cell r="F91">
            <v>1594.12686902206</v>
          </cell>
          <cell r="H91">
            <v>283.72906380944005</v>
          </cell>
          <cell r="I91">
            <v>-422.33884373004031</v>
          </cell>
          <cell r="J91">
            <v>-104.44651918095997</v>
          </cell>
          <cell r="K91">
            <v>810.51442672044038</v>
          </cell>
          <cell r="S91">
            <v>0</v>
          </cell>
          <cell r="T91" t="str">
            <v>Materials</v>
          </cell>
        </row>
        <row r="92">
          <cell r="S92">
            <v>0</v>
          </cell>
          <cell r="T92">
            <v>0</v>
          </cell>
        </row>
        <row r="93">
          <cell r="D93" t="str">
            <v>PASSTHROUGH MANDATED SUPPLIERS</v>
          </cell>
          <cell r="E93">
            <v>0</v>
          </cell>
          <cell r="F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S93">
            <v>0</v>
          </cell>
          <cell r="T93" t="str">
            <v>PASSTHROUGH MANDATED SUPPLIERS</v>
          </cell>
        </row>
        <row r="94">
          <cell r="D94" t="str">
            <v>Sales</v>
          </cell>
          <cell r="E94">
            <v>0</v>
          </cell>
          <cell r="F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S94">
            <v>0</v>
          </cell>
          <cell r="T94" t="str">
            <v>Sales</v>
          </cell>
        </row>
        <row r="95">
          <cell r="D95" t="str">
            <v>Materials</v>
          </cell>
          <cell r="E95">
            <v>0</v>
          </cell>
          <cell r="F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S95">
            <v>0</v>
          </cell>
          <cell r="T95" t="str">
            <v>Materials</v>
          </cell>
        </row>
        <row r="96">
          <cell r="S96">
            <v>0</v>
          </cell>
          <cell r="T96">
            <v>0</v>
          </cell>
        </row>
        <row r="97">
          <cell r="D97" t="str">
            <v>PASSTHROUGH RAW MATERIAL</v>
          </cell>
          <cell r="E97">
            <v>871.11111111111097</v>
          </cell>
          <cell r="F97">
            <v>103.252512039571</v>
          </cell>
          <cell r="H97">
            <v>-767.85859907153997</v>
          </cell>
          <cell r="I97">
            <v>-280.75753634779835</v>
          </cell>
          <cell r="J97">
            <v>-10.821562034503003</v>
          </cell>
          <cell r="K97">
            <v>-476.2795006892386</v>
          </cell>
          <cell r="L97">
            <v>0</v>
          </cell>
          <cell r="S97">
            <v>0</v>
          </cell>
          <cell r="T97" t="str">
            <v>PASSTHROUGH RAW MATERIAL</v>
          </cell>
        </row>
        <row r="98">
          <cell r="D98" t="str">
            <v>Sales</v>
          </cell>
          <cell r="E98">
            <v>871.11111111111097</v>
          </cell>
          <cell r="F98">
            <v>103.252512039571</v>
          </cell>
          <cell r="H98">
            <v>-767.85859907153997</v>
          </cell>
          <cell r="I98">
            <v>-280.75753634779835</v>
          </cell>
          <cell r="J98">
            <v>-10.821562034503003</v>
          </cell>
          <cell r="K98">
            <v>-476.2795006892386</v>
          </cell>
          <cell r="S98">
            <v>0</v>
          </cell>
          <cell r="T98" t="str">
            <v>Sales</v>
          </cell>
        </row>
        <row r="99">
          <cell r="D99" t="str">
            <v>Materials</v>
          </cell>
          <cell r="E99">
            <v>0</v>
          </cell>
          <cell r="F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S99">
            <v>0</v>
          </cell>
          <cell r="T99" t="str">
            <v>Materials</v>
          </cell>
        </row>
        <row r="100">
          <cell r="D100" t="str">
            <v>Spot purchasing surcharges</v>
          </cell>
          <cell r="E100">
            <v>0</v>
          </cell>
          <cell r="F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S100">
            <v>0</v>
          </cell>
          <cell r="T100" t="str">
            <v>Spot purchasing surcharges</v>
          </cell>
        </row>
        <row r="101">
          <cell r="S101">
            <v>0</v>
          </cell>
          <cell r="T101">
            <v>0</v>
          </cell>
        </row>
        <row r="102">
          <cell r="D102" t="str">
            <v>VA / VE + Technical Purchasing</v>
          </cell>
          <cell r="E102">
            <v>56.268861454046601</v>
          </cell>
          <cell r="F102">
            <v>4.3965784470341003</v>
          </cell>
          <cell r="H102">
            <v>-51.872283007012499</v>
          </cell>
          <cell r="I102">
            <v>-18.135352325816772</v>
          </cell>
          <cell r="J102">
            <v>-0.67886736915246004</v>
          </cell>
          <cell r="K102">
            <v>-33.058063312043267</v>
          </cell>
          <cell r="L102">
            <v>0</v>
          </cell>
          <cell r="S102">
            <v>0</v>
          </cell>
          <cell r="T102" t="str">
            <v>VA / VE + Technical Purchasing</v>
          </cell>
        </row>
        <row r="103">
          <cell r="D103" t="str">
            <v>Sales</v>
          </cell>
          <cell r="E103">
            <v>0</v>
          </cell>
          <cell r="F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S103">
            <v>0</v>
          </cell>
          <cell r="T103" t="str">
            <v>Sales</v>
          </cell>
        </row>
        <row r="104">
          <cell r="D104" t="str">
            <v>Materials</v>
          </cell>
          <cell r="E104">
            <v>0</v>
          </cell>
          <cell r="F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S104">
            <v>0</v>
          </cell>
          <cell r="T104" t="str">
            <v>Materials</v>
          </cell>
        </row>
        <row r="105">
          <cell r="D105" t="str">
            <v>Technical variance purchasing</v>
          </cell>
          <cell r="E105">
            <v>0</v>
          </cell>
          <cell r="F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S105">
            <v>0</v>
          </cell>
          <cell r="T105" t="str">
            <v>Technical variance purchasing</v>
          </cell>
        </row>
        <row r="106">
          <cell r="D106" t="str">
            <v>Direct Labor</v>
          </cell>
          <cell r="E106">
            <v>56.268861454046601</v>
          </cell>
          <cell r="F106">
            <v>4.3965784470341003</v>
          </cell>
          <cell r="H106">
            <v>-51.872283007012499</v>
          </cell>
          <cell r="I106">
            <v>-18.135352325816772</v>
          </cell>
          <cell r="J106">
            <v>-0.67886736915246004</v>
          </cell>
          <cell r="K106">
            <v>-33.058063312043267</v>
          </cell>
          <cell r="S106">
            <v>0</v>
          </cell>
          <cell r="T106" t="str">
            <v>Direct Labor</v>
          </cell>
        </row>
        <row r="107">
          <cell r="S107">
            <v>0</v>
          </cell>
          <cell r="T107">
            <v>0</v>
          </cell>
        </row>
        <row r="108">
          <cell r="D108" t="str">
            <v>NON RECURRING</v>
          </cell>
          <cell r="E108">
            <v>0</v>
          </cell>
          <cell r="F108">
            <v>261.83501545361003</v>
          </cell>
          <cell r="H108">
            <v>261.83501545361003</v>
          </cell>
          <cell r="I108">
            <v>0</v>
          </cell>
          <cell r="J108">
            <v>-3.3501697315749652</v>
          </cell>
          <cell r="K108">
            <v>265.18518518518499</v>
          </cell>
          <cell r="L108">
            <v>0</v>
          </cell>
          <cell r="S108">
            <v>0</v>
          </cell>
          <cell r="T108" t="str">
            <v>NON RECURRING</v>
          </cell>
        </row>
        <row r="109">
          <cell r="D109" t="str">
            <v>Other Sales Variances  - Non recurring</v>
          </cell>
          <cell r="E109">
            <v>0</v>
          </cell>
          <cell r="F109">
            <v>261.83501545361003</v>
          </cell>
          <cell r="H109">
            <v>261.83501545361003</v>
          </cell>
          <cell r="J109">
            <v>-3.3501697315749652</v>
          </cell>
          <cell r="K109">
            <v>265.18518518518499</v>
          </cell>
          <cell r="S109">
            <v>0</v>
          </cell>
          <cell r="T109" t="str">
            <v>Other Sales Variances  - Non recurring</v>
          </cell>
        </row>
        <row r="110">
          <cell r="D110" t="str">
            <v>Other Purchasing Variance  - Non recurring</v>
          </cell>
          <cell r="E110">
            <v>0</v>
          </cell>
          <cell r="F110">
            <v>0</v>
          </cell>
          <cell r="H110">
            <v>0</v>
          </cell>
          <cell r="J110">
            <v>0</v>
          </cell>
          <cell r="K110">
            <v>0</v>
          </cell>
          <cell r="S110">
            <v>0</v>
          </cell>
          <cell r="T110" t="str">
            <v>Other Purchasing Variance  - Non recurring</v>
          </cell>
        </row>
        <row r="111">
          <cell r="S111">
            <v>0</v>
          </cell>
          <cell r="T111">
            <v>0</v>
          </cell>
        </row>
        <row r="112">
          <cell r="D112" t="str">
            <v>ROLL-OVER - Sales, Materials &amp; Direct Labor</v>
          </cell>
          <cell r="E112">
            <v>364.44444444444429</v>
          </cell>
          <cell r="F112">
            <v>0</v>
          </cell>
          <cell r="H112">
            <v>-364.44444444444429</v>
          </cell>
          <cell r="I112">
            <v>-117.45978561489518</v>
          </cell>
          <cell r="J112">
            <v>0</v>
          </cell>
          <cell r="K112">
            <v>-246.98465882954909</v>
          </cell>
          <cell r="L112">
            <v>0</v>
          </cell>
          <cell r="S112">
            <v>0</v>
          </cell>
          <cell r="T112" t="str">
            <v>ROLL-OVER - Sales, Materials &amp; Direct Labor</v>
          </cell>
        </row>
        <row r="113">
          <cell r="D113" t="str">
            <v>Roll over impact - Sales</v>
          </cell>
          <cell r="E113">
            <v>328.14814814814798</v>
          </cell>
          <cell r="F113">
            <v>0</v>
          </cell>
          <cell r="H113">
            <v>-328.14814814814798</v>
          </cell>
          <cell r="I113">
            <v>-105.76155493373692</v>
          </cell>
          <cell r="J113">
            <v>0</v>
          </cell>
          <cell r="K113">
            <v>-222.38659321441105</v>
          </cell>
          <cell r="S113">
            <v>0</v>
          </cell>
          <cell r="T113" t="str">
            <v>Roll over impact - Sales</v>
          </cell>
        </row>
        <row r="114">
          <cell r="D114" t="str">
            <v>Roll over impact - Materials - Economical</v>
          </cell>
          <cell r="E114">
            <v>36.296296296296298</v>
          </cell>
          <cell r="F114">
            <v>0</v>
          </cell>
          <cell r="H114">
            <v>-36.296296296296298</v>
          </cell>
          <cell r="I114">
            <v>-11.698230681158266</v>
          </cell>
          <cell r="J114">
            <v>0</v>
          </cell>
          <cell r="K114">
            <v>-24.598065615138029</v>
          </cell>
          <cell r="S114">
            <v>0</v>
          </cell>
          <cell r="T114" t="str">
            <v>Roll over impact - Materials - Economical</v>
          </cell>
        </row>
        <row r="115">
          <cell r="D115" t="str">
            <v>Roll over -Materials - VAVE</v>
          </cell>
          <cell r="E115">
            <v>0</v>
          </cell>
          <cell r="F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S115">
            <v>0</v>
          </cell>
          <cell r="T115" t="str">
            <v>Roll over -Materials - VAVE</v>
          </cell>
        </row>
        <row r="116">
          <cell r="D116" t="str">
            <v>Roll over - Direct Labor</v>
          </cell>
          <cell r="E116">
            <v>0</v>
          </cell>
          <cell r="F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S116">
            <v>0</v>
          </cell>
          <cell r="T116" t="str">
            <v>Roll over - Direct Labor</v>
          </cell>
        </row>
        <row r="117">
          <cell r="S117">
            <v>0</v>
          </cell>
          <cell r="T117">
            <v>0</v>
          </cell>
        </row>
        <row r="118">
          <cell r="D118" t="str">
            <v>DIRECT LABOR - Rate variance</v>
          </cell>
          <cell r="E118">
            <v>0</v>
          </cell>
          <cell r="F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S118">
            <v>0</v>
          </cell>
          <cell r="T118" t="str">
            <v>DIRECT LABOR - Rate variance</v>
          </cell>
        </row>
        <row r="119">
          <cell r="D119" t="str">
            <v>Direct Labor - Rate Variance</v>
          </cell>
          <cell r="E119">
            <v>0</v>
          </cell>
          <cell r="F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S119">
            <v>0</v>
          </cell>
          <cell r="T119" t="str">
            <v>Direct Labor - Rate Variance</v>
          </cell>
        </row>
        <row r="120">
          <cell r="S120">
            <v>0</v>
          </cell>
          <cell r="T120">
            <v>0</v>
          </cell>
        </row>
        <row r="121">
          <cell r="D121" t="str">
            <v>ECONOMICAL PERFORMANCE</v>
          </cell>
          <cell r="E121">
            <v>2267.4074074074069</v>
          </cell>
          <cell r="F121">
            <v>724.64505052690515</v>
          </cell>
          <cell r="H121">
            <v>-1542.7623568805016</v>
          </cell>
          <cell r="I121">
            <v>-730.781308469907</v>
          </cell>
          <cell r="J121">
            <v>-107.64575880094031</v>
          </cell>
          <cell r="K121">
            <v>-704.3352896096543</v>
          </cell>
          <cell r="L121">
            <v>0</v>
          </cell>
          <cell r="S121">
            <v>0</v>
          </cell>
          <cell r="T121" t="str">
            <v>ECONOMICAL PERFORMANCE</v>
          </cell>
        </row>
        <row r="122">
          <cell r="C122" t="str">
            <v>INDUSTRIAL 
PERFORMANCE</v>
          </cell>
          <cell r="D122" t="str">
            <v>START-UP COSTS</v>
          </cell>
          <cell r="E122">
            <v>-17.037037037037038</v>
          </cell>
          <cell r="F122">
            <v>-21.03731644760234</v>
          </cell>
          <cell r="H122">
            <v>-4.0002794105652999</v>
          </cell>
          <cell r="I122">
            <v>0</v>
          </cell>
          <cell r="J122">
            <v>-0.29657570686160994</v>
          </cell>
          <cell r="K122">
            <v>0</v>
          </cell>
          <cell r="L122">
            <v>-3.70370370370369</v>
          </cell>
          <cell r="S122" t="str">
            <v>INDUSTRIAL 
PERFORMANCE</v>
          </cell>
          <cell r="T122" t="str">
            <v>START-UP COSTS</v>
          </cell>
        </row>
        <row r="123">
          <cell r="D123" t="str">
            <v>Materials</v>
          </cell>
          <cell r="E123">
            <v>-9.6296296296296298</v>
          </cell>
          <cell r="F123">
            <v>-11.244056480196299</v>
          </cell>
          <cell r="H123">
            <v>-1.6144268505666695</v>
          </cell>
          <cell r="J123">
            <v>-0.13294536908519916</v>
          </cell>
          <cell r="L123">
            <v>-1.4814814814814703</v>
          </cell>
          <cell r="S123">
            <v>0</v>
          </cell>
          <cell r="T123" t="str">
            <v>Materials</v>
          </cell>
        </row>
        <row r="124">
          <cell r="D124" t="str">
            <v>Direct Labor</v>
          </cell>
          <cell r="E124">
            <v>-7.4074074074074101</v>
          </cell>
          <cell r="F124">
            <v>-9.7932599674060405</v>
          </cell>
          <cell r="H124">
            <v>-2.3858525599986304</v>
          </cell>
          <cell r="J124">
            <v>-0.16363033777641078</v>
          </cell>
          <cell r="L124">
            <v>-2.2222222222222197</v>
          </cell>
          <cell r="S124">
            <v>0</v>
          </cell>
          <cell r="T124" t="str">
            <v>Direct Labor</v>
          </cell>
        </row>
        <row r="125">
          <cell r="S125">
            <v>0</v>
          </cell>
          <cell r="T125">
            <v>0</v>
          </cell>
        </row>
        <row r="126">
          <cell r="D126" t="str">
            <v>MATERIAL</v>
          </cell>
          <cell r="E126">
            <v>-357.860082304527</v>
          </cell>
          <cell r="F126">
            <v>-267.01983066776211</v>
          </cell>
          <cell r="H126">
            <v>90.840251636764904</v>
          </cell>
          <cell r="I126">
            <v>44.790164410738775</v>
          </cell>
          <cell r="J126">
            <v>19.85259731577672</v>
          </cell>
          <cell r="K126">
            <v>0</v>
          </cell>
          <cell r="L126">
            <v>26.197489910249374</v>
          </cell>
          <cell r="S126">
            <v>0</v>
          </cell>
          <cell r="T126" t="str">
            <v>MATERIAL</v>
          </cell>
        </row>
        <row r="127">
          <cell r="D127" t="str">
            <v>Scrap variance</v>
          </cell>
          <cell r="E127">
            <v>-145.637860082305</v>
          </cell>
          <cell r="F127">
            <v>-71.318777417171304</v>
          </cell>
          <cell r="H127">
            <v>74.319082665133692</v>
          </cell>
          <cell r="I127">
            <v>46.938819025645394</v>
          </cell>
          <cell r="J127">
            <v>7.7210031040906983</v>
          </cell>
          <cell r="L127">
            <v>19.659260535397593</v>
          </cell>
          <cell r="S127">
            <v>0</v>
          </cell>
          <cell r="T127" t="str">
            <v>Scrap variance</v>
          </cell>
        </row>
        <row r="128">
          <cell r="D128" t="str">
            <v>Physical inventory variance</v>
          </cell>
          <cell r="E128">
            <v>0</v>
          </cell>
          <cell r="F128">
            <v>0</v>
          </cell>
          <cell r="H128">
            <v>0</v>
          </cell>
          <cell r="J128">
            <v>0</v>
          </cell>
          <cell r="L128">
            <v>0</v>
          </cell>
          <cell r="S128">
            <v>0</v>
          </cell>
          <cell r="T128" t="str">
            <v>Physical inventory variance</v>
          </cell>
        </row>
        <row r="129">
          <cell r="D129" t="str">
            <v>Exceptional subcontracting</v>
          </cell>
          <cell r="E129">
            <v>0</v>
          </cell>
          <cell r="F129">
            <v>0</v>
          </cell>
          <cell r="H129">
            <v>0</v>
          </cell>
          <cell r="J129">
            <v>0</v>
          </cell>
          <cell r="L129">
            <v>0</v>
          </cell>
          <cell r="S129">
            <v>0</v>
          </cell>
          <cell r="T129" t="str">
            <v>Exceptional subcontracting</v>
          </cell>
        </row>
        <row r="130">
          <cell r="D130" t="str">
            <v>Normal incoming freight</v>
          </cell>
          <cell r="E130">
            <v>6.6666666666666696</v>
          </cell>
          <cell r="F130">
            <v>-158.63131645273899</v>
          </cell>
          <cell r="H130">
            <v>-165.29798311940564</v>
          </cell>
          <cell r="I130">
            <v>-2.1486546149066212</v>
          </cell>
          <cell r="J130">
            <v>21.505857758509023</v>
          </cell>
          <cell r="L130">
            <v>-184.65518626300806</v>
          </cell>
          <cell r="S130">
            <v>0</v>
          </cell>
          <cell r="T130" t="str">
            <v>Normal incoming freight</v>
          </cell>
        </row>
        <row r="131">
          <cell r="D131" t="str">
            <v>Exceptional Income freight</v>
          </cell>
          <cell r="E131">
            <v>-6.6666666666666696</v>
          </cell>
          <cell r="F131">
            <v>0</v>
          </cell>
          <cell r="H131">
            <v>6.6666666666666696</v>
          </cell>
          <cell r="J131">
            <v>0</v>
          </cell>
          <cell r="L131">
            <v>6.6666666666666696</v>
          </cell>
          <cell r="S131">
            <v>0</v>
          </cell>
          <cell r="T131" t="str">
            <v>Exceptional Income freight</v>
          </cell>
        </row>
        <row r="132">
          <cell r="D132" t="str">
            <v>Manufacturing variance</v>
          </cell>
          <cell r="E132">
            <v>-212.222222222222</v>
          </cell>
          <cell r="F132">
            <v>-37.069736797851803</v>
          </cell>
          <cell r="H132">
            <v>175.15248542437018</v>
          </cell>
          <cell r="J132">
            <v>-9.374263546823002</v>
          </cell>
          <cell r="L132">
            <v>184.5267489711932</v>
          </cell>
          <cell r="S132">
            <v>0</v>
          </cell>
          <cell r="T132" t="str">
            <v>Manufacturing variance</v>
          </cell>
        </row>
        <row r="133">
          <cell r="D133" t="str">
            <v>Inventory depreciation / extinction</v>
          </cell>
          <cell r="E133">
            <v>0</v>
          </cell>
          <cell r="F133">
            <v>0</v>
          </cell>
          <cell r="H133">
            <v>0</v>
          </cell>
          <cell r="J133">
            <v>0</v>
          </cell>
          <cell r="L133">
            <v>0</v>
          </cell>
          <cell r="S133">
            <v>0</v>
          </cell>
          <cell r="T133" t="str">
            <v>Inventory depreciation / extinction</v>
          </cell>
        </row>
        <row r="134">
          <cell r="S134">
            <v>0</v>
          </cell>
          <cell r="T134">
            <v>0</v>
          </cell>
        </row>
        <row r="135">
          <cell r="D135" t="str">
            <v>DL - Calendarization, Cost of unemployment &amp; other economical</v>
          </cell>
          <cell r="E135">
            <v>0</v>
          </cell>
          <cell r="F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S135">
            <v>0</v>
          </cell>
          <cell r="T135" t="str">
            <v>DL - Calendarization, Cost of unemployment &amp; other economical</v>
          </cell>
        </row>
        <row r="136">
          <cell r="D136" t="str">
            <v>Direct Labor - Calendarization</v>
          </cell>
          <cell r="E136">
            <v>0</v>
          </cell>
          <cell r="F136">
            <v>0</v>
          </cell>
          <cell r="H136">
            <v>0</v>
          </cell>
          <cell r="I136">
            <v>0</v>
          </cell>
          <cell r="J136">
            <v>0</v>
          </cell>
          <cell r="L136">
            <v>0</v>
          </cell>
          <cell r="S136">
            <v>0</v>
          </cell>
          <cell r="T136" t="str">
            <v>Direct Labor - Calendarization</v>
          </cell>
        </row>
        <row r="137">
          <cell r="D137" t="str">
            <v>Direct Labor - Other economical variances</v>
          </cell>
          <cell r="E137">
            <v>0</v>
          </cell>
          <cell r="F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</v>
          </cell>
          <cell r="S137">
            <v>0</v>
          </cell>
          <cell r="T137" t="str">
            <v>Direct Labor - Other economical variances</v>
          </cell>
        </row>
        <row r="138">
          <cell r="S138">
            <v>0</v>
          </cell>
          <cell r="T138">
            <v>0</v>
          </cell>
        </row>
        <row r="139">
          <cell r="D139" t="str">
            <v>DL - Efficiency variances</v>
          </cell>
          <cell r="E139">
            <v>-482.74348422496598</v>
          </cell>
          <cell r="F139">
            <v>-288.33232426222997</v>
          </cell>
          <cell r="H139">
            <v>194.41115996273601</v>
          </cell>
          <cell r="I139">
            <v>155.58735227941116</v>
          </cell>
          <cell r="J139">
            <v>14.850117438730024</v>
          </cell>
          <cell r="K139">
            <v>0</v>
          </cell>
          <cell r="L139">
            <v>23.97369024459482</v>
          </cell>
          <cell r="S139">
            <v>0</v>
          </cell>
          <cell r="T139" t="str">
            <v>DL - Efficiency variances</v>
          </cell>
        </row>
        <row r="140">
          <cell r="D140" t="str">
            <v>Direct Labor - Efficiency Variance</v>
          </cell>
          <cell r="E140">
            <v>-482.74348422496598</v>
          </cell>
          <cell r="F140">
            <v>-288.33232426222997</v>
          </cell>
          <cell r="H140">
            <v>194.41115996273601</v>
          </cell>
          <cell r="I140">
            <v>155.58735227941116</v>
          </cell>
          <cell r="J140">
            <v>14.850117438730024</v>
          </cell>
          <cell r="L140">
            <v>23.97369024459482</v>
          </cell>
          <cell r="S140">
            <v>0</v>
          </cell>
          <cell r="T140" t="str">
            <v>Direct Labor - Efficiency Variance</v>
          </cell>
        </row>
        <row r="141">
          <cell r="D141" t="str">
            <v>Direct Labor - additional needs of headcount (quality walls…)</v>
          </cell>
          <cell r="E141">
            <v>0</v>
          </cell>
          <cell r="F141">
            <v>0</v>
          </cell>
          <cell r="H141">
            <v>0</v>
          </cell>
          <cell r="I141">
            <v>0</v>
          </cell>
          <cell r="J141">
            <v>0</v>
          </cell>
          <cell r="L141">
            <v>0</v>
          </cell>
          <cell r="S141">
            <v>0</v>
          </cell>
          <cell r="T141" t="str">
            <v>Direct Labor - additional needs of headcount (quality walls…)</v>
          </cell>
        </row>
        <row r="142">
          <cell r="D142" t="str">
            <v>Direct Labor - Logistics efficiency variances</v>
          </cell>
          <cell r="E142">
            <v>0</v>
          </cell>
          <cell r="F142">
            <v>0</v>
          </cell>
          <cell r="H142">
            <v>0</v>
          </cell>
          <cell r="I142">
            <v>0</v>
          </cell>
          <cell r="J142">
            <v>0</v>
          </cell>
          <cell r="L142">
            <v>0</v>
          </cell>
          <cell r="S142">
            <v>0</v>
          </cell>
          <cell r="T142" t="str">
            <v>Direct Labor - Logistics efficiency variances</v>
          </cell>
        </row>
        <row r="143">
          <cell r="S143">
            <v>0</v>
          </cell>
          <cell r="T143">
            <v>0</v>
          </cell>
        </row>
        <row r="144">
          <cell r="D144" t="str">
            <v>FREIGHT-OUT Variance</v>
          </cell>
          <cell r="E144">
            <v>0</v>
          </cell>
          <cell r="F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S144">
            <v>0</v>
          </cell>
          <cell r="T144" t="str">
            <v>FREIGHT-OUT Variance</v>
          </cell>
        </row>
        <row r="145">
          <cell r="D145" t="str">
            <v>Exceptional Freight-out</v>
          </cell>
          <cell r="E145">
            <v>0</v>
          </cell>
          <cell r="F145">
            <v>0</v>
          </cell>
          <cell r="H145">
            <v>0</v>
          </cell>
          <cell r="I145">
            <v>0</v>
          </cell>
          <cell r="J145">
            <v>0</v>
          </cell>
          <cell r="L145">
            <v>0</v>
          </cell>
          <cell r="S145">
            <v>0</v>
          </cell>
          <cell r="T145" t="str">
            <v>Exceptional Freight-out</v>
          </cell>
        </row>
        <row r="146">
          <cell r="S146">
            <v>0</v>
          </cell>
          <cell r="T146">
            <v>0</v>
          </cell>
        </row>
        <row r="147">
          <cell r="D147" t="str">
            <v>INDUSTRIAL PERFORMANCE</v>
          </cell>
          <cell r="E147">
            <v>-857.6406035665301</v>
          </cell>
          <cell r="F147">
            <v>-576.38947137759453</v>
          </cell>
          <cell r="H147">
            <v>281.25113218893557</v>
          </cell>
          <cell r="I147">
            <v>200.37751669014995</v>
          </cell>
          <cell r="J147">
            <v>34.406139047645134</v>
          </cell>
          <cell r="K147">
            <v>0</v>
          </cell>
          <cell r="L147">
            <v>46.467476451140506</v>
          </cell>
          <cell r="S147">
            <v>0</v>
          </cell>
          <cell r="T147" t="str">
            <v>INDUSTRIAL PERFORMANCE</v>
          </cell>
        </row>
        <row r="149">
          <cell r="C149" t="str">
            <v>ACTUAL</v>
          </cell>
          <cell r="S149" t="str">
            <v>ACTUAL</v>
          </cell>
        </row>
        <row r="150">
          <cell r="C150" t="str">
            <v>Sales</v>
          </cell>
          <cell r="E150">
            <v>25264.609053497901</v>
          </cell>
          <cell r="F150">
            <v>14205.6504052542</v>
          </cell>
          <cell r="H150">
            <v>-11058.958648243701</v>
          </cell>
          <cell r="I150">
            <v>-8142.7378254914902</v>
          </cell>
          <cell r="J150">
            <v>-1459.0272353494001</v>
          </cell>
          <cell r="K150">
            <v>-1457.1935874029134</v>
          </cell>
          <cell r="L150">
            <v>0</v>
          </cell>
          <cell r="S150" t="str">
            <v>Sales</v>
          </cell>
        </row>
        <row r="151">
          <cell r="C151" t="str">
            <v>Materials</v>
          </cell>
          <cell r="E151">
            <v>-13699.506172839499</v>
          </cell>
          <cell r="F151">
            <v>-7929.4980012640399</v>
          </cell>
          <cell r="H151">
            <v>5770.0081715754595</v>
          </cell>
          <cell r="I151">
            <v>4049.9300447320402</v>
          </cell>
          <cell r="J151">
            <v>909.44575730935048</v>
          </cell>
          <cell r="K151">
            <v>785.91636110530237</v>
          </cell>
          <cell r="L151">
            <v>24.716008428767903</v>
          </cell>
          <cell r="S151" t="str">
            <v>Materials</v>
          </cell>
        </row>
        <row r="152">
          <cell r="C152" t="str">
            <v>% of pdt sales wo Mono.</v>
          </cell>
          <cell r="E152">
            <v>-0.54224097209779676</v>
          </cell>
          <cell r="F152">
            <v>-0.5581932382575866</v>
          </cell>
        </row>
        <row r="153">
          <cell r="C153" t="str">
            <v>Direct Labor Cost</v>
          </cell>
          <cell r="E153">
            <v>-2260.53497942387</v>
          </cell>
          <cell r="F153">
            <v>-1371.46779048754</v>
          </cell>
          <cell r="H153">
            <v>889.06718893633001</v>
          </cell>
          <cell r="I153">
            <v>833.54253493301439</v>
          </cell>
          <cell r="J153">
            <v>66.831249292979919</v>
          </cell>
          <cell r="K153">
            <v>-33.058063312043267</v>
          </cell>
          <cell r="L153">
            <v>21.751468022372599</v>
          </cell>
          <cell r="S153" t="str">
            <v>Direct Labor Cost</v>
          </cell>
        </row>
        <row r="154">
          <cell r="C154" t="str">
            <v>% of pdt sales wo Mono.</v>
          </cell>
          <cell r="E154">
            <v>-8.9474370042187432E-2</v>
          </cell>
          <cell r="F154">
            <v>-9.6543822448304048E-2</v>
          </cell>
        </row>
        <row r="155">
          <cell r="C155" t="str">
            <v>Freight-out</v>
          </cell>
          <cell r="E155">
            <v>-26.694101508916301</v>
          </cell>
          <cell r="F155">
            <v>-14.953658788748401</v>
          </cell>
          <cell r="H155">
            <v>11.7404427201679</v>
          </cell>
          <cell r="I155">
            <v>9.4375857338820026</v>
          </cell>
          <cell r="J155">
            <v>2.3028569862858976</v>
          </cell>
          <cell r="K155">
            <v>0</v>
          </cell>
          <cell r="L155">
            <v>0</v>
          </cell>
          <cell r="S155" t="str">
            <v>Freight-out</v>
          </cell>
        </row>
        <row r="156">
          <cell r="C156" t="str">
            <v>% of pdt sales wo Mono.</v>
          </cell>
          <cell r="E156">
            <v>-1.0565808262614097E-3</v>
          </cell>
          <cell r="F156">
            <v>-1.05265569418895E-3</v>
          </cell>
        </row>
        <row r="157">
          <cell r="C157" t="str">
            <v>VARIABLE COST MARGIN - ACTUAL</v>
          </cell>
          <cell r="E157">
            <v>9277.8737997256503</v>
          </cell>
          <cell r="F157">
            <v>4889.7309547138902</v>
          </cell>
          <cell r="H157">
            <v>-4388.1428450117428</v>
          </cell>
          <cell r="I157">
            <v>-3249.8276600925537</v>
          </cell>
          <cell r="J157">
            <v>-480.44737176078388</v>
          </cell>
          <cell r="K157">
            <v>-704.3352896096543</v>
          </cell>
          <cell r="L157">
            <v>46.467476451140499</v>
          </cell>
          <cell r="S157" t="str">
            <v>VARIABLE COST MARGIN - ACTUAL</v>
          </cell>
        </row>
        <row r="158">
          <cell r="C158" t="str">
            <v>% of pdt sales wo Mono.</v>
          </cell>
          <cell r="E158">
            <v>0.36722807703375576</v>
          </cell>
          <cell r="F158">
            <v>0.34421028359992167</v>
          </cell>
        </row>
        <row r="160">
          <cell r="B160" t="str">
            <v>OPERATING INCOME</v>
          </cell>
          <cell r="C160" t="str">
            <v>Indirect Labor Costs</v>
          </cell>
          <cell r="E160">
            <v>-1936.9547325102899</v>
          </cell>
          <cell r="F160">
            <v>-1341.34797072844</v>
          </cell>
          <cell r="H160">
            <v>595.60676178184985</v>
          </cell>
          <cell r="J160">
            <v>83.302235032879935</v>
          </cell>
          <cell r="L160">
            <v>512.30452674896992</v>
          </cell>
          <cell r="R160" t="str">
            <v>OPERATING INCOME</v>
          </cell>
          <cell r="S160" t="str">
            <v>Indirect Labor Costs</v>
          </cell>
        </row>
        <row r="161">
          <cell r="C161" t="str">
            <v>Manufacturing Costs</v>
          </cell>
          <cell r="E161">
            <v>-2329.2318244170101</v>
          </cell>
          <cell r="F161">
            <v>-1500.9515033170101</v>
          </cell>
          <cell r="H161">
            <v>828.28032110000004</v>
          </cell>
          <cell r="I161">
            <v>225.21216189244387</v>
          </cell>
          <cell r="J161">
            <v>199.07593152523987</v>
          </cell>
          <cell r="L161">
            <v>403.99222768231607</v>
          </cell>
          <cell r="S161" t="str">
            <v>Manufacturing Costs</v>
          </cell>
        </row>
        <row r="162">
          <cell r="C162" t="str">
            <v>Productive Equip. Depreciation</v>
          </cell>
          <cell r="E162">
            <v>-1191.19341563786</v>
          </cell>
          <cell r="F162">
            <v>-1058.60164045851</v>
          </cell>
          <cell r="H162">
            <v>132.59177517934995</v>
          </cell>
          <cell r="J162">
            <v>75.499868457809953</v>
          </cell>
          <cell r="L162">
            <v>57.091906721539999</v>
          </cell>
          <cell r="S162" t="str">
            <v>Productive Equip. Depreciation</v>
          </cell>
        </row>
        <row r="163">
          <cell r="C163" t="str">
            <v>Inventory Variance - Fixed Costs</v>
          </cell>
          <cell r="E163">
            <v>-18.518518518518501</v>
          </cell>
          <cell r="F163">
            <v>-92.858772869125403</v>
          </cell>
          <cell r="H163">
            <v>-74.340254350606898</v>
          </cell>
          <cell r="J163">
            <v>0.26879914733549981</v>
          </cell>
          <cell r="L163">
            <v>-74.609053497942398</v>
          </cell>
          <cell r="S163" t="str">
            <v>Inventory Variance - Fixed Costs</v>
          </cell>
        </row>
        <row r="164">
          <cell r="C164" t="str">
            <v>Completion Losses Reserves</v>
          </cell>
          <cell r="E164">
            <v>55.5555555555556</v>
          </cell>
          <cell r="F164">
            <v>54.853704354806503</v>
          </cell>
          <cell r="H164">
            <v>-0.7018512007490969</v>
          </cell>
          <cell r="J164">
            <v>-0.7018512007490969</v>
          </cell>
          <cell r="L164">
            <v>0</v>
          </cell>
          <cell r="S164" t="str">
            <v>Completion Losses Reserves</v>
          </cell>
        </row>
        <row r="165">
          <cell r="C165" t="str">
            <v>GROSS MARGIN ON PROD SALES EXCL. MONO.</v>
          </cell>
          <cell r="E165">
            <v>3857.5308641975298</v>
          </cell>
          <cell r="F165">
            <v>950.82477169561798</v>
          </cell>
          <cell r="H165">
            <v>-2906.7060925019118</v>
          </cell>
          <cell r="I165">
            <v>-3024.6154982001099</v>
          </cell>
          <cell r="J165">
            <v>-123.00238879826776</v>
          </cell>
          <cell r="K165">
            <v>-704.3352896096543</v>
          </cell>
          <cell r="L165">
            <v>945.2470841060242</v>
          </cell>
          <cell r="S165" t="str">
            <v>GROSS MARGIN ON PROD SALES EXCL. MONO.</v>
          </cell>
        </row>
        <row r="166">
          <cell r="C166" t="str">
            <v>% of total sales</v>
          </cell>
          <cell r="E166">
            <v>0.15268515954587678</v>
          </cell>
          <cell r="F166">
            <v>6.6932857318798958E-2</v>
          </cell>
        </row>
        <row r="168">
          <cell r="C168" t="str">
            <v>Tooling sales</v>
          </cell>
          <cell r="E168">
            <v>0</v>
          </cell>
          <cell r="F168">
            <v>2407.4243932548302</v>
          </cell>
          <cell r="H168">
            <v>2407.4243932548302</v>
          </cell>
          <cell r="J168">
            <v>42.239208069639972</v>
          </cell>
          <cell r="L168">
            <v>2365.1851851851902</v>
          </cell>
          <cell r="S168" t="str">
            <v>Tooling sales</v>
          </cell>
        </row>
        <row r="169">
          <cell r="C169" t="str">
            <v>Gross Margin on Tooling</v>
          </cell>
          <cell r="E169">
            <v>0</v>
          </cell>
          <cell r="F169">
            <v>0</v>
          </cell>
          <cell r="H169">
            <v>0</v>
          </cell>
          <cell r="J169">
            <v>0</v>
          </cell>
          <cell r="L169">
            <v>0</v>
          </cell>
          <cell r="S169" t="str">
            <v>Gross Margin on Tooling</v>
          </cell>
        </row>
        <row r="170">
          <cell r="C170" t="str">
            <v>Engineering / Prototype Sales</v>
          </cell>
          <cell r="E170">
            <v>203.70370370370401</v>
          </cell>
          <cell r="F170">
            <v>307.63973087855902</v>
          </cell>
          <cell r="H170">
            <v>103.93602717485501</v>
          </cell>
          <cell r="I170">
            <v>218.51851851851899</v>
          </cell>
          <cell r="J170">
            <v>4.6767679155960309</v>
          </cell>
          <cell r="L170">
            <v>-119.25925925926001</v>
          </cell>
          <cell r="S170" t="str">
            <v>Engineering / Prototype Sales</v>
          </cell>
        </row>
        <row r="171">
          <cell r="C171" t="str">
            <v>Monoliths Sales</v>
          </cell>
          <cell r="E171">
            <v>8814.2935528120706</v>
          </cell>
          <cell r="F171">
            <v>5329.7247467948</v>
          </cell>
          <cell r="H171">
            <v>-3484.5688060172706</v>
          </cell>
          <cell r="I171">
            <v>-2840.8308779086988</v>
          </cell>
          <cell r="J171">
            <v>-408.25879229985003</v>
          </cell>
          <cell r="L171">
            <v>-235.47913580872182</v>
          </cell>
          <cell r="S171" t="str">
            <v>Monoliths Sales</v>
          </cell>
        </row>
        <row r="172">
          <cell r="C172" t="str">
            <v>Gross Margin on Monoliths</v>
          </cell>
          <cell r="E172">
            <v>44.060356652949203</v>
          </cell>
          <cell r="F172">
            <v>24.3434374429476</v>
          </cell>
          <cell r="H172">
            <v>-19.716919210001603</v>
          </cell>
          <cell r="I172">
            <v>-14.200573298518638</v>
          </cell>
          <cell r="J172">
            <v>-2.3095118025942014</v>
          </cell>
          <cell r="L172">
            <v>-3.2068341088887635</v>
          </cell>
          <cell r="S172" t="str">
            <v>Gross Margin on Monoliths</v>
          </cell>
        </row>
        <row r="173">
          <cell r="C173" t="str">
            <v>Services &amp; Royalties Sales</v>
          </cell>
          <cell r="E173">
            <v>0</v>
          </cell>
          <cell r="F173">
            <v>40.154002247094603</v>
          </cell>
          <cell r="H173">
            <v>40.154002247094603</v>
          </cell>
          <cell r="J173">
            <v>-2.3837206609986978</v>
          </cell>
          <cell r="L173">
            <v>42.537722908093301</v>
          </cell>
          <cell r="S173" t="str">
            <v>Services &amp; Royalties Sales</v>
          </cell>
        </row>
        <row r="174">
          <cell r="C174" t="str">
            <v>Gross Margin on Service &amp; Royalties</v>
          </cell>
          <cell r="E174">
            <v>0</v>
          </cell>
          <cell r="F174">
            <v>5.4395717969081499E-2</v>
          </cell>
          <cell r="H174">
            <v>5.4395717969081499E-2</v>
          </cell>
          <cell r="J174">
            <v>-1.4191387655061206E-2</v>
          </cell>
          <cell r="L174">
            <v>6.8587105624142705E-2</v>
          </cell>
          <cell r="S174" t="str">
            <v>Gross Margin on Service &amp; Royalties</v>
          </cell>
        </row>
        <row r="175">
          <cell r="C175" t="str">
            <v>TOTAL SALES</v>
          </cell>
          <cell r="E175">
            <v>34282.606310013703</v>
          </cell>
          <cell r="F175">
            <v>22290.5932784295</v>
          </cell>
          <cell r="H175">
            <v>-11992.013031584203</v>
          </cell>
          <cell r="I175">
            <v>-10765.050184881669</v>
          </cell>
          <cell r="J175">
            <v>-1822.753772325013</v>
          </cell>
          <cell r="K175">
            <v>-1457.1935874029134</v>
          </cell>
          <cell r="L175">
            <v>2052.9845130253016</v>
          </cell>
          <cell r="S175" t="str">
            <v>TOTAL SALES</v>
          </cell>
        </row>
        <row r="176">
          <cell r="C176" t="str">
            <v>GROSS MARGIN</v>
          </cell>
          <cell r="E176">
            <v>3901.5912208504801</v>
          </cell>
          <cell r="F176">
            <v>975.22260485653499</v>
          </cell>
          <cell r="H176">
            <v>-2926.3686159939452</v>
          </cell>
          <cell r="I176">
            <v>-3038.8160714986284</v>
          </cell>
          <cell r="J176">
            <v>-125.32609198851702</v>
          </cell>
          <cell r="K176">
            <v>-704.3352896096543</v>
          </cell>
          <cell r="L176">
            <v>942.10883710275959</v>
          </cell>
          <cell r="S176" t="str">
            <v>GROSS MARGIN</v>
          </cell>
        </row>
        <row r="177">
          <cell r="C177" t="str">
            <v>% of total sales</v>
          </cell>
          <cell r="E177">
            <v>0.1138067271072927</v>
          </cell>
          <cell r="F177">
            <v>4.3750410438839829E-2</v>
          </cell>
        </row>
        <row r="179">
          <cell r="C179" t="str">
            <v>R&amp;D Expenses</v>
          </cell>
          <cell r="E179">
            <v>-1249.43758573388</v>
          </cell>
          <cell r="F179">
            <v>-1192.7014133846501</v>
          </cell>
          <cell r="H179">
            <v>56.736172349229946</v>
          </cell>
          <cell r="I179">
            <v>218.51851851851899</v>
          </cell>
          <cell r="J179">
            <v>34.582537232629875</v>
          </cell>
          <cell r="L179">
            <v>-196.36488340191892</v>
          </cell>
          <cell r="S179" t="str">
            <v>R&amp;D Expenses</v>
          </cell>
        </row>
        <row r="180">
          <cell r="C180" t="str">
            <v>SG&amp;A Gross Expenses</v>
          </cell>
          <cell r="E180">
            <v>-906.66666666666697</v>
          </cell>
          <cell r="F180">
            <v>-848.89550788466499</v>
          </cell>
          <cell r="H180">
            <v>57.771158782001976</v>
          </cell>
          <cell r="J180">
            <v>3.4638885488050164</v>
          </cell>
          <cell r="K180">
            <v>54.307270233196959</v>
          </cell>
          <cell r="S180" t="str">
            <v>SG&amp;A Gross Expenses</v>
          </cell>
        </row>
        <row r="181">
          <cell r="C181" t="str">
            <v>SG&amp;A Service Management Fees</v>
          </cell>
          <cell r="E181">
            <v>-881.79698216735301</v>
          </cell>
          <cell r="F181">
            <v>-862.66828688298904</v>
          </cell>
          <cell r="H181">
            <v>19.128695284363971</v>
          </cell>
          <cell r="K181">
            <v>19.128695284363971</v>
          </cell>
          <cell r="S181" t="str">
            <v>SG&amp;A Service Management Fees</v>
          </cell>
        </row>
        <row r="183">
          <cell r="C183" t="str">
            <v>OPERATING MARGIN</v>
          </cell>
          <cell r="E183">
            <v>863.68998628257896</v>
          </cell>
          <cell r="F183">
            <v>-1929.04260329577</v>
          </cell>
          <cell r="H183">
            <v>-2792.7325895783488</v>
          </cell>
          <cell r="I183">
            <v>-2820.2975529801092</v>
          </cell>
          <cell r="J183">
            <v>-87.27966620708213</v>
          </cell>
          <cell r="K183">
            <v>-630.89932409209337</v>
          </cell>
          <cell r="L183">
            <v>745.74395370084062</v>
          </cell>
          <cell r="S183" t="str">
            <v>OPERATING MARGIN</v>
          </cell>
        </row>
        <row r="184">
          <cell r="C184" t="str">
            <v>% of total sales</v>
          </cell>
          <cell r="E184">
            <v>2.5193241682745143E-2</v>
          </cell>
          <cell r="F184">
            <v>-8.6540657720514572E-2</v>
          </cell>
        </row>
        <row r="185">
          <cell r="C185" t="str">
            <v>(1) Volume Impact on "Variances versus standard" and Monoliths is based on the standard sales, Actual vs Budget</v>
          </cell>
        </row>
        <row r="186">
          <cell r="C186" t="str">
            <v>(2) 30% of the manufacturing costs are considered variable, a volume impact is calculated on this 30%, based on the standard sales.</v>
          </cell>
        </row>
        <row r="187">
          <cell r="C187" t="str">
            <v>(3) - Piece price sales are directly linked with volumes variations</v>
          </cell>
        </row>
        <row r="188">
          <cell r="C188" t="str">
            <v>- Volume impact on Piece Price Sales = Volume on R&amp;D Expenses (if  we consider that amortization is calculated on a linear basis).</v>
          </cell>
        </row>
      </sheetData>
      <sheetData sheetId="7">
        <row r="71">
          <cell r="B71" t="str">
            <v>Standard Analysis  - Detailed P&amp;L - ES DIVISION INTERNATIONAL OPERATIONS</v>
          </cell>
        </row>
        <row r="72">
          <cell r="B72" t="str">
            <v>2009.May</v>
          </cell>
        </row>
        <row r="74">
          <cell r="D74" t="str">
            <v>VOLUME / MIX IMPACT</v>
          </cell>
          <cell r="E74">
            <v>-0.28596491708746447</v>
          </cell>
        </row>
        <row r="76">
          <cell r="E76" t="str">
            <v>BUDGET</v>
          </cell>
          <cell r="F76" t="str">
            <v>ACTUAL</v>
          </cell>
          <cell r="H76" t="str">
            <v>VARIANCE</v>
          </cell>
          <cell r="I76" t="str">
            <v>Volume / Mix</v>
          </cell>
          <cell r="J76" t="str">
            <v>Translation impact</v>
          </cell>
          <cell r="K76" t="str">
            <v>Squeeze</v>
          </cell>
          <cell r="L76" t="str">
            <v>Indus</v>
          </cell>
          <cell r="R76" t="str">
            <v>Standard Analysis  - Detailed P&amp;L - ES DIVISION INTERNATIONAL OPERATIONS</v>
          </cell>
        </row>
        <row r="77">
          <cell r="B77" t="str">
            <v>VARIABLE COST MARGIN</v>
          </cell>
          <cell r="C77" t="str">
            <v>STANDARD</v>
          </cell>
          <cell r="R77" t="str">
            <v>VARIABLE COST MARGIN</v>
          </cell>
          <cell r="S77" t="str">
            <v>STANDARD</v>
          </cell>
        </row>
        <row r="78">
          <cell r="C78" t="str">
            <v>Sales</v>
          </cell>
          <cell r="E78">
            <v>10138.416666666701</v>
          </cell>
          <cell r="F78">
            <v>7192.0285866119602</v>
          </cell>
          <cell r="H78">
            <v>-2946.3880800547404</v>
          </cell>
          <cell r="I78">
            <v>-2899.2314814815109</v>
          </cell>
          <cell r="J78">
            <v>-47.15659857322953</v>
          </cell>
          <cell r="S78" t="str">
            <v>Sales</v>
          </cell>
        </row>
        <row r="79">
          <cell r="C79" t="str">
            <v>Purchase</v>
          </cell>
          <cell r="E79">
            <v>-5931.6944444444398</v>
          </cell>
          <cell r="F79">
            <v>-4063.4226960864198</v>
          </cell>
          <cell r="H79">
            <v>1868.27174835802</v>
          </cell>
          <cell r="I79">
            <v>1836.0648148148098</v>
          </cell>
          <cell r="J79">
            <v>32.206933543210198</v>
          </cell>
          <cell r="S79" t="str">
            <v>Purchase</v>
          </cell>
        </row>
        <row r="80">
          <cell r="C80" t="str">
            <v>% of std pdt sales wo Mono.</v>
          </cell>
          <cell r="E80">
            <v>-0.58507108550261</v>
          </cell>
          <cell r="F80">
            <v>-0.56498978656043242</v>
          </cell>
        </row>
        <row r="81">
          <cell r="C81" t="str">
            <v>Direct Labor Cost</v>
          </cell>
          <cell r="E81">
            <v>-475.71296296296299</v>
          </cell>
          <cell r="F81">
            <v>-384.74186756179699</v>
          </cell>
          <cell r="H81">
            <v>90.971095401165996</v>
          </cell>
          <cell r="I81">
            <v>70.314814814815009</v>
          </cell>
          <cell r="J81">
            <v>20.656280586350988</v>
          </cell>
          <cell r="S81" t="str">
            <v>Direct Labor Cost</v>
          </cell>
        </row>
        <row r="82">
          <cell r="C82" t="str">
            <v>% of std pdt sales wo Mono.</v>
          </cell>
          <cell r="E82">
            <v>-4.692182010303661E-2</v>
          </cell>
          <cell r="F82">
            <v>-5.3495597650709867E-2</v>
          </cell>
        </row>
        <row r="83">
          <cell r="C83" t="str">
            <v>Freight-out</v>
          </cell>
          <cell r="E83">
            <v>-132.75</v>
          </cell>
          <cell r="F83">
            <v>-233.27909241892399</v>
          </cell>
          <cell r="H83">
            <v>-100.52909241892399</v>
          </cell>
          <cell r="I83">
            <v>-93.453703703704008</v>
          </cell>
          <cell r="J83">
            <v>-7.0753887152199866</v>
          </cell>
          <cell r="S83" t="str">
            <v>Freight-out</v>
          </cell>
        </row>
        <row r="84">
          <cell r="C84" t="str">
            <v>% of std pdt sales wo Mono.</v>
          </cell>
          <cell r="E84">
            <v>-1.3093760531312374E-2</v>
          </cell>
          <cell r="F84">
            <v>-3.2435784926269001E-2</v>
          </cell>
        </row>
        <row r="85">
          <cell r="C85" t="str">
            <v>VARIABLE COST MARGIN - STANDARD</v>
          </cell>
          <cell r="E85">
            <v>3598.2592592592978</v>
          </cell>
          <cell r="F85">
            <v>2510.5849305448196</v>
          </cell>
          <cell r="H85">
            <v>-1087.6743287144782</v>
          </cell>
          <cell r="I85">
            <v>-1086.30555555559</v>
          </cell>
          <cell r="J85">
            <v>-1.3687731588884162</v>
          </cell>
          <cell r="K85">
            <v>0</v>
          </cell>
          <cell r="L85">
            <v>0</v>
          </cell>
          <cell r="S85" t="str">
            <v>VARIABLE COST MARGIN - STANDARD</v>
          </cell>
        </row>
        <row r="86">
          <cell r="C86" t="str">
            <v>% of std pdt sales wo Mono.</v>
          </cell>
          <cell r="E86">
            <v>0.35491333386304097</v>
          </cell>
          <cell r="F86">
            <v>0.34907883086258873</v>
          </cell>
        </row>
        <row r="88">
          <cell r="C88" t="str">
            <v>VARIANCES vs STANDARD</v>
          </cell>
          <cell r="I88" t="str">
            <v>(1)</v>
          </cell>
          <cell r="S88" t="str">
            <v>VARIANCES vs STANDARD</v>
          </cell>
        </row>
        <row r="89">
          <cell r="C89" t="str">
            <v>ECONOMICAL</v>
          </cell>
          <cell r="D89" t="str">
            <v>PROCESS</v>
          </cell>
          <cell r="E89">
            <v>-380.61111111111148</v>
          </cell>
          <cell r="F89">
            <v>-57.519409179069868</v>
          </cell>
          <cell r="H89">
            <v>323.09170193204159</v>
          </cell>
          <cell r="I89">
            <v>108.84142483145672</v>
          </cell>
          <cell r="J89">
            <v>10.84170193204136</v>
          </cell>
          <cell r="K89">
            <v>203.40857516854351</v>
          </cell>
          <cell r="L89">
            <v>0</v>
          </cell>
          <cell r="S89" t="str">
            <v>ECONOMICAL</v>
          </cell>
          <cell r="T89" t="str">
            <v>PROCESS</v>
          </cell>
        </row>
        <row r="90">
          <cell r="D90" t="str">
            <v>Sales</v>
          </cell>
          <cell r="E90">
            <v>-154.95370370370401</v>
          </cell>
          <cell r="F90">
            <v>-134.52071099080149</v>
          </cell>
          <cell r="H90">
            <v>20.432992712902518</v>
          </cell>
          <cell r="I90">
            <v>44.31132303202525</v>
          </cell>
          <cell r="J90">
            <v>4.8126223425319381</v>
          </cell>
          <cell r="K90">
            <v>-28.690952661654677</v>
          </cell>
          <cell r="S90">
            <v>0</v>
          </cell>
          <cell r="T90" t="str">
            <v>Sales</v>
          </cell>
        </row>
        <row r="91">
          <cell r="D91" t="str">
            <v>Materials</v>
          </cell>
          <cell r="E91">
            <v>-225.65740740740748</v>
          </cell>
          <cell r="F91">
            <v>77.001301811731622</v>
          </cell>
          <cell r="H91">
            <v>302.6587092191391</v>
          </cell>
          <cell r="I91">
            <v>64.530101799431463</v>
          </cell>
          <cell r="J91">
            <v>6.029079589509422</v>
          </cell>
          <cell r="K91">
            <v>232.09952783019818</v>
          </cell>
          <cell r="S91">
            <v>0</v>
          </cell>
          <cell r="T91" t="str">
            <v>Materials</v>
          </cell>
        </row>
        <row r="92">
          <cell r="S92">
            <v>0</v>
          </cell>
          <cell r="T92">
            <v>0</v>
          </cell>
        </row>
        <row r="93">
          <cell r="D93" t="str">
            <v>PASSTHROUGH MANDATED SUPPLIERS</v>
          </cell>
          <cell r="E93">
            <v>94.212962962963005</v>
          </cell>
          <cell r="F93">
            <v>1.0242537776296849</v>
          </cell>
          <cell r="H93">
            <v>-93.188709185333323</v>
          </cell>
          <cell r="I93">
            <v>-26.941602142268078</v>
          </cell>
          <cell r="J93">
            <v>1.0242537776296849</v>
          </cell>
          <cell r="K93">
            <v>-67.271360820694923</v>
          </cell>
          <cell r="L93">
            <v>0</v>
          </cell>
          <cell r="S93">
            <v>0</v>
          </cell>
          <cell r="T93" t="str">
            <v>PASSTHROUGH MANDATED SUPPLIERS</v>
          </cell>
        </row>
        <row r="94">
          <cell r="D94" t="str">
            <v>Sales</v>
          </cell>
          <cell r="E94">
            <v>94.212962962963005</v>
          </cell>
          <cell r="F94">
            <v>1.17655917207276</v>
          </cell>
          <cell r="H94">
            <v>-93.036403790890247</v>
          </cell>
          <cell r="I94">
            <v>-26.941602142268078</v>
          </cell>
          <cell r="J94">
            <v>1.17655917207276</v>
          </cell>
          <cell r="K94">
            <v>-67.271360820694923</v>
          </cell>
          <cell r="S94">
            <v>0</v>
          </cell>
          <cell r="T94" t="str">
            <v>Sales</v>
          </cell>
        </row>
        <row r="95">
          <cell r="D95" t="str">
            <v>Materials</v>
          </cell>
          <cell r="E95">
            <v>0</v>
          </cell>
          <cell r="F95">
            <v>-0.152305394443075</v>
          </cell>
          <cell r="H95">
            <v>-0.152305394443075</v>
          </cell>
          <cell r="I95">
            <v>0</v>
          </cell>
          <cell r="J95">
            <v>-0.152305394443075</v>
          </cell>
          <cell r="K95">
            <v>0</v>
          </cell>
          <cell r="S95">
            <v>0</v>
          </cell>
          <cell r="T95" t="str">
            <v>Materials</v>
          </cell>
        </row>
        <row r="96">
          <cell r="S96">
            <v>0</v>
          </cell>
          <cell r="T96">
            <v>0</v>
          </cell>
        </row>
        <row r="97">
          <cell r="D97" t="str">
            <v>PASSTHROUGH RAW MATERIAL</v>
          </cell>
          <cell r="E97">
            <v>193.62962962962942</v>
          </cell>
          <cell r="F97">
            <v>96.727957402478893</v>
          </cell>
          <cell r="H97">
            <v>-96.901672227150527</v>
          </cell>
          <cell r="I97">
            <v>-55.371280982713429</v>
          </cell>
          <cell r="J97">
            <v>12.579809254330797</v>
          </cell>
          <cell r="K97">
            <v>-54.110200498767867</v>
          </cell>
          <cell r="L97">
            <v>0</v>
          </cell>
          <cell r="S97">
            <v>0</v>
          </cell>
          <cell r="T97" t="str">
            <v>PASSTHROUGH RAW MATERIAL</v>
          </cell>
        </row>
        <row r="98">
          <cell r="D98" t="str">
            <v>Sales</v>
          </cell>
          <cell r="E98">
            <v>198.81481481481461</v>
          </cell>
          <cell r="F98">
            <v>51.9856566680401</v>
          </cell>
          <cell r="H98">
            <v>-146.82915814677452</v>
          </cell>
          <cell r="I98">
            <v>-56.854062034278058</v>
          </cell>
          <cell r="J98">
            <v>7.7634344458179001</v>
          </cell>
          <cell r="K98">
            <v>-97.738530558314324</v>
          </cell>
          <cell r="S98">
            <v>0</v>
          </cell>
          <cell r="T98" t="str">
            <v>Sales</v>
          </cell>
        </row>
        <row r="99">
          <cell r="D99" t="str">
            <v>Materials</v>
          </cell>
          <cell r="E99">
            <v>-5.1851851851851896</v>
          </cell>
          <cell r="F99">
            <v>44.7423007344388</v>
          </cell>
          <cell r="H99">
            <v>49.92748591962399</v>
          </cell>
          <cell r="I99">
            <v>1.4827810515646318</v>
          </cell>
          <cell r="J99">
            <v>4.8163748085128972</v>
          </cell>
          <cell r="K99">
            <v>43.628330059546457</v>
          </cell>
          <cell r="S99">
            <v>0</v>
          </cell>
          <cell r="T99" t="str">
            <v>Materials</v>
          </cell>
        </row>
        <row r="100">
          <cell r="D100" t="str">
            <v>Spot purchasing surcharges</v>
          </cell>
          <cell r="E100">
            <v>0</v>
          </cell>
          <cell r="F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S100">
            <v>0</v>
          </cell>
          <cell r="T100" t="str">
            <v>Spot purchasing surcharges</v>
          </cell>
        </row>
        <row r="101">
          <cell r="S101">
            <v>0</v>
          </cell>
          <cell r="T101">
            <v>0</v>
          </cell>
        </row>
        <row r="102">
          <cell r="D102" t="str">
            <v>VA / VE + Technical Purchasing</v>
          </cell>
          <cell r="E102">
            <v>20.370370370370399</v>
          </cell>
          <cell r="F102">
            <v>-11.099153932461199</v>
          </cell>
          <cell r="H102">
            <v>-31.469524302831598</v>
          </cell>
          <cell r="I102">
            <v>-5.8252112740039141</v>
          </cell>
          <cell r="J102">
            <v>0.75269791939069997</v>
          </cell>
          <cell r="K102">
            <v>-26.397010948218384</v>
          </cell>
          <cell r="L102">
            <v>0</v>
          </cell>
          <cell r="S102">
            <v>0</v>
          </cell>
          <cell r="T102" t="str">
            <v>VA / VE + Technical Purchasing</v>
          </cell>
        </row>
        <row r="103">
          <cell r="D103" t="str">
            <v>Sales</v>
          </cell>
          <cell r="E103">
            <v>0</v>
          </cell>
          <cell r="F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S103">
            <v>0</v>
          </cell>
          <cell r="T103" t="str">
            <v>Sales</v>
          </cell>
        </row>
        <row r="104">
          <cell r="D104" t="str">
            <v>Materials</v>
          </cell>
          <cell r="E104">
            <v>20.370370370370399</v>
          </cell>
          <cell r="F104">
            <v>0</v>
          </cell>
          <cell r="H104">
            <v>-20.370370370370399</v>
          </cell>
          <cell r="I104">
            <v>-5.8252112740039141</v>
          </cell>
          <cell r="J104">
            <v>0</v>
          </cell>
          <cell r="K104">
            <v>-14.545159096366485</v>
          </cell>
          <cell r="S104">
            <v>0</v>
          </cell>
          <cell r="T104" t="str">
            <v>Materials</v>
          </cell>
        </row>
        <row r="105">
          <cell r="D105" t="str">
            <v>Technical variance purchasing</v>
          </cell>
          <cell r="E105">
            <v>0</v>
          </cell>
          <cell r="F105">
            <v>-11.099153932461199</v>
          </cell>
          <cell r="H105">
            <v>-11.099153932461199</v>
          </cell>
          <cell r="I105">
            <v>0</v>
          </cell>
          <cell r="J105">
            <v>0.75269791939069997</v>
          </cell>
          <cell r="K105">
            <v>-11.851851851851899</v>
          </cell>
          <cell r="S105">
            <v>0</v>
          </cell>
          <cell r="T105" t="str">
            <v>Technical variance purchasing</v>
          </cell>
        </row>
        <row r="106">
          <cell r="D106" t="str">
            <v>Direct Labor</v>
          </cell>
          <cell r="E106">
            <v>0</v>
          </cell>
          <cell r="F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S106">
            <v>0</v>
          </cell>
          <cell r="T106" t="str">
            <v>Direct Labor</v>
          </cell>
        </row>
        <row r="107">
          <cell r="S107">
            <v>0</v>
          </cell>
          <cell r="T107">
            <v>0</v>
          </cell>
        </row>
        <row r="108">
          <cell r="D108" t="str">
            <v>NON RECURRING</v>
          </cell>
          <cell r="E108">
            <v>0</v>
          </cell>
          <cell r="F108">
            <v>407.802782589961</v>
          </cell>
          <cell r="H108">
            <v>407.802782589961</v>
          </cell>
          <cell r="I108">
            <v>0</v>
          </cell>
          <cell r="J108">
            <v>-40.113884076706029</v>
          </cell>
          <cell r="K108">
            <v>447.91666666666703</v>
          </cell>
          <cell r="L108">
            <v>0</v>
          </cell>
          <cell r="S108">
            <v>0</v>
          </cell>
          <cell r="T108" t="str">
            <v>NON RECURRING</v>
          </cell>
        </row>
        <row r="109">
          <cell r="D109" t="str">
            <v>Other Sales Variances  - Non recurring</v>
          </cell>
          <cell r="E109">
            <v>0</v>
          </cell>
          <cell r="F109">
            <v>407.802782589961</v>
          </cell>
          <cell r="H109">
            <v>407.802782589961</v>
          </cell>
          <cell r="J109">
            <v>-40.113884076706029</v>
          </cell>
          <cell r="K109">
            <v>447.91666666666703</v>
          </cell>
          <cell r="S109">
            <v>0</v>
          </cell>
          <cell r="T109" t="str">
            <v>Other Sales Variances  - Non recurring</v>
          </cell>
        </row>
        <row r="110">
          <cell r="D110" t="str">
            <v>Other Purchasing Variance  - Non recurring</v>
          </cell>
          <cell r="E110">
            <v>0</v>
          </cell>
          <cell r="F110">
            <v>0</v>
          </cell>
          <cell r="H110">
            <v>0</v>
          </cell>
          <cell r="J110">
            <v>0</v>
          </cell>
          <cell r="K110">
            <v>0</v>
          </cell>
          <cell r="S110">
            <v>0</v>
          </cell>
          <cell r="T110" t="str">
            <v>Other Purchasing Variance  - Non recurring</v>
          </cell>
        </row>
        <row r="111">
          <cell r="S111">
            <v>0</v>
          </cell>
          <cell r="T111">
            <v>0</v>
          </cell>
        </row>
        <row r="112">
          <cell r="D112" t="str">
            <v>ROLL-OVER - Sales, Materials &amp; Direct Labor</v>
          </cell>
          <cell r="E112">
            <v>-59.657407407407447</v>
          </cell>
          <cell r="F112">
            <v>0</v>
          </cell>
          <cell r="H112">
            <v>59.657407407407447</v>
          </cell>
          <cell r="I112">
            <v>17.059925562912362</v>
          </cell>
          <cell r="J112">
            <v>0</v>
          </cell>
          <cell r="K112">
            <v>42.597481844495093</v>
          </cell>
          <cell r="L112">
            <v>0</v>
          </cell>
          <cell r="S112">
            <v>0</v>
          </cell>
          <cell r="T112" t="str">
            <v>ROLL-OVER - Sales, Materials &amp; Direct Labor</v>
          </cell>
        </row>
        <row r="113">
          <cell r="D113" t="str">
            <v>Roll over impact - Sales</v>
          </cell>
          <cell r="E113">
            <v>-73.7777777777778</v>
          </cell>
          <cell r="F113">
            <v>0</v>
          </cell>
          <cell r="H113">
            <v>73.7777777777778</v>
          </cell>
          <cell r="I113">
            <v>21.097856105119607</v>
          </cell>
          <cell r="J113">
            <v>0</v>
          </cell>
          <cell r="K113">
            <v>52.679921672658189</v>
          </cell>
          <cell r="S113">
            <v>0</v>
          </cell>
          <cell r="T113" t="str">
            <v>Roll over impact - Sales</v>
          </cell>
        </row>
        <row r="114">
          <cell r="D114" t="str">
            <v>Roll over impact - Materials - Economical</v>
          </cell>
          <cell r="E114">
            <v>23.9722222222222</v>
          </cell>
          <cell r="F114">
            <v>0</v>
          </cell>
          <cell r="H114">
            <v>-23.9722222222222</v>
          </cell>
          <cell r="I114">
            <v>-6.8552145401800448</v>
          </cell>
          <cell r="J114">
            <v>0</v>
          </cell>
          <cell r="K114">
            <v>-17.117007682042154</v>
          </cell>
          <cell r="S114">
            <v>0</v>
          </cell>
          <cell r="T114" t="str">
            <v>Roll over impact - Materials - Economical</v>
          </cell>
        </row>
        <row r="115">
          <cell r="D115" t="str">
            <v>Roll over -Materials - VAVE</v>
          </cell>
          <cell r="E115">
            <v>0</v>
          </cell>
          <cell r="F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S115">
            <v>0</v>
          </cell>
          <cell r="T115" t="str">
            <v>Roll over -Materials - VAVE</v>
          </cell>
        </row>
        <row r="116">
          <cell r="D116" t="str">
            <v>Roll over - Direct Labor</v>
          </cell>
          <cell r="E116">
            <v>-9.8518518518518494</v>
          </cell>
          <cell r="F116">
            <v>0</v>
          </cell>
          <cell r="H116">
            <v>9.8518518518518494</v>
          </cell>
          <cell r="I116">
            <v>2.8172839979727975</v>
          </cell>
          <cell r="J116">
            <v>0</v>
          </cell>
          <cell r="K116">
            <v>7.0345678538790519</v>
          </cell>
          <cell r="S116">
            <v>0</v>
          </cell>
          <cell r="T116" t="str">
            <v>Roll over - Direct Labor</v>
          </cell>
        </row>
        <row r="117">
          <cell r="S117">
            <v>0</v>
          </cell>
          <cell r="T117">
            <v>0</v>
          </cell>
        </row>
        <row r="118">
          <cell r="D118" t="str">
            <v>DIRECT LABOR - Rate variance</v>
          </cell>
          <cell r="E118">
            <v>-36.8055555555556</v>
          </cell>
          <cell r="F118">
            <v>0</v>
          </cell>
          <cell r="H118">
            <v>36.8055555555556</v>
          </cell>
          <cell r="I118">
            <v>10.525097642802525</v>
          </cell>
          <cell r="J118">
            <v>0</v>
          </cell>
          <cell r="K118">
            <v>26.280457912753075</v>
          </cell>
          <cell r="L118">
            <v>0</v>
          </cell>
          <cell r="S118">
            <v>0</v>
          </cell>
          <cell r="T118" t="str">
            <v>DIRECT LABOR - Rate variance</v>
          </cell>
        </row>
        <row r="119">
          <cell r="D119" t="str">
            <v>Direct Labor - Rate Variance</v>
          </cell>
          <cell r="E119">
            <v>-36.8055555555556</v>
          </cell>
          <cell r="F119">
            <v>0</v>
          </cell>
          <cell r="H119">
            <v>36.8055555555556</v>
          </cell>
          <cell r="I119">
            <v>10.525097642802525</v>
          </cell>
          <cell r="J119">
            <v>0</v>
          </cell>
          <cell r="K119">
            <v>26.280457912753075</v>
          </cell>
          <cell r="S119">
            <v>0</v>
          </cell>
          <cell r="T119" t="str">
            <v>Direct Labor - Rate Variance</v>
          </cell>
        </row>
        <row r="120">
          <cell r="S120">
            <v>0</v>
          </cell>
          <cell r="T120">
            <v>0</v>
          </cell>
        </row>
        <row r="121">
          <cell r="D121" t="str">
            <v>ECONOMICAL PERFORMANCE</v>
          </cell>
          <cell r="E121">
            <v>-168.86111111111171</v>
          </cell>
          <cell r="F121">
            <v>436.93643065853848</v>
          </cell>
          <cell r="H121">
            <v>605.79754176965025</v>
          </cell>
          <cell r="I121">
            <v>48.288353638186187</v>
          </cell>
          <cell r="J121">
            <v>-14.915421193313485</v>
          </cell>
          <cell r="K121">
            <v>572.42460932477752</v>
          </cell>
          <cell r="L121">
            <v>0</v>
          </cell>
          <cell r="S121">
            <v>0</v>
          </cell>
          <cell r="T121" t="str">
            <v>ECONOMICAL PERFORMANCE</v>
          </cell>
        </row>
        <row r="122">
          <cell r="C122" t="str">
            <v>INDUSTRIAL 
PERFORMANCE</v>
          </cell>
          <cell r="D122" t="str">
            <v>START-UP COSTS</v>
          </cell>
          <cell r="E122">
            <v>-1.8518518518518501</v>
          </cell>
          <cell r="F122">
            <v>0</v>
          </cell>
          <cell r="H122">
            <v>1.8518518518518501</v>
          </cell>
          <cell r="I122">
            <v>0</v>
          </cell>
          <cell r="J122">
            <v>0</v>
          </cell>
          <cell r="K122">
            <v>0</v>
          </cell>
          <cell r="L122">
            <v>1.8518518518518501</v>
          </cell>
          <cell r="S122" t="str">
            <v>INDUSTRIAL 
PERFORMANCE</v>
          </cell>
          <cell r="T122" t="str">
            <v>START-UP COSTS</v>
          </cell>
        </row>
        <row r="123">
          <cell r="D123" t="str">
            <v>Materials</v>
          </cell>
          <cell r="E123">
            <v>-1.8518518518518501</v>
          </cell>
          <cell r="F123">
            <v>0</v>
          </cell>
          <cell r="H123">
            <v>1.8518518518518501</v>
          </cell>
          <cell r="J123">
            <v>0</v>
          </cell>
          <cell r="L123">
            <v>1.8518518518518501</v>
          </cell>
          <cell r="S123">
            <v>0</v>
          </cell>
          <cell r="T123" t="str">
            <v>Materials</v>
          </cell>
        </row>
        <row r="124">
          <cell r="D124" t="str">
            <v>Direct Labor</v>
          </cell>
          <cell r="E124">
            <v>0</v>
          </cell>
          <cell r="F124">
            <v>0</v>
          </cell>
          <cell r="H124">
            <v>0</v>
          </cell>
          <cell r="J124">
            <v>0</v>
          </cell>
          <cell r="L124">
            <v>0</v>
          </cell>
          <cell r="S124">
            <v>0</v>
          </cell>
          <cell r="T124" t="str">
            <v>Direct Labor</v>
          </cell>
        </row>
        <row r="125">
          <cell r="S125">
            <v>0</v>
          </cell>
          <cell r="T125">
            <v>0</v>
          </cell>
        </row>
        <row r="126">
          <cell r="D126" t="str">
            <v>MATERIAL</v>
          </cell>
          <cell r="E126">
            <v>-112.9814814814815</v>
          </cell>
          <cell r="F126">
            <v>-984.93786838978554</v>
          </cell>
          <cell r="H126">
            <v>-871.95638690830401</v>
          </cell>
          <cell r="I126">
            <v>10.000828628142152</v>
          </cell>
          <cell r="J126">
            <v>35.74731679539979</v>
          </cell>
          <cell r="K126">
            <v>0</v>
          </cell>
          <cell r="L126">
            <v>-917.70453233184594</v>
          </cell>
          <cell r="S126">
            <v>0</v>
          </cell>
          <cell r="T126" t="str">
            <v>MATERIAL</v>
          </cell>
        </row>
        <row r="127">
          <cell r="D127" t="str">
            <v>Scrap variance</v>
          </cell>
          <cell r="E127">
            <v>-33.787037037037003</v>
          </cell>
          <cell r="F127">
            <v>-256.70699079541498</v>
          </cell>
          <cell r="H127">
            <v>-222.91995375837797</v>
          </cell>
          <cell r="I127">
            <v>9.6619072449273773</v>
          </cell>
          <cell r="J127">
            <v>-11.753287091710973</v>
          </cell>
          <cell r="L127">
            <v>-220.82857391159439</v>
          </cell>
          <cell r="S127">
            <v>0</v>
          </cell>
          <cell r="T127" t="str">
            <v>Scrap variance</v>
          </cell>
        </row>
        <row r="128">
          <cell r="D128" t="str">
            <v>Physical inventory variance</v>
          </cell>
          <cell r="E128">
            <v>0</v>
          </cell>
          <cell r="F128">
            <v>-56.926920870310603</v>
          </cell>
          <cell r="H128">
            <v>-56.926920870310603</v>
          </cell>
          <cell r="J128">
            <v>-9.0009949443847006</v>
          </cell>
          <cell r="L128">
            <v>-47.925925925925903</v>
          </cell>
          <cell r="S128">
            <v>0</v>
          </cell>
          <cell r="T128" t="str">
            <v>Physical inventory variance</v>
          </cell>
        </row>
        <row r="129">
          <cell r="D129" t="str">
            <v>Exceptional subcontracting</v>
          </cell>
          <cell r="E129">
            <v>0</v>
          </cell>
          <cell r="F129">
            <v>0</v>
          </cell>
          <cell r="H129">
            <v>0</v>
          </cell>
          <cell r="J129">
            <v>0</v>
          </cell>
          <cell r="L129">
            <v>0</v>
          </cell>
          <cell r="S129">
            <v>0</v>
          </cell>
          <cell r="T129" t="str">
            <v>Exceptional subcontracting</v>
          </cell>
        </row>
        <row r="130">
          <cell r="D130" t="str">
            <v>Normal incoming freight</v>
          </cell>
          <cell r="E130">
            <v>-1.18518518518519</v>
          </cell>
          <cell r="F130">
            <v>-31.629394175910424</v>
          </cell>
          <cell r="H130">
            <v>-30.444208990725233</v>
          </cell>
          <cell r="I130">
            <v>0.33892138321477405</v>
          </cell>
          <cell r="J130">
            <v>3.7224576759413956</v>
          </cell>
          <cell r="L130">
            <v>-34.505588049881403</v>
          </cell>
          <cell r="S130">
            <v>0</v>
          </cell>
          <cell r="T130" t="str">
            <v>Normal incoming freight</v>
          </cell>
        </row>
        <row r="131">
          <cell r="D131" t="str">
            <v>Exceptional Income freight</v>
          </cell>
          <cell r="E131">
            <v>0</v>
          </cell>
          <cell r="F131">
            <v>-2.26831642317718</v>
          </cell>
          <cell r="H131">
            <v>-2.26831642317718</v>
          </cell>
          <cell r="J131">
            <v>0.50946135460059994</v>
          </cell>
          <cell r="L131">
            <v>-2.7777777777777799</v>
          </cell>
          <cell r="S131">
            <v>0</v>
          </cell>
          <cell r="T131" t="str">
            <v>Exceptional Income freight</v>
          </cell>
        </row>
        <row r="132">
          <cell r="D132" t="str">
            <v>Manufacturing variance</v>
          </cell>
          <cell r="E132">
            <v>-78.009259259259295</v>
          </cell>
          <cell r="F132">
            <v>-69.920664753139405</v>
          </cell>
          <cell r="H132">
            <v>8.0885945061198896</v>
          </cell>
          <cell r="J132">
            <v>6.9311870987123996</v>
          </cell>
          <cell r="L132">
            <v>1.15740740740749</v>
          </cell>
          <cell r="S132">
            <v>0</v>
          </cell>
          <cell r="T132" t="str">
            <v>Manufacturing variance</v>
          </cell>
        </row>
        <row r="133">
          <cell r="D133" t="str">
            <v>Inventory depreciation / extinction</v>
          </cell>
          <cell r="E133">
            <v>0</v>
          </cell>
          <cell r="F133">
            <v>-567.48558137183295</v>
          </cell>
          <cell r="H133">
            <v>-567.48558137183295</v>
          </cell>
          <cell r="J133">
            <v>45.338492702241069</v>
          </cell>
          <cell r="L133">
            <v>-612.82407407407402</v>
          </cell>
          <cell r="S133">
            <v>0</v>
          </cell>
          <cell r="T133" t="str">
            <v>Inventory depreciation / extinction</v>
          </cell>
        </row>
        <row r="134">
          <cell r="S134">
            <v>0</v>
          </cell>
          <cell r="T134">
            <v>0</v>
          </cell>
        </row>
        <row r="135">
          <cell r="D135" t="str">
            <v>DL - Calendarization, Cost of unemployment &amp; other economical</v>
          </cell>
          <cell r="E135">
            <v>0</v>
          </cell>
          <cell r="F135">
            <v>2.1797297252194401</v>
          </cell>
          <cell r="H135">
            <v>2.1797297252194401</v>
          </cell>
          <cell r="I135">
            <v>0</v>
          </cell>
          <cell r="J135">
            <v>-0.41286286737314981</v>
          </cell>
          <cell r="K135">
            <v>0</v>
          </cell>
          <cell r="L135">
            <v>2.5925925925925899</v>
          </cell>
          <cell r="S135">
            <v>0</v>
          </cell>
          <cell r="T135" t="str">
            <v>DL - Calendarization, Cost of unemployment &amp; other economical</v>
          </cell>
        </row>
        <row r="136">
          <cell r="D136" t="str">
            <v>Direct Labor - Calendarization</v>
          </cell>
          <cell r="E136">
            <v>0</v>
          </cell>
          <cell r="F136">
            <v>0</v>
          </cell>
          <cell r="H136">
            <v>0</v>
          </cell>
          <cell r="I136">
            <v>0</v>
          </cell>
          <cell r="J136">
            <v>0</v>
          </cell>
          <cell r="L136">
            <v>0</v>
          </cell>
          <cell r="S136">
            <v>0</v>
          </cell>
          <cell r="T136" t="str">
            <v>Direct Labor - Calendarization</v>
          </cell>
        </row>
        <row r="137">
          <cell r="D137" t="str">
            <v>Direct Labor - Other economical variances</v>
          </cell>
          <cell r="E137">
            <v>0</v>
          </cell>
          <cell r="F137">
            <v>2.1797297252194401</v>
          </cell>
          <cell r="H137">
            <v>2.1797297252194401</v>
          </cell>
          <cell r="I137">
            <v>0</v>
          </cell>
          <cell r="J137">
            <v>-0.41286286737314981</v>
          </cell>
          <cell r="L137">
            <v>2.5925925925925899</v>
          </cell>
          <cell r="S137">
            <v>0</v>
          </cell>
          <cell r="T137" t="str">
            <v>Direct Labor - Other economical variances</v>
          </cell>
        </row>
        <row r="138">
          <cell r="S138">
            <v>0</v>
          </cell>
          <cell r="T138">
            <v>0</v>
          </cell>
        </row>
        <row r="139">
          <cell r="D139" t="str">
            <v>DL - Efficiency variances</v>
          </cell>
          <cell r="E139">
            <v>-133.18518518518499</v>
          </cell>
          <cell r="F139">
            <v>-22.175097102311199</v>
          </cell>
          <cell r="H139">
            <v>111.01008808287379</v>
          </cell>
          <cell r="I139">
            <v>38.086290438760024</v>
          </cell>
          <cell r="J139">
            <v>-4.2491711763852997</v>
          </cell>
          <cell r="K139">
            <v>0</v>
          </cell>
          <cell r="L139">
            <v>77.172968820499079</v>
          </cell>
          <cell r="S139">
            <v>0</v>
          </cell>
          <cell r="T139" t="str">
            <v>DL - Efficiency variances</v>
          </cell>
        </row>
        <row r="140">
          <cell r="D140" t="str">
            <v>Direct Labor - Efficiency Variance</v>
          </cell>
          <cell r="E140">
            <v>-133.18518518518499</v>
          </cell>
          <cell r="F140">
            <v>-22.175097102311199</v>
          </cell>
          <cell r="H140">
            <v>111.01008808287379</v>
          </cell>
          <cell r="I140">
            <v>38.086290438760024</v>
          </cell>
          <cell r="J140">
            <v>-4.2491711763852997</v>
          </cell>
          <cell r="L140">
            <v>77.172968820499079</v>
          </cell>
          <cell r="S140">
            <v>0</v>
          </cell>
          <cell r="T140" t="str">
            <v>Direct Labor - Efficiency Variance</v>
          </cell>
        </row>
        <row r="141">
          <cell r="D141" t="str">
            <v>Direct Labor - additional needs of headcount (quality walls…)</v>
          </cell>
          <cell r="E141">
            <v>0</v>
          </cell>
          <cell r="F141">
            <v>0</v>
          </cell>
          <cell r="H141">
            <v>0</v>
          </cell>
          <cell r="I141">
            <v>0</v>
          </cell>
          <cell r="J141">
            <v>0</v>
          </cell>
          <cell r="L141">
            <v>0</v>
          </cell>
          <cell r="S141">
            <v>0</v>
          </cell>
          <cell r="T141" t="str">
            <v>Direct Labor - additional needs of headcount (quality walls…)</v>
          </cell>
        </row>
        <row r="142">
          <cell r="D142" t="str">
            <v>Direct Labor - Logistics efficiency variances</v>
          </cell>
          <cell r="E142">
            <v>0</v>
          </cell>
          <cell r="F142">
            <v>0</v>
          </cell>
          <cell r="H142">
            <v>0</v>
          </cell>
          <cell r="I142">
            <v>0</v>
          </cell>
          <cell r="J142">
            <v>0</v>
          </cell>
          <cell r="L142">
            <v>0</v>
          </cell>
          <cell r="S142">
            <v>0</v>
          </cell>
          <cell r="T142" t="str">
            <v>Direct Labor - Logistics efficiency variances</v>
          </cell>
        </row>
        <row r="143">
          <cell r="S143">
            <v>0</v>
          </cell>
          <cell r="T143">
            <v>0</v>
          </cell>
        </row>
        <row r="144">
          <cell r="D144" t="str">
            <v>FREIGHT-OUT Variance</v>
          </cell>
          <cell r="E144">
            <v>0</v>
          </cell>
          <cell r="F144">
            <v>12.705769099242699</v>
          </cell>
          <cell r="H144">
            <v>12.705769099242699</v>
          </cell>
          <cell r="I144">
            <v>0</v>
          </cell>
          <cell r="J144">
            <v>-0.44237904890540136</v>
          </cell>
          <cell r="K144">
            <v>0</v>
          </cell>
          <cell r="L144">
            <v>13.148148148148101</v>
          </cell>
          <cell r="S144">
            <v>0</v>
          </cell>
          <cell r="T144" t="str">
            <v>FREIGHT-OUT Variance</v>
          </cell>
        </row>
        <row r="145">
          <cell r="D145" t="str">
            <v>Exceptional Freight-out</v>
          </cell>
          <cell r="E145">
            <v>0</v>
          </cell>
          <cell r="F145">
            <v>12.705769099242699</v>
          </cell>
          <cell r="H145">
            <v>12.705769099242699</v>
          </cell>
          <cell r="I145">
            <v>0</v>
          </cell>
          <cell r="J145">
            <v>-0.44237904890540136</v>
          </cell>
          <cell r="L145">
            <v>13.148148148148101</v>
          </cell>
          <cell r="S145">
            <v>0</v>
          </cell>
          <cell r="T145" t="str">
            <v>Exceptional Freight-out</v>
          </cell>
        </row>
        <row r="146">
          <cell r="S146">
            <v>0</v>
          </cell>
          <cell r="T146">
            <v>0</v>
          </cell>
        </row>
        <row r="147">
          <cell r="D147" t="str">
            <v>INDUSTRIAL PERFORMANCE</v>
          </cell>
          <cell r="E147">
            <v>-248.01851851851833</v>
          </cell>
          <cell r="F147">
            <v>-992.22746666763464</v>
          </cell>
          <cell r="H147">
            <v>-744.20894814911628</v>
          </cell>
          <cell r="I147">
            <v>48.087119066902176</v>
          </cell>
          <cell r="J147">
            <v>30.642903702735939</v>
          </cell>
          <cell r="K147">
            <v>0</v>
          </cell>
          <cell r="L147">
            <v>-822.93897091875431</v>
          </cell>
          <cell r="S147">
            <v>0</v>
          </cell>
          <cell r="T147" t="str">
            <v>INDUSTRIAL PERFORMANCE</v>
          </cell>
        </row>
        <row r="149">
          <cell r="C149" t="str">
            <v>ACTUAL</v>
          </cell>
          <cell r="S149" t="str">
            <v>ACTUAL</v>
          </cell>
        </row>
        <row r="150">
          <cell r="C150" t="str">
            <v>Sales</v>
          </cell>
          <cell r="E150">
            <v>10202.712962963</v>
          </cell>
          <cell r="F150">
            <v>7518.4728740512301</v>
          </cell>
          <cell r="H150">
            <v>-2684.2400889117698</v>
          </cell>
          <cell r="I150">
            <v>-2917.617966520912</v>
          </cell>
          <cell r="J150">
            <v>-73.517866689509901</v>
          </cell>
          <cell r="K150">
            <v>306.89574429866127</v>
          </cell>
          <cell r="L150">
            <v>0</v>
          </cell>
          <cell r="S150" t="str">
            <v>Sales</v>
          </cell>
        </row>
        <row r="151">
          <cell r="C151" t="str">
            <v>Materials</v>
          </cell>
          <cell r="E151">
            <v>-6233.0277777777801</v>
          </cell>
          <cell r="F151">
            <v>-4937.8684212569397</v>
          </cell>
          <cell r="H151">
            <v>1295.1593565208404</v>
          </cell>
          <cell r="I151">
            <v>1899.398100479764</v>
          </cell>
          <cell r="J151">
            <v>79.400097261580413</v>
          </cell>
          <cell r="K151">
            <v>232.2138392594841</v>
          </cell>
          <cell r="L151">
            <v>-915.85268047999409</v>
          </cell>
          <cell r="S151" t="str">
            <v>Materials</v>
          </cell>
        </row>
        <row r="152">
          <cell r="C152" t="str">
            <v>% of pdt sales wo Mono.</v>
          </cell>
          <cell r="E152">
            <v>-0.61091866451642562</v>
          </cell>
          <cell r="F152">
            <v>-0.65676481168126288</v>
          </cell>
        </row>
        <row r="153">
          <cell r="C153" t="str">
            <v>Direct Labor Cost</v>
          </cell>
          <cell r="E153">
            <v>-655.555555555556</v>
          </cell>
          <cell r="F153">
            <v>-404.737234938889</v>
          </cell>
          <cell r="H153">
            <v>250.81832061666699</v>
          </cell>
          <cell r="I153">
            <v>121.74348689435035</v>
          </cell>
          <cell r="J153">
            <v>15.994246542592009</v>
          </cell>
          <cell r="K153">
            <v>33.315025766632125</v>
          </cell>
          <cell r="L153">
            <v>79.765561413091675</v>
          </cell>
          <cell r="S153" t="str">
            <v>Direct Labor Cost</v>
          </cell>
        </row>
        <row r="154">
          <cell r="C154" t="str">
            <v>% of pdt sales wo Mono.</v>
          </cell>
          <cell r="E154">
            <v>-6.4253062683944623E-2</v>
          </cell>
          <cell r="F154">
            <v>-5.3832372839406374E-2</v>
          </cell>
        </row>
        <row r="155">
          <cell r="C155" t="str">
            <v>Freight-out</v>
          </cell>
          <cell r="E155">
            <v>-132.75</v>
          </cell>
          <cell r="F155">
            <v>-220.57332331968101</v>
          </cell>
          <cell r="H155">
            <v>-87.823323319681009</v>
          </cell>
          <cell r="I155">
            <v>-93.453703703704008</v>
          </cell>
          <cell r="J155">
            <v>-7.5177677641250114</v>
          </cell>
          <cell r="K155">
            <v>0</v>
          </cell>
          <cell r="L155">
            <v>13.148148148148101</v>
          </cell>
          <cell r="S155" t="str">
            <v>Freight-out</v>
          </cell>
        </row>
        <row r="156">
          <cell r="C156" t="str">
            <v>% of pdt sales wo Mono.</v>
          </cell>
          <cell r="E156">
            <v>-1.3011245193498777E-2</v>
          </cell>
          <cell r="F156">
            <v>-2.9337516675886865E-2</v>
          </cell>
        </row>
        <row r="157">
          <cell r="C157" t="str">
            <v>VARIABLE COST MARGIN - ACTUAL</v>
          </cell>
          <cell r="E157">
            <v>3181.37962962963</v>
          </cell>
          <cell r="F157">
            <v>1955.29389453572</v>
          </cell>
          <cell r="H157">
            <v>-1226.0857350939432</v>
          </cell>
          <cell r="I157">
            <v>-989.93008285050178</v>
          </cell>
          <cell r="J157">
            <v>14.358709350537509</v>
          </cell>
          <cell r="K157">
            <v>572.42460932477752</v>
          </cell>
          <cell r="L157">
            <v>-822.93897091875431</v>
          </cell>
          <cell r="S157" t="str">
            <v>VARIABLE COST MARGIN - ACTUAL</v>
          </cell>
        </row>
        <row r="158">
          <cell r="C158" t="str">
            <v>% of pdt sales wo Mono.</v>
          </cell>
          <cell r="E158">
            <v>0.31181702760612762</v>
          </cell>
          <cell r="F158">
            <v>0.26006529880344381</v>
          </cell>
        </row>
        <row r="160">
          <cell r="B160" t="str">
            <v>OPERATING INCOME</v>
          </cell>
          <cell r="C160" t="str">
            <v>Indirect Labor Costs</v>
          </cell>
          <cell r="E160">
            <v>-653.31481481481501</v>
          </cell>
          <cell r="F160">
            <v>-391.455818054151</v>
          </cell>
          <cell r="H160">
            <v>261.85899676066401</v>
          </cell>
          <cell r="J160">
            <v>-3.1039662022989774</v>
          </cell>
          <cell r="L160">
            <v>264.96296296296299</v>
          </cell>
          <cell r="R160" t="str">
            <v>OPERATING INCOME</v>
          </cell>
          <cell r="S160" t="str">
            <v>Indirect Labor Costs</v>
          </cell>
        </row>
        <row r="161">
          <cell r="C161" t="str">
            <v>Manufacturing Costs</v>
          </cell>
          <cell r="E161">
            <v>-762.11111111111097</v>
          </cell>
          <cell r="F161">
            <v>-545.35419425385498</v>
          </cell>
          <cell r="H161">
            <v>216.75691685725599</v>
          </cell>
          <cell r="I161">
            <v>65.381112210097285</v>
          </cell>
          <cell r="J161">
            <v>19.256916857255987</v>
          </cell>
          <cell r="L161">
            <v>132.11888778990271</v>
          </cell>
          <cell r="S161" t="str">
            <v>Manufacturing Costs</v>
          </cell>
        </row>
        <row r="162">
          <cell r="C162" t="str">
            <v>Productive Equip. Depreciation</v>
          </cell>
          <cell r="E162">
            <v>-210.35185185185199</v>
          </cell>
          <cell r="F162">
            <v>-143.596411515754</v>
          </cell>
          <cell r="H162">
            <v>66.75544033609799</v>
          </cell>
          <cell r="J162">
            <v>-5.9760411453839879</v>
          </cell>
          <cell r="L162">
            <v>72.731481481481978</v>
          </cell>
          <cell r="S162" t="str">
            <v>Productive Equip. Depreciation</v>
          </cell>
        </row>
        <row r="163">
          <cell r="C163" t="str">
            <v>Inventory Variance - Fixed Costs</v>
          </cell>
          <cell r="E163">
            <v>0</v>
          </cell>
          <cell r="F163">
            <v>0</v>
          </cell>
          <cell r="H163">
            <v>0</v>
          </cell>
          <cell r="J163">
            <v>0</v>
          </cell>
          <cell r="L163">
            <v>0</v>
          </cell>
          <cell r="S163" t="str">
            <v>Inventory Variance - Fixed Costs</v>
          </cell>
        </row>
        <row r="164">
          <cell r="C164" t="str">
            <v>Completion Losses Reserves</v>
          </cell>
          <cell r="E164">
            <v>0</v>
          </cell>
          <cell r="F164">
            <v>0</v>
          </cell>
          <cell r="H164">
            <v>0</v>
          </cell>
          <cell r="J164">
            <v>0</v>
          </cell>
          <cell r="L164">
            <v>0</v>
          </cell>
          <cell r="S164" t="str">
            <v>Completion Losses Reserves</v>
          </cell>
        </row>
        <row r="165">
          <cell r="C165" t="str">
            <v>GROSS MARGIN ON PROD SALES EXCL. MONO.</v>
          </cell>
          <cell r="E165">
            <v>1555.6018518518499</v>
          </cell>
          <cell r="F165">
            <v>874.88747071195905</v>
          </cell>
          <cell r="H165">
            <v>-680.71438113989086</v>
          </cell>
          <cell r="I165">
            <v>-924.54897064040449</v>
          </cell>
          <cell r="J165">
            <v>24.535618860110532</v>
          </cell>
          <cell r="K165">
            <v>572.42460932477752</v>
          </cell>
          <cell r="L165">
            <v>-353.12563868440662</v>
          </cell>
          <cell r="S165" t="str">
            <v>GROSS MARGIN ON PROD SALES EXCL. MONO.</v>
          </cell>
        </row>
        <row r="166">
          <cell r="C166" t="str">
            <v>% of total sales</v>
          </cell>
          <cell r="E166">
            <v>0.15246943214994485</v>
          </cell>
          <cell r="F166">
            <v>0.11636504984030586</v>
          </cell>
        </row>
        <row r="168">
          <cell r="C168" t="str">
            <v>Tooling sales</v>
          </cell>
          <cell r="E168">
            <v>0</v>
          </cell>
          <cell r="F168">
            <v>120.85916444742701</v>
          </cell>
          <cell r="H168">
            <v>120.85916444742701</v>
          </cell>
          <cell r="J168">
            <v>-12.937131848868987</v>
          </cell>
          <cell r="L168">
            <v>133.79629629629599</v>
          </cell>
          <cell r="S168" t="str">
            <v>Tooling sales</v>
          </cell>
        </row>
        <row r="169">
          <cell r="C169" t="str">
            <v>Gross Margin on Tooling</v>
          </cell>
          <cell r="E169">
            <v>0</v>
          </cell>
          <cell r="F169">
            <v>9.3814460331321497E-3</v>
          </cell>
          <cell r="H169">
            <v>9.3814460331321497E-3</v>
          </cell>
          <cell r="J169">
            <v>9.3814460331321497E-3</v>
          </cell>
          <cell r="L169">
            <v>-1E-35</v>
          </cell>
          <cell r="S169" t="str">
            <v>Gross Margin on Tooling</v>
          </cell>
        </row>
        <row r="170">
          <cell r="C170" t="str">
            <v>Engineering / Prototype Sales</v>
          </cell>
          <cell r="E170">
            <v>0</v>
          </cell>
          <cell r="F170">
            <v>0.43323427630009498</v>
          </cell>
          <cell r="H170">
            <v>0.43323427630009498</v>
          </cell>
          <cell r="I170">
            <v>0</v>
          </cell>
          <cell r="J170">
            <v>6.2863905929724961E-2</v>
          </cell>
          <cell r="L170">
            <v>0.37037037037037002</v>
          </cell>
          <cell r="S170" t="str">
            <v>Engineering / Prototype Sales</v>
          </cell>
        </row>
        <row r="171">
          <cell r="C171" t="str">
            <v>Monoliths Sales</v>
          </cell>
          <cell r="E171">
            <v>22885.870370370401</v>
          </cell>
          <cell r="F171">
            <v>15273.0679892607</v>
          </cell>
          <cell r="H171">
            <v>-7612.8023811097009</v>
          </cell>
          <cell r="I171">
            <v>-6544.5560229374314</v>
          </cell>
          <cell r="J171">
            <v>1743.5494707422004</v>
          </cell>
          <cell r="L171">
            <v>-2811.7958289144699</v>
          </cell>
          <cell r="S171" t="str">
            <v>Monoliths Sales</v>
          </cell>
        </row>
        <row r="172">
          <cell r="C172" t="str">
            <v>Gross Margin on Monoliths</v>
          </cell>
          <cell r="E172">
            <v>486.91666666666703</v>
          </cell>
          <cell r="F172">
            <v>-7.85577880291381</v>
          </cell>
          <cell r="H172">
            <v>-494.77244546958082</v>
          </cell>
          <cell r="I172">
            <v>-139.24108421183803</v>
          </cell>
          <cell r="J172">
            <v>58.625702678567684</v>
          </cell>
          <cell r="L172">
            <v>-414.15706393631046</v>
          </cell>
          <cell r="S172" t="str">
            <v>Gross Margin on Monoliths</v>
          </cell>
        </row>
        <row r="173">
          <cell r="C173" t="str">
            <v>Services &amp; Royalties Sales</v>
          </cell>
          <cell r="E173">
            <v>0</v>
          </cell>
          <cell r="F173">
            <v>6.93960645567104</v>
          </cell>
          <cell r="H173">
            <v>6.93960645567104</v>
          </cell>
          <cell r="J173">
            <v>-0.93076391469933029</v>
          </cell>
          <cell r="L173">
            <v>7.8703703703703702</v>
          </cell>
          <cell r="S173" t="str">
            <v>Services &amp; Royalties Sales</v>
          </cell>
        </row>
        <row r="174">
          <cell r="C174" t="str">
            <v>Gross Margin on Service &amp; Royalties</v>
          </cell>
          <cell r="E174">
            <v>0</v>
          </cell>
          <cell r="F174">
            <v>-6.0417535974093398E-2</v>
          </cell>
          <cell r="H174">
            <v>-6.0417535974093398E-2</v>
          </cell>
          <cell r="J174">
            <v>-6.0417535974093398E-2</v>
          </cell>
          <cell r="L174">
            <v>0</v>
          </cell>
          <cell r="S174" t="str">
            <v>Gross Margin on Service &amp; Royalties</v>
          </cell>
        </row>
        <row r="175">
          <cell r="C175" t="str">
            <v>TOTAL SALES</v>
          </cell>
          <cell r="E175">
            <v>33088.583333333299</v>
          </cell>
          <cell r="F175">
            <v>22919.772868491302</v>
          </cell>
          <cell r="H175">
            <v>-10168.810464841998</v>
          </cell>
          <cell r="I175">
            <v>-9462.1739894583443</v>
          </cell>
          <cell r="J175">
            <v>1656.2265721950519</v>
          </cell>
          <cell r="K175">
            <v>306.89574429866127</v>
          </cell>
          <cell r="L175">
            <v>-2669.7587918774329</v>
          </cell>
          <cell r="S175" t="str">
            <v>TOTAL SALES</v>
          </cell>
        </row>
        <row r="176">
          <cell r="C176" t="str">
            <v>GROSS MARGIN</v>
          </cell>
          <cell r="E176">
            <v>2042.5185185185201</v>
          </cell>
          <cell r="F176">
            <v>866.98065581910396</v>
          </cell>
          <cell r="H176">
            <v>-1175.5378626994161</v>
          </cell>
          <cell r="I176">
            <v>-1063.7900548522425</v>
          </cell>
          <cell r="J176">
            <v>83.110285448737244</v>
          </cell>
          <cell r="K176">
            <v>572.42460932477752</v>
          </cell>
          <cell r="L176">
            <v>-767.28270262071715</v>
          </cell>
          <cell r="S176" t="str">
            <v>GROSS MARGIN</v>
          </cell>
        </row>
        <row r="177">
          <cell r="C177" t="str">
            <v>% of total sales</v>
          </cell>
          <cell r="E177">
            <v>6.1728799264152708E-2</v>
          </cell>
          <cell r="F177">
            <v>3.782675599769908E-2</v>
          </cell>
        </row>
        <row r="179">
          <cell r="C179" t="str">
            <v>R&amp;D Expenses</v>
          </cell>
          <cell r="E179">
            <v>-181.444444444444</v>
          </cell>
          <cell r="F179">
            <v>-63.121414174224803</v>
          </cell>
          <cell r="H179">
            <v>118.32303027021919</v>
          </cell>
          <cell r="I179">
            <v>0</v>
          </cell>
          <cell r="J179">
            <v>-8.4084512112618057</v>
          </cell>
          <cell r="L179">
            <v>126.73148148148101</v>
          </cell>
          <cell r="S179" t="str">
            <v>R&amp;D Expenses</v>
          </cell>
        </row>
        <row r="180">
          <cell r="C180" t="str">
            <v>SG&amp;A Gross Expenses</v>
          </cell>
          <cell r="E180">
            <v>-591.84259259259295</v>
          </cell>
          <cell r="F180">
            <v>-491.05038937857802</v>
          </cell>
          <cell r="H180">
            <v>100.79220321401493</v>
          </cell>
          <cell r="J180">
            <v>21.542203214014933</v>
          </cell>
          <cell r="K180">
            <v>79.25</v>
          </cell>
          <cell r="S180" t="str">
            <v>SG&amp;A Gross Expenses</v>
          </cell>
        </row>
        <row r="181">
          <cell r="C181" t="str">
            <v>SG&amp;A Service Management Fees</v>
          </cell>
          <cell r="E181">
            <v>-186.59259259259301</v>
          </cell>
          <cell r="F181">
            <v>-165.377071602428</v>
          </cell>
          <cell r="H181">
            <v>21.215520990165004</v>
          </cell>
          <cell r="K181">
            <v>21.215520990165004</v>
          </cell>
          <cell r="S181" t="str">
            <v>SG&amp;A Service Management Fees</v>
          </cell>
        </row>
        <row r="183">
          <cell r="C183" t="str">
            <v>OPERATING MARGIN</v>
          </cell>
          <cell r="E183">
            <v>1082.6388888888901</v>
          </cell>
          <cell r="F183">
            <v>147.43178066387301</v>
          </cell>
          <cell r="H183">
            <v>-935.20710822501701</v>
          </cell>
          <cell r="I183">
            <v>-1063.7900548522425</v>
          </cell>
          <cell r="J183">
            <v>96.244037451490371</v>
          </cell>
          <cell r="K183">
            <v>672.89013031494255</v>
          </cell>
          <cell r="L183">
            <v>-640.55122113923608</v>
          </cell>
          <cell r="S183" t="str">
            <v>OPERATING MARGIN</v>
          </cell>
        </row>
        <row r="184">
          <cell r="C184" t="str">
            <v>% of total sales</v>
          </cell>
          <cell r="E184">
            <v>3.2719408926711109E-2</v>
          </cell>
          <cell r="F184">
            <v>6.4325149079707145E-3</v>
          </cell>
        </row>
        <row r="185">
          <cell r="C185" t="str">
            <v>(1) Volume Impact on "Variances versus standard" and Monoliths is based on the standard sales, Actual vs Budget</v>
          </cell>
        </row>
        <row r="186">
          <cell r="C186" t="str">
            <v>(2) 30% of the manufacturing costs are considered variable, a volume impact is calculated on this 30%, based on the standard sales.</v>
          </cell>
        </row>
        <row r="187">
          <cell r="C187" t="str">
            <v>(3) - Piece price sales are directly linked with volumes variations</v>
          </cell>
        </row>
        <row r="188">
          <cell r="C188" t="str">
            <v>- Volume impact on Piece Price Sales = Volume on R&amp;D Expenses (if  we consider that amortization is calculated on a linear basis).</v>
          </cell>
        </row>
      </sheetData>
      <sheetData sheetId="8">
        <row r="71">
          <cell r="B71" t="str">
            <v>Standard Analysis  - Detailed P&amp;L - ES DIVISION PG TRANSVERSE FUNCTIONS</v>
          </cell>
        </row>
        <row r="72">
          <cell r="B72" t="str">
            <v>2009.May</v>
          </cell>
        </row>
        <row r="74">
          <cell r="D74" t="str">
            <v>VOLUME / MIX IMPACT</v>
          </cell>
          <cell r="E74">
            <v>0</v>
          </cell>
        </row>
        <row r="76">
          <cell r="E76" t="str">
            <v>BUDGET</v>
          </cell>
          <cell r="F76" t="str">
            <v>ACTUAL</v>
          </cell>
          <cell r="H76" t="str">
            <v>VARIANCE</v>
          </cell>
          <cell r="I76" t="str">
            <v>Volume / Mix</v>
          </cell>
          <cell r="J76" t="str">
            <v>Translation impact</v>
          </cell>
          <cell r="K76" t="str">
            <v>Squeeze</v>
          </cell>
          <cell r="L76" t="str">
            <v>Indus</v>
          </cell>
          <cell r="R76" t="str">
            <v>Standard Analysis  - Detailed P&amp;L - ES DIVISION PG TRANSVERSE FUNCTIONS</v>
          </cell>
        </row>
        <row r="77">
          <cell r="B77" t="str">
            <v>VARIABLE COST MARGIN</v>
          </cell>
          <cell r="C77" t="str">
            <v>STANDARD</v>
          </cell>
          <cell r="R77" t="str">
            <v>VARIABLE COST MARGIN</v>
          </cell>
          <cell r="S77" t="str">
            <v>STANDARD</v>
          </cell>
        </row>
        <row r="78">
          <cell r="C78" t="str">
            <v>Sales</v>
          </cell>
          <cell r="E78">
            <v>0</v>
          </cell>
          <cell r="F78">
            <v>0</v>
          </cell>
          <cell r="H78">
            <v>0</v>
          </cell>
          <cell r="I78">
            <v>0</v>
          </cell>
          <cell r="J78">
            <v>0</v>
          </cell>
          <cell r="S78" t="str">
            <v>Sales</v>
          </cell>
        </row>
        <row r="79">
          <cell r="C79" t="str">
            <v>Purchase</v>
          </cell>
          <cell r="E79">
            <v>0</v>
          </cell>
          <cell r="F79">
            <v>0</v>
          </cell>
          <cell r="H79">
            <v>0</v>
          </cell>
          <cell r="I79">
            <v>0</v>
          </cell>
          <cell r="J79">
            <v>0</v>
          </cell>
          <cell r="S79" t="str">
            <v>Purchase</v>
          </cell>
        </row>
        <row r="80">
          <cell r="C80" t="str">
            <v>% of std pdt sales wo Mono.</v>
          </cell>
          <cell r="E80" t="str">
            <v/>
          </cell>
          <cell r="F80" t="str">
            <v/>
          </cell>
        </row>
        <row r="81">
          <cell r="C81" t="str">
            <v>Direct Labor Cost</v>
          </cell>
          <cell r="E81">
            <v>0</v>
          </cell>
          <cell r="F81">
            <v>0</v>
          </cell>
          <cell r="H81">
            <v>0</v>
          </cell>
          <cell r="I81">
            <v>0</v>
          </cell>
          <cell r="J81">
            <v>0</v>
          </cell>
          <cell r="S81" t="str">
            <v>Direct Labor Cost</v>
          </cell>
        </row>
        <row r="82">
          <cell r="C82" t="str">
            <v>% of std pdt sales wo Mono.</v>
          </cell>
          <cell r="E82" t="str">
            <v/>
          </cell>
          <cell r="F82" t="str">
            <v/>
          </cell>
        </row>
        <row r="83">
          <cell r="C83" t="str">
            <v>Freight-out</v>
          </cell>
          <cell r="E83">
            <v>-144</v>
          </cell>
          <cell r="F83">
            <v>0</v>
          </cell>
          <cell r="H83">
            <v>144</v>
          </cell>
          <cell r="I83">
            <v>144</v>
          </cell>
          <cell r="J83">
            <v>0</v>
          </cell>
          <cell r="S83" t="str">
            <v>Freight-out</v>
          </cell>
        </row>
        <row r="84">
          <cell r="C84" t="str">
            <v>% of std pdt sales wo Mono.</v>
          </cell>
          <cell r="E84" t="str">
            <v/>
          </cell>
          <cell r="F84" t="str">
            <v/>
          </cell>
        </row>
        <row r="85">
          <cell r="C85" t="str">
            <v>VARIABLE COST MARGIN - STANDARD</v>
          </cell>
          <cell r="E85">
            <v>-144</v>
          </cell>
          <cell r="F85">
            <v>0</v>
          </cell>
          <cell r="H85">
            <v>144</v>
          </cell>
          <cell r="I85">
            <v>144</v>
          </cell>
          <cell r="J85">
            <v>0</v>
          </cell>
          <cell r="K85">
            <v>0</v>
          </cell>
          <cell r="L85">
            <v>0</v>
          </cell>
          <cell r="S85" t="str">
            <v>VARIABLE COST MARGIN - STANDARD</v>
          </cell>
        </row>
        <row r="86">
          <cell r="C86" t="str">
            <v>% of std pdt sales wo Mono.</v>
          </cell>
          <cell r="E86" t="str">
            <v/>
          </cell>
          <cell r="F86" t="str">
            <v/>
          </cell>
        </row>
        <row r="88">
          <cell r="C88" t="str">
            <v>VARIANCES vs STANDARD</v>
          </cell>
          <cell r="I88" t="str">
            <v>(1)</v>
          </cell>
          <cell r="S88" t="str">
            <v>VARIANCES vs STANDARD</v>
          </cell>
        </row>
        <row r="89">
          <cell r="C89" t="str">
            <v>ECONOMICAL</v>
          </cell>
          <cell r="D89" t="str">
            <v>PROCESS</v>
          </cell>
          <cell r="E89">
            <v>0</v>
          </cell>
          <cell r="F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S89" t="str">
            <v>ECONOMICAL</v>
          </cell>
          <cell r="T89" t="str">
            <v>PROCESS</v>
          </cell>
        </row>
        <row r="90">
          <cell r="D90" t="str">
            <v>Sales</v>
          </cell>
          <cell r="E90">
            <v>0</v>
          </cell>
          <cell r="F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S90">
            <v>0</v>
          </cell>
          <cell r="T90" t="str">
            <v>Sales</v>
          </cell>
        </row>
        <row r="91">
          <cell r="D91" t="str">
            <v>Materials</v>
          </cell>
          <cell r="E91">
            <v>0</v>
          </cell>
          <cell r="F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S91">
            <v>0</v>
          </cell>
          <cell r="T91" t="str">
            <v>Materials</v>
          </cell>
        </row>
        <row r="92">
          <cell r="S92">
            <v>0</v>
          </cell>
          <cell r="T92">
            <v>0</v>
          </cell>
        </row>
        <row r="93">
          <cell r="D93" t="str">
            <v>PASSTHROUGH MANDATED SUPPLIERS</v>
          </cell>
          <cell r="E93">
            <v>0</v>
          </cell>
          <cell r="F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S93">
            <v>0</v>
          </cell>
          <cell r="T93" t="str">
            <v>PASSTHROUGH MANDATED SUPPLIERS</v>
          </cell>
        </row>
        <row r="94">
          <cell r="D94" t="str">
            <v>Sales</v>
          </cell>
          <cell r="E94">
            <v>0</v>
          </cell>
          <cell r="F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S94">
            <v>0</v>
          </cell>
          <cell r="T94" t="str">
            <v>Sales</v>
          </cell>
        </row>
        <row r="95">
          <cell r="D95" t="str">
            <v>Materials</v>
          </cell>
          <cell r="E95">
            <v>0</v>
          </cell>
          <cell r="F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S95">
            <v>0</v>
          </cell>
          <cell r="T95" t="str">
            <v>Materials</v>
          </cell>
        </row>
        <row r="96">
          <cell r="S96">
            <v>0</v>
          </cell>
          <cell r="T96">
            <v>0</v>
          </cell>
        </row>
        <row r="97">
          <cell r="D97" t="str">
            <v>PASSTHROUGH RAW MATERIAL</v>
          </cell>
          <cell r="E97">
            <v>0</v>
          </cell>
          <cell r="F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S97">
            <v>0</v>
          </cell>
          <cell r="T97" t="str">
            <v>PASSTHROUGH RAW MATERIAL</v>
          </cell>
        </row>
        <row r="98">
          <cell r="D98" t="str">
            <v>Sales</v>
          </cell>
          <cell r="E98">
            <v>0</v>
          </cell>
          <cell r="F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S98">
            <v>0</v>
          </cell>
          <cell r="T98" t="str">
            <v>Sales</v>
          </cell>
        </row>
        <row r="99">
          <cell r="D99" t="str">
            <v>Materials</v>
          </cell>
          <cell r="E99">
            <v>0</v>
          </cell>
          <cell r="F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S99">
            <v>0</v>
          </cell>
          <cell r="T99" t="str">
            <v>Materials</v>
          </cell>
        </row>
        <row r="100">
          <cell r="D100" t="str">
            <v>Spot purchasing surcharges</v>
          </cell>
          <cell r="E100">
            <v>0</v>
          </cell>
          <cell r="F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S100">
            <v>0</v>
          </cell>
          <cell r="T100" t="str">
            <v>Spot purchasing surcharges</v>
          </cell>
        </row>
        <row r="101">
          <cell r="S101">
            <v>0</v>
          </cell>
          <cell r="T101">
            <v>0</v>
          </cell>
        </row>
        <row r="102">
          <cell r="D102" t="str">
            <v>VA / VE + Technical Purchasing</v>
          </cell>
          <cell r="E102">
            <v>0</v>
          </cell>
          <cell r="F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S102">
            <v>0</v>
          </cell>
          <cell r="T102" t="str">
            <v>VA / VE + Technical Purchasing</v>
          </cell>
        </row>
        <row r="103">
          <cell r="D103" t="str">
            <v>Sales</v>
          </cell>
          <cell r="E103">
            <v>0</v>
          </cell>
          <cell r="F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S103">
            <v>0</v>
          </cell>
          <cell r="T103" t="str">
            <v>Sales</v>
          </cell>
        </row>
        <row r="104">
          <cell r="D104" t="str">
            <v>Materials</v>
          </cell>
          <cell r="E104">
            <v>0</v>
          </cell>
          <cell r="F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S104">
            <v>0</v>
          </cell>
          <cell r="T104" t="str">
            <v>Materials</v>
          </cell>
        </row>
        <row r="105">
          <cell r="D105" t="str">
            <v>Technical variance purchasing</v>
          </cell>
          <cell r="E105">
            <v>0</v>
          </cell>
          <cell r="F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S105">
            <v>0</v>
          </cell>
          <cell r="T105" t="str">
            <v>Technical variance purchasing</v>
          </cell>
        </row>
        <row r="106">
          <cell r="D106" t="str">
            <v>Direct Labor</v>
          </cell>
          <cell r="E106">
            <v>0</v>
          </cell>
          <cell r="F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S106">
            <v>0</v>
          </cell>
          <cell r="T106" t="str">
            <v>Direct Labor</v>
          </cell>
        </row>
        <row r="107">
          <cell r="S107">
            <v>0</v>
          </cell>
          <cell r="T107">
            <v>0</v>
          </cell>
        </row>
        <row r="108">
          <cell r="D108" t="str">
            <v>NON RECURRING</v>
          </cell>
          <cell r="E108">
            <v>0</v>
          </cell>
          <cell r="F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S108">
            <v>0</v>
          </cell>
          <cell r="T108" t="str">
            <v>NON RECURRING</v>
          </cell>
        </row>
        <row r="109">
          <cell r="D109" t="str">
            <v>Other Sales Variances  - Non recurring</v>
          </cell>
          <cell r="E109">
            <v>0</v>
          </cell>
          <cell r="F109">
            <v>0</v>
          </cell>
          <cell r="H109">
            <v>0</v>
          </cell>
          <cell r="J109">
            <v>0</v>
          </cell>
          <cell r="K109">
            <v>0</v>
          </cell>
          <cell r="S109">
            <v>0</v>
          </cell>
          <cell r="T109" t="str">
            <v>Other Sales Variances  - Non recurring</v>
          </cell>
        </row>
        <row r="110">
          <cell r="D110" t="str">
            <v>Other Purchasing Variance  - Non recurring</v>
          </cell>
          <cell r="E110">
            <v>0</v>
          </cell>
          <cell r="F110">
            <v>0</v>
          </cell>
          <cell r="H110">
            <v>0</v>
          </cell>
          <cell r="J110">
            <v>0</v>
          </cell>
          <cell r="K110">
            <v>0</v>
          </cell>
          <cell r="S110">
            <v>0</v>
          </cell>
          <cell r="T110" t="str">
            <v>Other Purchasing Variance  - Non recurring</v>
          </cell>
        </row>
        <row r="111">
          <cell r="S111">
            <v>0</v>
          </cell>
          <cell r="T111">
            <v>0</v>
          </cell>
        </row>
        <row r="112">
          <cell r="D112" t="str">
            <v>ROLL-OVER - Sales, Materials &amp; Direct Labor</v>
          </cell>
          <cell r="E112">
            <v>0</v>
          </cell>
          <cell r="F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S112">
            <v>0</v>
          </cell>
          <cell r="T112" t="str">
            <v>ROLL-OVER - Sales, Materials &amp; Direct Labor</v>
          </cell>
        </row>
        <row r="113">
          <cell r="D113" t="str">
            <v>Roll over impact - Sales</v>
          </cell>
          <cell r="E113">
            <v>0</v>
          </cell>
          <cell r="F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S113">
            <v>0</v>
          </cell>
          <cell r="T113" t="str">
            <v>Roll over impact - Sales</v>
          </cell>
        </row>
        <row r="114">
          <cell r="D114" t="str">
            <v>Roll over impact - Materials - Economical</v>
          </cell>
          <cell r="E114">
            <v>0</v>
          </cell>
          <cell r="F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S114">
            <v>0</v>
          </cell>
          <cell r="T114" t="str">
            <v>Roll over impact - Materials - Economical</v>
          </cell>
        </row>
        <row r="115">
          <cell r="D115" t="str">
            <v>Roll over -Materials - VAVE</v>
          </cell>
          <cell r="E115">
            <v>0</v>
          </cell>
          <cell r="F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S115">
            <v>0</v>
          </cell>
          <cell r="T115" t="str">
            <v>Roll over -Materials - VAVE</v>
          </cell>
        </row>
        <row r="116">
          <cell r="D116" t="str">
            <v>Roll over - Direct Labor</v>
          </cell>
          <cell r="E116">
            <v>0</v>
          </cell>
          <cell r="F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S116">
            <v>0</v>
          </cell>
          <cell r="T116" t="str">
            <v>Roll over - Direct Labor</v>
          </cell>
        </row>
        <row r="117">
          <cell r="S117">
            <v>0</v>
          </cell>
          <cell r="T117">
            <v>0</v>
          </cell>
        </row>
        <row r="118">
          <cell r="D118" t="str">
            <v>DIRECT LABOR - Rate variance</v>
          </cell>
          <cell r="E118">
            <v>0</v>
          </cell>
          <cell r="F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S118">
            <v>0</v>
          </cell>
          <cell r="T118" t="str">
            <v>DIRECT LABOR - Rate variance</v>
          </cell>
        </row>
        <row r="119">
          <cell r="D119" t="str">
            <v>Direct Labor - Rate Variance</v>
          </cell>
          <cell r="E119">
            <v>0</v>
          </cell>
          <cell r="F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S119">
            <v>0</v>
          </cell>
          <cell r="T119" t="str">
            <v>Direct Labor - Rate Variance</v>
          </cell>
        </row>
        <row r="120">
          <cell r="S120">
            <v>0</v>
          </cell>
          <cell r="T120">
            <v>0</v>
          </cell>
        </row>
        <row r="121">
          <cell r="D121" t="str">
            <v>ECONOMICAL PERFORMANCE</v>
          </cell>
          <cell r="E121">
            <v>0</v>
          </cell>
          <cell r="F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S121">
            <v>0</v>
          </cell>
          <cell r="T121" t="str">
            <v>ECONOMICAL PERFORMANCE</v>
          </cell>
        </row>
        <row r="122">
          <cell r="C122" t="str">
            <v>INDUSTRIAL 
PERFORMANCE</v>
          </cell>
          <cell r="D122" t="str">
            <v>START-UP COSTS</v>
          </cell>
          <cell r="E122">
            <v>0</v>
          </cell>
          <cell r="F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S122" t="str">
            <v>INDUSTRIAL 
PERFORMANCE</v>
          </cell>
          <cell r="T122" t="str">
            <v>START-UP COSTS</v>
          </cell>
        </row>
        <row r="123">
          <cell r="D123" t="str">
            <v>Materials</v>
          </cell>
          <cell r="E123">
            <v>0</v>
          </cell>
          <cell r="F123">
            <v>0</v>
          </cell>
          <cell r="H123">
            <v>0</v>
          </cell>
          <cell r="J123">
            <v>0</v>
          </cell>
          <cell r="L123">
            <v>0</v>
          </cell>
          <cell r="S123">
            <v>0</v>
          </cell>
          <cell r="T123" t="str">
            <v>Materials</v>
          </cell>
        </row>
        <row r="124">
          <cell r="D124" t="str">
            <v>Direct Labor</v>
          </cell>
          <cell r="E124">
            <v>0</v>
          </cell>
          <cell r="F124">
            <v>0</v>
          </cell>
          <cell r="H124">
            <v>0</v>
          </cell>
          <cell r="J124">
            <v>0</v>
          </cell>
          <cell r="L124">
            <v>0</v>
          </cell>
          <cell r="S124">
            <v>0</v>
          </cell>
          <cell r="T124" t="str">
            <v>Direct Labor</v>
          </cell>
        </row>
        <row r="125">
          <cell r="S125">
            <v>0</v>
          </cell>
          <cell r="T125">
            <v>0</v>
          </cell>
        </row>
        <row r="126">
          <cell r="D126" t="str">
            <v>MATERIAL</v>
          </cell>
          <cell r="E126">
            <v>0</v>
          </cell>
          <cell r="F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S126">
            <v>0</v>
          </cell>
          <cell r="T126" t="str">
            <v>MATERIAL</v>
          </cell>
        </row>
        <row r="127">
          <cell r="D127" t="str">
            <v>Scrap variance</v>
          </cell>
          <cell r="E127">
            <v>0</v>
          </cell>
          <cell r="F127">
            <v>0</v>
          </cell>
          <cell r="H127">
            <v>0</v>
          </cell>
          <cell r="I127">
            <v>0</v>
          </cell>
          <cell r="J127">
            <v>0</v>
          </cell>
          <cell r="L127">
            <v>0</v>
          </cell>
          <cell r="S127">
            <v>0</v>
          </cell>
          <cell r="T127" t="str">
            <v>Scrap variance</v>
          </cell>
        </row>
        <row r="128">
          <cell r="D128" t="str">
            <v>Physical inventory variance</v>
          </cell>
          <cell r="E128">
            <v>0</v>
          </cell>
          <cell r="F128">
            <v>0</v>
          </cell>
          <cell r="H128">
            <v>0</v>
          </cell>
          <cell r="J128">
            <v>0</v>
          </cell>
          <cell r="L128">
            <v>0</v>
          </cell>
          <cell r="S128">
            <v>0</v>
          </cell>
          <cell r="T128" t="str">
            <v>Physical inventory variance</v>
          </cell>
        </row>
        <row r="129">
          <cell r="D129" t="str">
            <v>Exceptional subcontracting</v>
          </cell>
          <cell r="E129">
            <v>0</v>
          </cell>
          <cell r="F129">
            <v>0</v>
          </cell>
          <cell r="H129">
            <v>0</v>
          </cell>
          <cell r="J129">
            <v>0</v>
          </cell>
          <cell r="L129">
            <v>0</v>
          </cell>
          <cell r="S129">
            <v>0</v>
          </cell>
          <cell r="T129" t="str">
            <v>Exceptional subcontracting</v>
          </cell>
        </row>
        <row r="130">
          <cell r="D130" t="str">
            <v>Normal incoming freight</v>
          </cell>
          <cell r="E130">
            <v>0</v>
          </cell>
          <cell r="F130">
            <v>0</v>
          </cell>
          <cell r="H130">
            <v>0</v>
          </cell>
          <cell r="I130">
            <v>0</v>
          </cell>
          <cell r="J130">
            <v>0</v>
          </cell>
          <cell r="L130">
            <v>0</v>
          </cell>
          <cell r="S130">
            <v>0</v>
          </cell>
          <cell r="T130" t="str">
            <v>Normal incoming freight</v>
          </cell>
        </row>
        <row r="131">
          <cell r="D131" t="str">
            <v>Exceptional Income freight</v>
          </cell>
          <cell r="E131">
            <v>0</v>
          </cell>
          <cell r="F131">
            <v>0</v>
          </cell>
          <cell r="H131">
            <v>0</v>
          </cell>
          <cell r="J131">
            <v>0</v>
          </cell>
          <cell r="L131">
            <v>0</v>
          </cell>
          <cell r="S131">
            <v>0</v>
          </cell>
          <cell r="T131" t="str">
            <v>Exceptional Income freight</v>
          </cell>
        </row>
        <row r="132">
          <cell r="D132" t="str">
            <v>Manufacturing variance</v>
          </cell>
          <cell r="E132">
            <v>0</v>
          </cell>
          <cell r="F132">
            <v>0</v>
          </cell>
          <cell r="H132">
            <v>0</v>
          </cell>
          <cell r="J132">
            <v>0</v>
          </cell>
          <cell r="L132">
            <v>0</v>
          </cell>
          <cell r="S132">
            <v>0</v>
          </cell>
          <cell r="T132" t="str">
            <v>Manufacturing variance</v>
          </cell>
        </row>
        <row r="133">
          <cell r="D133" t="str">
            <v>Inventory depreciation / extinction</v>
          </cell>
          <cell r="E133">
            <v>0</v>
          </cell>
          <cell r="F133">
            <v>0</v>
          </cell>
          <cell r="H133">
            <v>0</v>
          </cell>
          <cell r="J133">
            <v>0</v>
          </cell>
          <cell r="L133">
            <v>0</v>
          </cell>
          <cell r="S133">
            <v>0</v>
          </cell>
          <cell r="T133" t="str">
            <v>Inventory depreciation / extinction</v>
          </cell>
        </row>
        <row r="134">
          <cell r="S134">
            <v>0</v>
          </cell>
          <cell r="T134">
            <v>0</v>
          </cell>
        </row>
        <row r="135">
          <cell r="D135" t="str">
            <v>DL - Calendarization, Cost of unemployment &amp; other economical</v>
          </cell>
          <cell r="E135">
            <v>0</v>
          </cell>
          <cell r="F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S135">
            <v>0</v>
          </cell>
          <cell r="T135" t="str">
            <v>DL - Calendarization, Cost of unemployment &amp; other economical</v>
          </cell>
        </row>
        <row r="136">
          <cell r="D136" t="str">
            <v>Direct Labor - Calendarization</v>
          </cell>
          <cell r="E136">
            <v>0</v>
          </cell>
          <cell r="F136">
            <v>0</v>
          </cell>
          <cell r="H136">
            <v>0</v>
          </cell>
          <cell r="I136">
            <v>0</v>
          </cell>
          <cell r="J136">
            <v>0</v>
          </cell>
          <cell r="L136">
            <v>0</v>
          </cell>
          <cell r="S136">
            <v>0</v>
          </cell>
          <cell r="T136" t="str">
            <v>Direct Labor - Calendarization</v>
          </cell>
        </row>
        <row r="137">
          <cell r="D137" t="str">
            <v>Direct Labor - Other economical variances</v>
          </cell>
          <cell r="E137">
            <v>0</v>
          </cell>
          <cell r="F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</v>
          </cell>
          <cell r="S137">
            <v>0</v>
          </cell>
          <cell r="T137" t="str">
            <v>Direct Labor - Other economical variances</v>
          </cell>
        </row>
        <row r="138">
          <cell r="S138">
            <v>0</v>
          </cell>
          <cell r="T138">
            <v>0</v>
          </cell>
        </row>
        <row r="139">
          <cell r="D139" t="str">
            <v>DL - Efficiency variances</v>
          </cell>
          <cell r="E139">
            <v>-223</v>
          </cell>
          <cell r="F139">
            <v>0</v>
          </cell>
          <cell r="H139">
            <v>223</v>
          </cell>
          <cell r="I139">
            <v>0</v>
          </cell>
          <cell r="J139">
            <v>0</v>
          </cell>
          <cell r="K139">
            <v>0</v>
          </cell>
          <cell r="L139">
            <v>223</v>
          </cell>
          <cell r="S139">
            <v>0</v>
          </cell>
          <cell r="T139" t="str">
            <v>DL - Efficiency variances</v>
          </cell>
        </row>
        <row r="140">
          <cell r="D140" t="str">
            <v>Direct Labor - Efficiency Variance</v>
          </cell>
          <cell r="E140">
            <v>-223</v>
          </cell>
          <cell r="F140">
            <v>0</v>
          </cell>
          <cell r="H140">
            <v>223</v>
          </cell>
          <cell r="I140">
            <v>0</v>
          </cell>
          <cell r="J140">
            <v>0</v>
          </cell>
          <cell r="L140">
            <v>223</v>
          </cell>
          <cell r="S140">
            <v>0</v>
          </cell>
          <cell r="T140" t="str">
            <v>Direct Labor - Efficiency Variance</v>
          </cell>
        </row>
        <row r="141">
          <cell r="D141" t="str">
            <v>Direct Labor - additional needs of headcount (quality walls…)</v>
          </cell>
          <cell r="E141">
            <v>0</v>
          </cell>
          <cell r="F141">
            <v>0</v>
          </cell>
          <cell r="H141">
            <v>0</v>
          </cell>
          <cell r="I141">
            <v>0</v>
          </cell>
          <cell r="J141">
            <v>0</v>
          </cell>
          <cell r="L141">
            <v>0</v>
          </cell>
          <cell r="S141">
            <v>0</v>
          </cell>
          <cell r="T141" t="str">
            <v>Direct Labor - additional needs of headcount (quality walls…)</v>
          </cell>
        </row>
        <row r="142">
          <cell r="D142" t="str">
            <v>Direct Labor - Logistics efficiency variances</v>
          </cell>
          <cell r="E142">
            <v>0</v>
          </cell>
          <cell r="F142">
            <v>0</v>
          </cell>
          <cell r="H142">
            <v>0</v>
          </cell>
          <cell r="I142">
            <v>0</v>
          </cell>
          <cell r="J142">
            <v>0</v>
          </cell>
          <cell r="L142">
            <v>0</v>
          </cell>
          <cell r="S142">
            <v>0</v>
          </cell>
          <cell r="T142" t="str">
            <v>Direct Labor - Logistics efficiency variances</v>
          </cell>
        </row>
        <row r="143">
          <cell r="S143">
            <v>0</v>
          </cell>
          <cell r="T143">
            <v>0</v>
          </cell>
        </row>
        <row r="144">
          <cell r="D144" t="str">
            <v>FREIGHT-OUT Variance</v>
          </cell>
          <cell r="E144">
            <v>0</v>
          </cell>
          <cell r="F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S144">
            <v>0</v>
          </cell>
          <cell r="T144" t="str">
            <v>FREIGHT-OUT Variance</v>
          </cell>
        </row>
        <row r="145">
          <cell r="D145" t="str">
            <v>Exceptional Freight-out</v>
          </cell>
          <cell r="E145">
            <v>0</v>
          </cell>
          <cell r="F145">
            <v>0</v>
          </cell>
          <cell r="H145">
            <v>0</v>
          </cell>
          <cell r="I145">
            <v>0</v>
          </cell>
          <cell r="J145">
            <v>0</v>
          </cell>
          <cell r="L145">
            <v>0</v>
          </cell>
          <cell r="S145">
            <v>0</v>
          </cell>
          <cell r="T145" t="str">
            <v>Exceptional Freight-out</v>
          </cell>
        </row>
        <row r="146">
          <cell r="S146">
            <v>0</v>
          </cell>
          <cell r="T146">
            <v>0</v>
          </cell>
        </row>
        <row r="147">
          <cell r="D147" t="str">
            <v>INDUSTRIAL PERFORMANCE</v>
          </cell>
          <cell r="E147">
            <v>-223</v>
          </cell>
          <cell r="F147">
            <v>0</v>
          </cell>
          <cell r="H147">
            <v>223</v>
          </cell>
          <cell r="I147">
            <v>0</v>
          </cell>
          <cell r="J147">
            <v>0</v>
          </cell>
          <cell r="K147">
            <v>0</v>
          </cell>
          <cell r="L147">
            <v>223</v>
          </cell>
          <cell r="S147">
            <v>0</v>
          </cell>
          <cell r="T147" t="str">
            <v>INDUSTRIAL PERFORMANCE</v>
          </cell>
        </row>
        <row r="149">
          <cell r="C149" t="str">
            <v>ACTUAL</v>
          </cell>
          <cell r="S149" t="str">
            <v>ACTUAL</v>
          </cell>
        </row>
        <row r="150">
          <cell r="C150" t="str">
            <v>Sales</v>
          </cell>
          <cell r="E150">
            <v>0</v>
          </cell>
          <cell r="F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S150" t="str">
            <v>Sales</v>
          </cell>
        </row>
        <row r="151">
          <cell r="C151" t="str">
            <v>Materials</v>
          </cell>
          <cell r="E151">
            <v>0</v>
          </cell>
          <cell r="F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S151" t="str">
            <v>Materials</v>
          </cell>
        </row>
        <row r="152">
          <cell r="C152" t="str">
            <v>% of pdt sales wo Mono.</v>
          </cell>
          <cell r="E152" t="str">
            <v/>
          </cell>
          <cell r="F152" t="str">
            <v/>
          </cell>
        </row>
        <row r="153">
          <cell r="C153" t="str">
            <v>Direct Labor Cost</v>
          </cell>
          <cell r="E153">
            <v>-223</v>
          </cell>
          <cell r="F153">
            <v>0</v>
          </cell>
          <cell r="H153">
            <v>223</v>
          </cell>
          <cell r="I153">
            <v>0</v>
          </cell>
          <cell r="J153">
            <v>0</v>
          </cell>
          <cell r="K153">
            <v>0</v>
          </cell>
          <cell r="L153">
            <v>223</v>
          </cell>
          <cell r="S153" t="str">
            <v>Direct Labor Cost</v>
          </cell>
        </row>
        <row r="154">
          <cell r="C154" t="str">
            <v>% of pdt sales wo Mono.</v>
          </cell>
          <cell r="E154" t="str">
            <v/>
          </cell>
          <cell r="F154" t="str">
            <v/>
          </cell>
        </row>
        <row r="155">
          <cell r="C155" t="str">
            <v>Freight-out</v>
          </cell>
          <cell r="E155">
            <v>-144</v>
          </cell>
          <cell r="F155">
            <v>0</v>
          </cell>
          <cell r="H155">
            <v>144</v>
          </cell>
          <cell r="I155">
            <v>144</v>
          </cell>
          <cell r="J155">
            <v>0</v>
          </cell>
          <cell r="K155">
            <v>0</v>
          </cell>
          <cell r="L155">
            <v>0</v>
          </cell>
          <cell r="S155" t="str">
            <v>Freight-out</v>
          </cell>
        </row>
        <row r="156">
          <cell r="C156" t="str">
            <v>% of pdt sales wo Mono.</v>
          </cell>
          <cell r="E156" t="str">
            <v/>
          </cell>
          <cell r="F156" t="str">
            <v/>
          </cell>
        </row>
        <row r="157">
          <cell r="C157" t="str">
            <v>VARIABLE COST MARGIN - ACTUAL</v>
          </cell>
          <cell r="E157">
            <v>-367</v>
          </cell>
          <cell r="F157">
            <v>0</v>
          </cell>
          <cell r="H157">
            <v>367</v>
          </cell>
          <cell r="I157">
            <v>144</v>
          </cell>
          <cell r="J157">
            <v>0</v>
          </cell>
          <cell r="K157">
            <v>0</v>
          </cell>
          <cell r="L157">
            <v>223</v>
          </cell>
          <cell r="S157" t="str">
            <v>VARIABLE COST MARGIN - ACTUAL</v>
          </cell>
        </row>
        <row r="158">
          <cell r="C158" t="str">
            <v>% of pdt sales wo Mono.</v>
          </cell>
          <cell r="E158" t="str">
            <v/>
          </cell>
          <cell r="F158" t="str">
            <v/>
          </cell>
        </row>
        <row r="160">
          <cell r="B160" t="str">
            <v>OPERATING INCOME</v>
          </cell>
          <cell r="C160" t="str">
            <v>Indirect Labor Costs</v>
          </cell>
          <cell r="E160">
            <v>-144</v>
          </cell>
          <cell r="F160">
            <v>0</v>
          </cell>
          <cell r="H160">
            <v>144</v>
          </cell>
          <cell r="J160">
            <v>0</v>
          </cell>
          <cell r="L160">
            <v>144</v>
          </cell>
          <cell r="R160" t="str">
            <v>OPERATING INCOME</v>
          </cell>
          <cell r="S160" t="str">
            <v>Indirect Labor Costs</v>
          </cell>
        </row>
        <row r="161">
          <cell r="C161" t="str">
            <v>Manufacturing Costs</v>
          </cell>
          <cell r="E161">
            <v>-345</v>
          </cell>
          <cell r="F161">
            <v>0</v>
          </cell>
          <cell r="H161">
            <v>345</v>
          </cell>
          <cell r="I161">
            <v>0</v>
          </cell>
          <cell r="J161">
            <v>0</v>
          </cell>
          <cell r="L161" t="e">
            <v>#DIV/0!</v>
          </cell>
          <cell r="S161" t="str">
            <v>Manufacturing Costs</v>
          </cell>
        </row>
        <row r="162">
          <cell r="C162" t="str">
            <v>Productive Equip. Depreciation</v>
          </cell>
          <cell r="E162">
            <v>0</v>
          </cell>
          <cell r="F162">
            <v>0</v>
          </cell>
          <cell r="H162">
            <v>0</v>
          </cell>
          <cell r="J162">
            <v>0</v>
          </cell>
          <cell r="L162">
            <v>0</v>
          </cell>
          <cell r="S162" t="str">
            <v>Productive Equip. Depreciation</v>
          </cell>
        </row>
        <row r="163">
          <cell r="C163" t="str">
            <v>Inventory Variance - Fixed Costs</v>
          </cell>
          <cell r="E163">
            <v>0</v>
          </cell>
          <cell r="F163">
            <v>0</v>
          </cell>
          <cell r="H163">
            <v>0</v>
          </cell>
          <cell r="J163">
            <v>0</v>
          </cell>
          <cell r="L163">
            <v>0</v>
          </cell>
          <cell r="S163" t="str">
            <v>Inventory Variance - Fixed Costs</v>
          </cell>
        </row>
        <row r="164">
          <cell r="C164" t="str">
            <v>Completion Losses Reserves</v>
          </cell>
          <cell r="E164">
            <v>0</v>
          </cell>
          <cell r="F164">
            <v>0</v>
          </cell>
          <cell r="H164">
            <v>0</v>
          </cell>
          <cell r="J164">
            <v>0</v>
          </cell>
          <cell r="L164">
            <v>0</v>
          </cell>
          <cell r="S164" t="str">
            <v>Completion Losses Reserves</v>
          </cell>
        </row>
        <row r="165">
          <cell r="C165" t="str">
            <v>GROSS MARGIN ON PROD SALES EXCL. MONO.</v>
          </cell>
          <cell r="E165">
            <v>-856</v>
          </cell>
          <cell r="F165">
            <v>0</v>
          </cell>
          <cell r="H165">
            <v>856</v>
          </cell>
          <cell r="I165">
            <v>144</v>
          </cell>
          <cell r="J165">
            <v>0</v>
          </cell>
          <cell r="K165">
            <v>0</v>
          </cell>
          <cell r="L165" t="e">
            <v>#DIV/0!</v>
          </cell>
          <cell r="S165" t="str">
            <v>GROSS MARGIN ON PROD SALES EXCL. MONO.</v>
          </cell>
        </row>
        <row r="166">
          <cell r="C166" t="str">
            <v>% of total sales</v>
          </cell>
          <cell r="E166" t="str">
            <v/>
          </cell>
          <cell r="F166" t="str">
            <v/>
          </cell>
        </row>
        <row r="168">
          <cell r="C168" t="str">
            <v>Tooling sales</v>
          </cell>
          <cell r="E168">
            <v>0</v>
          </cell>
          <cell r="F168">
            <v>0</v>
          </cell>
          <cell r="H168">
            <v>0</v>
          </cell>
          <cell r="J168">
            <v>0</v>
          </cell>
          <cell r="L168">
            <v>0</v>
          </cell>
          <cell r="S168" t="str">
            <v>Tooling sales</v>
          </cell>
        </row>
        <row r="169">
          <cell r="C169" t="str">
            <v>Gross Margin on Tooling</v>
          </cell>
          <cell r="E169">
            <v>0</v>
          </cell>
          <cell r="F169">
            <v>0</v>
          </cell>
          <cell r="H169">
            <v>0</v>
          </cell>
          <cell r="J169">
            <v>0</v>
          </cell>
          <cell r="L169">
            <v>0</v>
          </cell>
          <cell r="S169" t="str">
            <v>Gross Margin on Tooling</v>
          </cell>
        </row>
        <row r="170">
          <cell r="C170" t="str">
            <v>Engineering / Prototype Sales</v>
          </cell>
          <cell r="E170">
            <v>288</v>
          </cell>
          <cell r="F170">
            <v>54</v>
          </cell>
          <cell r="H170">
            <v>-234</v>
          </cell>
          <cell r="I170">
            <v>0</v>
          </cell>
          <cell r="J170">
            <v>0</v>
          </cell>
          <cell r="L170">
            <v>-234</v>
          </cell>
          <cell r="S170" t="str">
            <v>Engineering / Prototype Sales</v>
          </cell>
        </row>
        <row r="171">
          <cell r="C171" t="str">
            <v>Monoliths Sales</v>
          </cell>
          <cell r="E171">
            <v>0</v>
          </cell>
          <cell r="F171">
            <v>0</v>
          </cell>
          <cell r="H171">
            <v>0</v>
          </cell>
          <cell r="I171">
            <v>0</v>
          </cell>
          <cell r="J171">
            <v>0</v>
          </cell>
          <cell r="L171">
            <v>0</v>
          </cell>
          <cell r="S171" t="str">
            <v>Monoliths Sales</v>
          </cell>
        </row>
        <row r="172">
          <cell r="C172" t="str">
            <v>Gross Margin on Monoliths</v>
          </cell>
          <cell r="E172">
            <v>0</v>
          </cell>
          <cell r="F172">
            <v>-1</v>
          </cell>
          <cell r="H172">
            <v>-1</v>
          </cell>
          <cell r="I172">
            <v>0</v>
          </cell>
          <cell r="J172">
            <v>0</v>
          </cell>
          <cell r="L172">
            <v>-1</v>
          </cell>
          <cell r="S172" t="str">
            <v>Gross Margin on Monoliths</v>
          </cell>
        </row>
        <row r="173">
          <cell r="C173" t="str">
            <v>Services &amp; Royalties Sales</v>
          </cell>
          <cell r="E173">
            <v>1993</v>
          </cell>
          <cell r="F173">
            <v>2527</v>
          </cell>
          <cell r="H173">
            <v>534</v>
          </cell>
          <cell r="J173">
            <v>0</v>
          </cell>
          <cell r="L173">
            <v>534</v>
          </cell>
          <cell r="S173" t="str">
            <v>Services &amp; Royalties Sales</v>
          </cell>
        </row>
        <row r="174">
          <cell r="C174" t="str">
            <v>Gross Margin on Service &amp; Royalties</v>
          </cell>
          <cell r="E174">
            <v>0</v>
          </cell>
          <cell r="F174">
            <v>-1</v>
          </cell>
          <cell r="H174">
            <v>-1</v>
          </cell>
          <cell r="J174">
            <v>0</v>
          </cell>
          <cell r="L174">
            <v>-1</v>
          </cell>
          <cell r="S174" t="str">
            <v>Gross Margin on Service &amp; Royalties</v>
          </cell>
        </row>
        <row r="175">
          <cell r="C175" t="str">
            <v>TOTAL SALES</v>
          </cell>
          <cell r="E175">
            <v>2281</v>
          </cell>
          <cell r="F175">
            <v>2581</v>
          </cell>
          <cell r="H175">
            <v>300</v>
          </cell>
          <cell r="I175">
            <v>0</v>
          </cell>
          <cell r="J175">
            <v>0</v>
          </cell>
          <cell r="K175">
            <v>0</v>
          </cell>
          <cell r="L175">
            <v>300</v>
          </cell>
          <cell r="S175" t="str">
            <v>TOTAL SALES</v>
          </cell>
        </row>
        <row r="176">
          <cell r="C176" t="str">
            <v>GROSS MARGIN</v>
          </cell>
          <cell r="E176">
            <v>-856</v>
          </cell>
          <cell r="F176">
            <v>-2</v>
          </cell>
          <cell r="H176">
            <v>854</v>
          </cell>
          <cell r="I176">
            <v>144</v>
          </cell>
          <cell r="J176">
            <v>0</v>
          </cell>
          <cell r="K176">
            <v>0</v>
          </cell>
          <cell r="L176" t="e">
            <v>#DIV/0!</v>
          </cell>
          <cell r="S176" t="str">
            <v>GROSS MARGIN</v>
          </cell>
        </row>
        <row r="177">
          <cell r="C177" t="str">
            <v>% of total sales</v>
          </cell>
          <cell r="E177">
            <v>-0.37527400263042526</v>
          </cell>
          <cell r="F177">
            <v>-7.7489345215032935E-4</v>
          </cell>
        </row>
        <row r="179">
          <cell r="C179" t="str">
            <v>R&amp;D Expenses</v>
          </cell>
          <cell r="E179">
            <v>-222</v>
          </cell>
          <cell r="F179">
            <v>-474</v>
          </cell>
          <cell r="H179">
            <v>-252</v>
          </cell>
          <cell r="I179">
            <v>0</v>
          </cell>
          <cell r="J179">
            <v>0</v>
          </cell>
          <cell r="L179">
            <v>-252</v>
          </cell>
          <cell r="S179" t="str">
            <v>R&amp;D Expenses</v>
          </cell>
        </row>
        <row r="180">
          <cell r="C180" t="str">
            <v>SG&amp;A Gross Expenses</v>
          </cell>
          <cell r="E180">
            <v>-1169</v>
          </cell>
          <cell r="F180">
            <v>-1083</v>
          </cell>
          <cell r="H180">
            <v>86</v>
          </cell>
          <cell r="J180">
            <v>0</v>
          </cell>
          <cell r="K180">
            <v>86</v>
          </cell>
          <cell r="S180" t="str">
            <v>SG&amp;A Gross Expenses</v>
          </cell>
        </row>
        <row r="181">
          <cell r="C181" t="str">
            <v>SG&amp;A Service Management Fees</v>
          </cell>
          <cell r="E181">
            <v>1120</v>
          </cell>
          <cell r="F181">
            <v>1120</v>
          </cell>
          <cell r="H181">
            <v>0</v>
          </cell>
          <cell r="K181">
            <v>0</v>
          </cell>
          <cell r="S181" t="str">
            <v>SG&amp;A Service Management Fees</v>
          </cell>
        </row>
        <row r="183">
          <cell r="C183" t="str">
            <v>OPERATING MARGIN</v>
          </cell>
          <cell r="E183">
            <v>-1127</v>
          </cell>
          <cell r="F183">
            <v>-439</v>
          </cell>
          <cell r="H183">
            <v>688</v>
          </cell>
          <cell r="I183">
            <v>144</v>
          </cell>
          <cell r="J183">
            <v>0</v>
          </cell>
          <cell r="K183">
            <v>86</v>
          </cell>
          <cell r="L183" t="e">
            <v>#DIV/0!</v>
          </cell>
          <cell r="S183" t="str">
            <v>OPERATING MARGIN</v>
          </cell>
        </row>
        <row r="184">
          <cell r="C184" t="str">
            <v>% of total sales</v>
          </cell>
          <cell r="E184">
            <v>-0.49408154318281455</v>
          </cell>
          <cell r="F184">
            <v>-0.17008911274699728</v>
          </cell>
        </row>
        <row r="185">
          <cell r="C185" t="str">
            <v>(1) Volume Impact on "Variances versus standard" and Monoliths is based on the standard sales, Actual vs Budget</v>
          </cell>
        </row>
        <row r="186">
          <cell r="C186" t="str">
            <v>(2) 30% of the manufacturing costs are considered variable, a volume impact is calculated on this 30%, based on the standard sales.</v>
          </cell>
        </row>
        <row r="187">
          <cell r="C187" t="str">
            <v>(3) - Piece price sales are directly linked with volumes variations</v>
          </cell>
        </row>
        <row r="188">
          <cell r="C188" t="str">
            <v>- Volume impact on Piece Price Sales = Volume on R&amp;D Expenses (if  we consider that amortization is calculated on a linear basis).</v>
          </cell>
        </row>
      </sheetData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0">
    <sheetNames>
      <sheetName val="parameters"/>
      <sheetName val="volumes"/>
      <sheetName val="prices"/>
      <sheetName val="development"/>
      <sheetName val="investment"/>
      <sheetName val="SYNT"/>
      <sheetName val="ASSP"/>
      <sheetName val="P&amp;L"/>
      <sheetName val="PRD"/>
      <sheetName val="WCR"/>
      <sheetName val="CASH"/>
      <sheetName val="R&amp;O"/>
      <sheetName val="INV"/>
      <sheetName val="PRG"/>
      <sheetName val="calculations"/>
      <sheetName val="sensitivities"/>
    </sheetNames>
    <sheetDataSet>
      <sheetData sheetId="0"/>
      <sheetData sheetId="1" refreshError="1"/>
      <sheetData sheetId="2" refreshError="1"/>
      <sheetData sheetId="3" refreshError="1">
        <row r="11">
          <cell r="A11" t="str">
            <v>MONTH</v>
          </cell>
          <cell r="B11" t="str">
            <v>YEAR</v>
          </cell>
          <cell r="N11" t="str">
            <v>E_CP</v>
          </cell>
          <cell r="T11" t="str">
            <v>P_CP</v>
          </cell>
          <cell r="U11" t="str">
            <v>T_TC</v>
          </cell>
          <cell r="V11" t="str">
            <v>T_CP</v>
          </cell>
          <cell r="AF11" t="str">
            <v>E_TC</v>
          </cell>
          <cell r="AG11" t="str">
            <v>P_TC</v>
          </cell>
        </row>
        <row r="12">
          <cell r="A12" t="str">
            <v>January</v>
          </cell>
          <cell r="B12">
            <v>2002</v>
          </cell>
          <cell r="C12">
            <v>20</v>
          </cell>
          <cell r="D12">
            <v>20</v>
          </cell>
          <cell r="E12">
            <v>20</v>
          </cell>
          <cell r="F12">
            <v>15</v>
          </cell>
          <cell r="G12">
            <v>10</v>
          </cell>
          <cell r="H12">
            <v>10</v>
          </cell>
          <cell r="I12">
            <v>25</v>
          </cell>
          <cell r="J12">
            <v>25</v>
          </cell>
          <cell r="W12">
            <v>75</v>
          </cell>
          <cell r="X12">
            <v>1.5</v>
          </cell>
          <cell r="Y12">
            <v>1.5</v>
          </cell>
          <cell r="Z12">
            <v>1.5</v>
          </cell>
          <cell r="AA12">
            <v>1.125</v>
          </cell>
          <cell r="AB12">
            <v>0.75</v>
          </cell>
          <cell r="AC12">
            <v>0.75</v>
          </cell>
          <cell r="AD12">
            <v>1.875</v>
          </cell>
          <cell r="AE12">
            <v>1.875</v>
          </cell>
          <cell r="AF12">
            <v>10.875</v>
          </cell>
          <cell r="AG12">
            <v>0</v>
          </cell>
        </row>
        <row r="13">
          <cell r="A13" t="str">
            <v>February</v>
          </cell>
          <cell r="B13">
            <v>2002</v>
          </cell>
          <cell r="C13">
            <v>20</v>
          </cell>
          <cell r="D13">
            <v>20</v>
          </cell>
          <cell r="E13">
            <v>20</v>
          </cell>
          <cell r="F13">
            <v>15</v>
          </cell>
          <cell r="G13">
            <v>10</v>
          </cell>
          <cell r="H13">
            <v>10</v>
          </cell>
          <cell r="I13">
            <v>25</v>
          </cell>
          <cell r="J13">
            <v>25</v>
          </cell>
          <cell r="K13">
            <v>10</v>
          </cell>
          <cell r="L13">
            <v>4</v>
          </cell>
          <cell r="M13">
            <v>16</v>
          </cell>
          <cell r="W13">
            <v>75</v>
          </cell>
          <cell r="X13">
            <v>1.5</v>
          </cell>
          <cell r="Y13">
            <v>1.5</v>
          </cell>
          <cell r="Z13">
            <v>1.5</v>
          </cell>
          <cell r="AA13">
            <v>1.125</v>
          </cell>
          <cell r="AB13">
            <v>0.75</v>
          </cell>
          <cell r="AC13">
            <v>0.75</v>
          </cell>
          <cell r="AD13">
            <v>1.875</v>
          </cell>
          <cell r="AE13">
            <v>1.875</v>
          </cell>
          <cell r="AF13">
            <v>40.875</v>
          </cell>
          <cell r="AG13">
            <v>0</v>
          </cell>
        </row>
        <row r="14">
          <cell r="A14" t="str">
            <v>March</v>
          </cell>
          <cell r="B14">
            <v>2002</v>
          </cell>
          <cell r="C14">
            <v>20</v>
          </cell>
          <cell r="D14">
            <v>20</v>
          </cell>
          <cell r="E14">
            <v>20</v>
          </cell>
          <cell r="F14">
            <v>15</v>
          </cell>
          <cell r="G14">
            <v>10</v>
          </cell>
          <cell r="H14">
            <v>10</v>
          </cell>
          <cell r="I14">
            <v>25</v>
          </cell>
          <cell r="J14">
            <v>25</v>
          </cell>
          <cell r="K14">
            <v>11</v>
          </cell>
          <cell r="L14">
            <v>2</v>
          </cell>
          <cell r="M14">
            <v>16</v>
          </cell>
          <cell r="W14">
            <v>75</v>
          </cell>
          <cell r="X14">
            <v>1.5</v>
          </cell>
          <cell r="Y14">
            <v>1.5</v>
          </cell>
          <cell r="Z14">
            <v>1.5</v>
          </cell>
          <cell r="AA14">
            <v>1.125</v>
          </cell>
          <cell r="AB14">
            <v>0.75</v>
          </cell>
          <cell r="AC14">
            <v>0.75</v>
          </cell>
          <cell r="AD14">
            <v>1.875</v>
          </cell>
          <cell r="AE14">
            <v>1.875</v>
          </cell>
          <cell r="AF14">
            <v>39.875</v>
          </cell>
          <cell r="AG14">
            <v>0</v>
          </cell>
        </row>
        <row r="15">
          <cell r="A15" t="str">
            <v>April</v>
          </cell>
          <cell r="B15">
            <v>2002</v>
          </cell>
          <cell r="C15">
            <v>20</v>
          </cell>
          <cell r="D15">
            <v>20</v>
          </cell>
          <cell r="E15">
            <v>20</v>
          </cell>
          <cell r="F15">
            <v>15</v>
          </cell>
          <cell r="G15">
            <v>10</v>
          </cell>
          <cell r="H15">
            <v>10</v>
          </cell>
          <cell r="I15">
            <v>25</v>
          </cell>
          <cell r="J15">
            <v>25</v>
          </cell>
          <cell r="K15">
            <v>7</v>
          </cell>
          <cell r="L15">
            <v>2</v>
          </cell>
          <cell r="M15">
            <v>16</v>
          </cell>
          <cell r="R15">
            <v>30</v>
          </cell>
          <cell r="S15">
            <v>20</v>
          </cell>
          <cell r="W15">
            <v>75</v>
          </cell>
          <cell r="X15">
            <v>1.5</v>
          </cell>
          <cell r="Y15">
            <v>1.5</v>
          </cell>
          <cell r="Z15">
            <v>1.5</v>
          </cell>
          <cell r="AA15">
            <v>1.125</v>
          </cell>
          <cell r="AB15">
            <v>0.75</v>
          </cell>
          <cell r="AC15">
            <v>0.75</v>
          </cell>
          <cell r="AD15">
            <v>1.875</v>
          </cell>
          <cell r="AE15">
            <v>1.875</v>
          </cell>
          <cell r="AF15">
            <v>35.875</v>
          </cell>
          <cell r="AG15">
            <v>50</v>
          </cell>
        </row>
        <row r="16">
          <cell r="A16" t="str">
            <v>May</v>
          </cell>
          <cell r="B16">
            <v>2002</v>
          </cell>
          <cell r="C16">
            <v>20</v>
          </cell>
          <cell r="D16">
            <v>20</v>
          </cell>
          <cell r="E16">
            <v>20</v>
          </cell>
          <cell r="F16">
            <v>15</v>
          </cell>
          <cell r="G16">
            <v>10</v>
          </cell>
          <cell r="H16">
            <v>10</v>
          </cell>
          <cell r="I16">
            <v>25</v>
          </cell>
          <cell r="J16">
            <v>25</v>
          </cell>
          <cell r="K16">
            <v>7</v>
          </cell>
          <cell r="L16">
            <v>2</v>
          </cell>
          <cell r="M16">
            <v>16</v>
          </cell>
          <cell r="T16">
            <v>55</v>
          </cell>
          <cell r="W16">
            <v>75</v>
          </cell>
          <cell r="X16">
            <v>1.5</v>
          </cell>
          <cell r="Y16">
            <v>1.5</v>
          </cell>
          <cell r="Z16">
            <v>1.5</v>
          </cell>
          <cell r="AA16">
            <v>1.125</v>
          </cell>
          <cell r="AB16">
            <v>0.75</v>
          </cell>
          <cell r="AC16">
            <v>0.75</v>
          </cell>
          <cell r="AD16">
            <v>1.875</v>
          </cell>
          <cell r="AE16">
            <v>1.875</v>
          </cell>
          <cell r="AF16">
            <v>35.875</v>
          </cell>
          <cell r="AG16">
            <v>0</v>
          </cell>
        </row>
        <row r="17">
          <cell r="A17" t="str">
            <v>June</v>
          </cell>
          <cell r="B17">
            <v>2002</v>
          </cell>
          <cell r="C17">
            <v>20</v>
          </cell>
          <cell r="D17">
            <v>20</v>
          </cell>
          <cell r="E17">
            <v>20</v>
          </cell>
          <cell r="F17">
            <v>15</v>
          </cell>
          <cell r="G17">
            <v>10</v>
          </cell>
          <cell r="H17">
            <v>10</v>
          </cell>
          <cell r="I17">
            <v>25</v>
          </cell>
          <cell r="J17">
            <v>25</v>
          </cell>
          <cell r="K17">
            <v>7</v>
          </cell>
          <cell r="L17">
            <v>2</v>
          </cell>
          <cell r="M17">
            <v>16</v>
          </cell>
          <cell r="W17">
            <v>75</v>
          </cell>
          <cell r="X17">
            <v>1.5</v>
          </cell>
          <cell r="Y17">
            <v>1.5</v>
          </cell>
          <cell r="Z17">
            <v>1.5</v>
          </cell>
          <cell r="AA17">
            <v>1.125</v>
          </cell>
          <cell r="AB17">
            <v>0.75</v>
          </cell>
          <cell r="AC17">
            <v>0.75</v>
          </cell>
          <cell r="AD17">
            <v>1.875</v>
          </cell>
          <cell r="AE17">
            <v>1.875</v>
          </cell>
          <cell r="AF17">
            <v>35.875</v>
          </cell>
          <cell r="AG17">
            <v>0</v>
          </cell>
        </row>
        <row r="18">
          <cell r="A18" t="str">
            <v>July</v>
          </cell>
          <cell r="B18">
            <v>2002</v>
          </cell>
          <cell r="C18">
            <v>20</v>
          </cell>
          <cell r="D18">
            <v>20</v>
          </cell>
          <cell r="E18">
            <v>20</v>
          </cell>
          <cell r="F18">
            <v>15</v>
          </cell>
          <cell r="G18">
            <v>10</v>
          </cell>
          <cell r="H18">
            <v>10</v>
          </cell>
          <cell r="I18">
            <v>25</v>
          </cell>
          <cell r="J18">
            <v>25</v>
          </cell>
          <cell r="K18">
            <v>7</v>
          </cell>
          <cell r="L18">
            <v>2</v>
          </cell>
          <cell r="M18">
            <v>16</v>
          </cell>
          <cell r="W18">
            <v>75</v>
          </cell>
          <cell r="X18">
            <v>1.5</v>
          </cell>
          <cell r="Y18">
            <v>1.5</v>
          </cell>
          <cell r="Z18">
            <v>1.5</v>
          </cell>
          <cell r="AA18">
            <v>1.125</v>
          </cell>
          <cell r="AB18">
            <v>0.75</v>
          </cell>
          <cell r="AC18">
            <v>0.75</v>
          </cell>
          <cell r="AD18">
            <v>1.875</v>
          </cell>
          <cell r="AE18">
            <v>1.875</v>
          </cell>
          <cell r="AF18">
            <v>35.875</v>
          </cell>
          <cell r="AG18">
            <v>0</v>
          </cell>
        </row>
        <row r="19">
          <cell r="A19" t="str">
            <v>August</v>
          </cell>
          <cell r="B19">
            <v>2002</v>
          </cell>
          <cell r="C19">
            <v>20</v>
          </cell>
          <cell r="D19">
            <v>20</v>
          </cell>
          <cell r="E19">
            <v>20</v>
          </cell>
          <cell r="F19">
            <v>15</v>
          </cell>
          <cell r="G19">
            <v>10</v>
          </cell>
          <cell r="H19">
            <v>10</v>
          </cell>
          <cell r="I19">
            <v>25</v>
          </cell>
          <cell r="J19">
            <v>25</v>
          </cell>
          <cell r="K19">
            <v>7</v>
          </cell>
          <cell r="L19">
            <v>2</v>
          </cell>
          <cell r="M19">
            <v>16</v>
          </cell>
          <cell r="W19">
            <v>75</v>
          </cell>
          <cell r="X19">
            <v>1.5</v>
          </cell>
          <cell r="Y19">
            <v>1.5</v>
          </cell>
          <cell r="Z19">
            <v>1.5</v>
          </cell>
          <cell r="AA19">
            <v>1.125</v>
          </cell>
          <cell r="AB19">
            <v>0.75</v>
          </cell>
          <cell r="AC19">
            <v>0.75</v>
          </cell>
          <cell r="AD19">
            <v>1.875</v>
          </cell>
          <cell r="AE19">
            <v>1.875</v>
          </cell>
          <cell r="AF19">
            <v>35.875</v>
          </cell>
          <cell r="AG19">
            <v>0</v>
          </cell>
        </row>
        <row r="20">
          <cell r="A20" t="str">
            <v>September</v>
          </cell>
          <cell r="B20">
            <v>2002</v>
          </cell>
          <cell r="C20">
            <v>20</v>
          </cell>
          <cell r="D20">
            <v>20</v>
          </cell>
          <cell r="E20">
            <v>20</v>
          </cell>
          <cell r="F20">
            <v>15</v>
          </cell>
          <cell r="G20">
            <v>10</v>
          </cell>
          <cell r="H20">
            <v>10</v>
          </cell>
          <cell r="I20">
            <v>25</v>
          </cell>
          <cell r="J20">
            <v>25</v>
          </cell>
          <cell r="K20">
            <v>7</v>
          </cell>
          <cell r="L20">
            <v>2</v>
          </cell>
          <cell r="M20">
            <v>16</v>
          </cell>
          <cell r="O20">
            <v>20</v>
          </cell>
          <cell r="W20">
            <v>75</v>
          </cell>
          <cell r="X20">
            <v>1.5</v>
          </cell>
          <cell r="Y20">
            <v>1.5</v>
          </cell>
          <cell r="Z20">
            <v>1.5</v>
          </cell>
          <cell r="AA20">
            <v>1.125</v>
          </cell>
          <cell r="AB20">
            <v>0.75</v>
          </cell>
          <cell r="AC20">
            <v>0.75</v>
          </cell>
          <cell r="AD20">
            <v>1.875</v>
          </cell>
          <cell r="AE20">
            <v>1.875</v>
          </cell>
          <cell r="AF20">
            <v>35.875</v>
          </cell>
          <cell r="AG20">
            <v>20</v>
          </cell>
        </row>
        <row r="21">
          <cell r="A21" t="str">
            <v>October</v>
          </cell>
          <cell r="B21">
            <v>2002</v>
          </cell>
          <cell r="C21">
            <v>20</v>
          </cell>
          <cell r="D21">
            <v>20</v>
          </cell>
          <cell r="E21">
            <v>20</v>
          </cell>
          <cell r="F21">
            <v>15</v>
          </cell>
          <cell r="G21">
            <v>10</v>
          </cell>
          <cell r="H21">
            <v>10</v>
          </cell>
          <cell r="I21">
            <v>25</v>
          </cell>
          <cell r="J21">
            <v>25</v>
          </cell>
          <cell r="K21">
            <v>7</v>
          </cell>
          <cell r="L21">
            <v>2</v>
          </cell>
          <cell r="M21">
            <v>16</v>
          </cell>
          <cell r="O21">
            <v>20</v>
          </cell>
          <cell r="W21">
            <v>75</v>
          </cell>
          <cell r="X21">
            <v>1.5</v>
          </cell>
          <cell r="Y21">
            <v>1.5</v>
          </cell>
          <cell r="Z21">
            <v>1.5</v>
          </cell>
          <cell r="AA21">
            <v>1.125</v>
          </cell>
          <cell r="AB21">
            <v>0.75</v>
          </cell>
          <cell r="AC21">
            <v>0.75</v>
          </cell>
          <cell r="AD21">
            <v>1.875</v>
          </cell>
          <cell r="AE21">
            <v>1.875</v>
          </cell>
          <cell r="AF21">
            <v>35.875</v>
          </cell>
          <cell r="AG21">
            <v>20</v>
          </cell>
        </row>
        <row r="22">
          <cell r="A22" t="str">
            <v>November</v>
          </cell>
          <cell r="B22">
            <v>2002</v>
          </cell>
          <cell r="C22">
            <v>20</v>
          </cell>
          <cell r="D22">
            <v>20</v>
          </cell>
          <cell r="E22">
            <v>20</v>
          </cell>
          <cell r="F22">
            <v>15</v>
          </cell>
          <cell r="G22">
            <v>5</v>
          </cell>
          <cell r="H22">
            <v>10</v>
          </cell>
          <cell r="I22">
            <v>20</v>
          </cell>
          <cell r="J22">
            <v>20</v>
          </cell>
          <cell r="M22">
            <v>16</v>
          </cell>
          <cell r="O22">
            <v>7</v>
          </cell>
          <cell r="S22">
            <v>50</v>
          </cell>
          <cell r="W22">
            <v>75</v>
          </cell>
          <cell r="X22">
            <v>1.5</v>
          </cell>
          <cell r="Y22">
            <v>1.5</v>
          </cell>
          <cell r="Z22">
            <v>1.5</v>
          </cell>
          <cell r="AA22">
            <v>1.125</v>
          </cell>
          <cell r="AB22">
            <v>0.375</v>
          </cell>
          <cell r="AC22">
            <v>0.75</v>
          </cell>
          <cell r="AD22">
            <v>1.5</v>
          </cell>
          <cell r="AE22">
            <v>1.5</v>
          </cell>
          <cell r="AF22">
            <v>25.75</v>
          </cell>
          <cell r="AG22">
            <v>57</v>
          </cell>
        </row>
        <row r="23">
          <cell r="A23" t="str">
            <v>December</v>
          </cell>
          <cell r="B23">
            <v>2002</v>
          </cell>
          <cell r="C23">
            <v>20</v>
          </cell>
          <cell r="D23">
            <v>20</v>
          </cell>
          <cell r="E23">
            <v>20</v>
          </cell>
          <cell r="F23">
            <v>15</v>
          </cell>
          <cell r="G23">
            <v>5</v>
          </cell>
          <cell r="H23">
            <v>10</v>
          </cell>
          <cell r="I23">
            <v>20</v>
          </cell>
          <cell r="J23">
            <v>20</v>
          </cell>
          <cell r="M23">
            <v>5</v>
          </cell>
          <cell r="T23">
            <v>55</v>
          </cell>
          <cell r="U23">
            <v>79</v>
          </cell>
          <cell r="W23">
            <v>75</v>
          </cell>
          <cell r="X23">
            <v>1.5</v>
          </cell>
          <cell r="Y23">
            <v>1.5</v>
          </cell>
          <cell r="Z23">
            <v>1.5</v>
          </cell>
          <cell r="AA23">
            <v>1.125</v>
          </cell>
          <cell r="AB23">
            <v>0.375</v>
          </cell>
          <cell r="AC23">
            <v>0.75</v>
          </cell>
          <cell r="AD23">
            <v>1.5</v>
          </cell>
          <cell r="AE23">
            <v>1.5</v>
          </cell>
          <cell r="AF23">
            <v>14.75</v>
          </cell>
          <cell r="AG23">
            <v>0</v>
          </cell>
        </row>
        <row r="24">
          <cell r="A24" t="str">
            <v>January</v>
          </cell>
          <cell r="B24">
            <v>2003</v>
          </cell>
          <cell r="C24">
            <v>20</v>
          </cell>
          <cell r="D24">
            <v>20</v>
          </cell>
          <cell r="E24">
            <v>20</v>
          </cell>
          <cell r="F24">
            <v>15</v>
          </cell>
          <cell r="G24">
            <v>5</v>
          </cell>
          <cell r="H24">
            <v>10</v>
          </cell>
          <cell r="I24">
            <v>25</v>
          </cell>
          <cell r="J24">
            <v>25</v>
          </cell>
          <cell r="U24">
            <v>79</v>
          </cell>
          <cell r="W24">
            <v>75</v>
          </cell>
          <cell r="X24">
            <v>1.5</v>
          </cell>
          <cell r="Y24">
            <v>1.5</v>
          </cell>
          <cell r="Z24">
            <v>1.5</v>
          </cell>
          <cell r="AA24">
            <v>1.125</v>
          </cell>
          <cell r="AB24">
            <v>0.375</v>
          </cell>
          <cell r="AC24">
            <v>0.75</v>
          </cell>
          <cell r="AD24">
            <v>1.875</v>
          </cell>
          <cell r="AE24">
            <v>1.875</v>
          </cell>
          <cell r="AF24">
            <v>10.5</v>
          </cell>
          <cell r="AG24">
            <v>0</v>
          </cell>
        </row>
        <row r="25">
          <cell r="A25" t="str">
            <v>February</v>
          </cell>
          <cell r="B25">
            <v>2003</v>
          </cell>
          <cell r="C25">
            <v>20</v>
          </cell>
          <cell r="D25">
            <v>15</v>
          </cell>
          <cell r="E25">
            <v>20</v>
          </cell>
          <cell r="F25">
            <v>15</v>
          </cell>
          <cell r="G25">
            <v>5</v>
          </cell>
          <cell r="H25">
            <v>10</v>
          </cell>
          <cell r="I25">
            <v>25</v>
          </cell>
          <cell r="J25">
            <v>25</v>
          </cell>
          <cell r="U25">
            <v>79</v>
          </cell>
          <cell r="W25">
            <v>75</v>
          </cell>
          <cell r="X25">
            <v>1.5</v>
          </cell>
          <cell r="Y25">
            <v>1.125</v>
          </cell>
          <cell r="Z25">
            <v>1.5</v>
          </cell>
          <cell r="AA25">
            <v>1.125</v>
          </cell>
          <cell r="AB25">
            <v>0.375</v>
          </cell>
          <cell r="AC25">
            <v>0.75</v>
          </cell>
          <cell r="AD25">
            <v>1.875</v>
          </cell>
          <cell r="AE25">
            <v>1.875</v>
          </cell>
          <cell r="AF25">
            <v>10.125</v>
          </cell>
          <cell r="AG25">
            <v>0</v>
          </cell>
        </row>
        <row r="26">
          <cell r="A26" t="str">
            <v>March</v>
          </cell>
          <cell r="B26">
            <v>2003</v>
          </cell>
          <cell r="C26">
            <v>20</v>
          </cell>
          <cell r="D26">
            <v>15</v>
          </cell>
          <cell r="E26">
            <v>20</v>
          </cell>
          <cell r="F26">
            <v>15</v>
          </cell>
          <cell r="G26">
            <v>5</v>
          </cell>
          <cell r="H26">
            <v>10</v>
          </cell>
          <cell r="I26">
            <v>25</v>
          </cell>
          <cell r="J26">
            <v>25</v>
          </cell>
          <cell r="U26">
            <v>79</v>
          </cell>
          <cell r="W26">
            <v>75</v>
          </cell>
          <cell r="X26">
            <v>1.5</v>
          </cell>
          <cell r="Y26">
            <v>1.125</v>
          </cell>
          <cell r="Z26">
            <v>1.5</v>
          </cell>
          <cell r="AA26">
            <v>1.125</v>
          </cell>
          <cell r="AB26">
            <v>0.375</v>
          </cell>
          <cell r="AC26">
            <v>0.75</v>
          </cell>
          <cell r="AD26">
            <v>1.875</v>
          </cell>
          <cell r="AE26">
            <v>1.875</v>
          </cell>
          <cell r="AF26">
            <v>10.125</v>
          </cell>
          <cell r="AG26">
            <v>0</v>
          </cell>
        </row>
        <row r="27">
          <cell r="A27" t="str">
            <v>April</v>
          </cell>
          <cell r="B27">
            <v>2003</v>
          </cell>
          <cell r="C27">
            <v>20</v>
          </cell>
          <cell r="D27">
            <v>15</v>
          </cell>
          <cell r="E27">
            <v>20</v>
          </cell>
          <cell r="F27">
            <v>15</v>
          </cell>
          <cell r="G27">
            <v>5</v>
          </cell>
          <cell r="H27">
            <v>10</v>
          </cell>
          <cell r="I27">
            <v>25</v>
          </cell>
          <cell r="J27">
            <v>25</v>
          </cell>
          <cell r="U27">
            <v>79</v>
          </cell>
          <cell r="W27">
            <v>75</v>
          </cell>
          <cell r="X27">
            <v>1.5</v>
          </cell>
          <cell r="Y27">
            <v>1.125</v>
          </cell>
          <cell r="Z27">
            <v>1.5</v>
          </cell>
          <cell r="AA27">
            <v>1.125</v>
          </cell>
          <cell r="AB27">
            <v>0.375</v>
          </cell>
          <cell r="AC27">
            <v>0.75</v>
          </cell>
          <cell r="AD27">
            <v>1.875</v>
          </cell>
          <cell r="AE27">
            <v>1.875</v>
          </cell>
          <cell r="AF27">
            <v>10.125</v>
          </cell>
          <cell r="AG27">
            <v>0</v>
          </cell>
        </row>
        <row r="28">
          <cell r="A28" t="str">
            <v>May</v>
          </cell>
          <cell r="B28">
            <v>2003</v>
          </cell>
          <cell r="C28">
            <v>20</v>
          </cell>
          <cell r="D28">
            <v>15</v>
          </cell>
          <cell r="E28">
            <v>20</v>
          </cell>
          <cell r="F28">
            <v>15</v>
          </cell>
          <cell r="G28">
            <v>5</v>
          </cell>
          <cell r="H28">
            <v>10</v>
          </cell>
          <cell r="I28">
            <v>25</v>
          </cell>
          <cell r="J28">
            <v>25</v>
          </cell>
          <cell r="R28">
            <v>20</v>
          </cell>
          <cell r="U28">
            <v>79</v>
          </cell>
          <cell r="W28">
            <v>75</v>
          </cell>
          <cell r="X28">
            <v>1.5</v>
          </cell>
          <cell r="Y28">
            <v>1.125</v>
          </cell>
          <cell r="Z28">
            <v>1.5</v>
          </cell>
          <cell r="AA28">
            <v>1.125</v>
          </cell>
          <cell r="AB28">
            <v>0.375</v>
          </cell>
          <cell r="AC28">
            <v>0.75</v>
          </cell>
          <cell r="AD28">
            <v>1.875</v>
          </cell>
          <cell r="AE28">
            <v>1.875</v>
          </cell>
          <cell r="AF28">
            <v>10.125</v>
          </cell>
          <cell r="AG28">
            <v>20</v>
          </cell>
        </row>
        <row r="29">
          <cell r="A29" t="str">
            <v>June</v>
          </cell>
          <cell r="B29">
            <v>2003</v>
          </cell>
          <cell r="C29">
            <v>15</v>
          </cell>
          <cell r="D29">
            <v>15</v>
          </cell>
          <cell r="E29">
            <v>20</v>
          </cell>
          <cell r="F29">
            <v>10</v>
          </cell>
          <cell r="G29">
            <v>5</v>
          </cell>
          <cell r="H29">
            <v>10</v>
          </cell>
          <cell r="I29">
            <v>25</v>
          </cell>
          <cell r="J29">
            <v>25</v>
          </cell>
          <cell r="T29">
            <v>36</v>
          </cell>
          <cell r="U29">
            <v>79</v>
          </cell>
          <cell r="W29">
            <v>75</v>
          </cell>
          <cell r="X29">
            <v>1.125</v>
          </cell>
          <cell r="Y29">
            <v>1.125</v>
          </cell>
          <cell r="Z29">
            <v>1.5</v>
          </cell>
          <cell r="AA29">
            <v>0.75</v>
          </cell>
          <cell r="AB29">
            <v>0.375</v>
          </cell>
          <cell r="AC29">
            <v>0.75</v>
          </cell>
          <cell r="AD29">
            <v>1.875</v>
          </cell>
          <cell r="AE29">
            <v>1.875</v>
          </cell>
          <cell r="AF29">
            <v>9.375</v>
          </cell>
          <cell r="AG29">
            <v>0</v>
          </cell>
        </row>
        <row r="30">
          <cell r="A30" t="str">
            <v>July</v>
          </cell>
          <cell r="B30">
            <v>2003</v>
          </cell>
          <cell r="C30">
            <v>15</v>
          </cell>
          <cell r="D30">
            <v>15</v>
          </cell>
          <cell r="E30">
            <v>20</v>
          </cell>
          <cell r="F30">
            <v>10</v>
          </cell>
          <cell r="G30">
            <v>5</v>
          </cell>
          <cell r="H30">
            <v>10</v>
          </cell>
          <cell r="I30">
            <v>20</v>
          </cell>
          <cell r="J30">
            <v>20</v>
          </cell>
          <cell r="U30">
            <v>79</v>
          </cell>
          <cell r="W30">
            <v>75</v>
          </cell>
          <cell r="X30">
            <v>1.125</v>
          </cell>
          <cell r="Y30">
            <v>1.125</v>
          </cell>
          <cell r="Z30">
            <v>1.5</v>
          </cell>
          <cell r="AA30">
            <v>0.75</v>
          </cell>
          <cell r="AB30">
            <v>0.375</v>
          </cell>
          <cell r="AC30">
            <v>0.75</v>
          </cell>
          <cell r="AD30">
            <v>1.5</v>
          </cell>
          <cell r="AE30">
            <v>1.5</v>
          </cell>
          <cell r="AF30">
            <v>8.625</v>
          </cell>
          <cell r="AG30">
            <v>0</v>
          </cell>
        </row>
        <row r="31">
          <cell r="A31" t="str">
            <v>August</v>
          </cell>
          <cell r="B31">
            <v>2003</v>
          </cell>
          <cell r="C31">
            <v>15</v>
          </cell>
          <cell r="D31">
            <v>15</v>
          </cell>
          <cell r="E31">
            <v>20</v>
          </cell>
          <cell r="F31">
            <v>10</v>
          </cell>
          <cell r="G31">
            <v>5</v>
          </cell>
          <cell r="H31">
            <v>10</v>
          </cell>
          <cell r="I31">
            <v>20</v>
          </cell>
          <cell r="J31">
            <v>20</v>
          </cell>
          <cell r="U31">
            <v>79</v>
          </cell>
          <cell r="W31">
            <v>75</v>
          </cell>
          <cell r="X31">
            <v>1.125</v>
          </cell>
          <cell r="Y31">
            <v>1.125</v>
          </cell>
          <cell r="Z31">
            <v>1.5</v>
          </cell>
          <cell r="AA31">
            <v>0.75</v>
          </cell>
          <cell r="AB31">
            <v>0.375</v>
          </cell>
          <cell r="AC31">
            <v>0.75</v>
          </cell>
          <cell r="AD31">
            <v>1.5</v>
          </cell>
          <cell r="AE31">
            <v>1.5</v>
          </cell>
          <cell r="AF31">
            <v>8.625</v>
          </cell>
          <cell r="AG31">
            <v>0</v>
          </cell>
        </row>
        <row r="32">
          <cell r="A32" t="str">
            <v>September</v>
          </cell>
          <cell r="B32">
            <v>2003</v>
          </cell>
          <cell r="C32">
            <v>15</v>
          </cell>
          <cell r="D32">
            <v>15</v>
          </cell>
          <cell r="E32">
            <v>20</v>
          </cell>
          <cell r="F32">
            <v>10</v>
          </cell>
          <cell r="G32">
            <v>5</v>
          </cell>
          <cell r="H32">
            <v>10</v>
          </cell>
          <cell r="I32">
            <v>20</v>
          </cell>
          <cell r="J32">
            <v>20</v>
          </cell>
          <cell r="U32">
            <v>83</v>
          </cell>
          <cell r="W32">
            <v>75</v>
          </cell>
          <cell r="X32">
            <v>1.125</v>
          </cell>
          <cell r="Y32">
            <v>1.125</v>
          </cell>
          <cell r="Z32">
            <v>1.5</v>
          </cell>
          <cell r="AA32">
            <v>0.75</v>
          </cell>
          <cell r="AB32">
            <v>0.375</v>
          </cell>
          <cell r="AC32">
            <v>0.75</v>
          </cell>
          <cell r="AD32">
            <v>1.5</v>
          </cell>
          <cell r="AE32">
            <v>1.5</v>
          </cell>
          <cell r="AF32">
            <v>8.625</v>
          </cell>
          <cell r="AG32">
            <v>0</v>
          </cell>
        </row>
        <row r="33">
          <cell r="A33" t="str">
            <v>October</v>
          </cell>
          <cell r="B33">
            <v>2003</v>
          </cell>
          <cell r="C33">
            <v>15</v>
          </cell>
          <cell r="D33">
            <v>15</v>
          </cell>
          <cell r="E33">
            <v>20</v>
          </cell>
          <cell r="F33">
            <v>10</v>
          </cell>
          <cell r="G33">
            <v>5</v>
          </cell>
          <cell r="H33">
            <v>10</v>
          </cell>
          <cell r="I33">
            <v>20</v>
          </cell>
          <cell r="J33">
            <v>20</v>
          </cell>
          <cell r="V33">
            <v>822</v>
          </cell>
          <cell r="W33">
            <v>75</v>
          </cell>
          <cell r="X33">
            <v>1.125</v>
          </cell>
          <cell r="Y33">
            <v>1.125</v>
          </cell>
          <cell r="Z33">
            <v>1.5</v>
          </cell>
          <cell r="AA33">
            <v>0.75</v>
          </cell>
          <cell r="AB33">
            <v>0.375</v>
          </cell>
          <cell r="AC33">
            <v>0.75</v>
          </cell>
          <cell r="AD33">
            <v>1.5</v>
          </cell>
          <cell r="AE33">
            <v>1.5</v>
          </cell>
          <cell r="AF33">
            <v>8.625</v>
          </cell>
          <cell r="AG33">
            <v>0</v>
          </cell>
        </row>
        <row r="34">
          <cell r="A34" t="str">
            <v>November</v>
          </cell>
          <cell r="B34">
            <v>2003</v>
          </cell>
          <cell r="C34">
            <v>15</v>
          </cell>
          <cell r="D34">
            <v>15</v>
          </cell>
          <cell r="E34">
            <v>20</v>
          </cell>
          <cell r="F34">
            <v>10</v>
          </cell>
          <cell r="G34">
            <v>5</v>
          </cell>
          <cell r="H34">
            <v>10</v>
          </cell>
          <cell r="I34">
            <v>20</v>
          </cell>
          <cell r="J34">
            <v>20</v>
          </cell>
          <cell r="W34">
            <v>75</v>
          </cell>
          <cell r="X34">
            <v>1.125</v>
          </cell>
          <cell r="Y34">
            <v>1.125</v>
          </cell>
          <cell r="Z34">
            <v>1.5</v>
          </cell>
          <cell r="AA34">
            <v>0.75</v>
          </cell>
          <cell r="AB34">
            <v>0.375</v>
          </cell>
          <cell r="AC34">
            <v>0.75</v>
          </cell>
          <cell r="AD34">
            <v>1.5</v>
          </cell>
          <cell r="AE34">
            <v>1.5</v>
          </cell>
          <cell r="AF34">
            <v>8.625</v>
          </cell>
          <cell r="AG34">
            <v>0</v>
          </cell>
        </row>
        <row r="35">
          <cell r="A35" t="str">
            <v>December</v>
          </cell>
          <cell r="B35">
            <v>2003</v>
          </cell>
          <cell r="C35">
            <v>15</v>
          </cell>
          <cell r="D35">
            <v>15</v>
          </cell>
          <cell r="E35">
            <v>20</v>
          </cell>
          <cell r="F35">
            <v>10</v>
          </cell>
          <cell r="G35">
            <v>5</v>
          </cell>
          <cell r="H35">
            <v>10</v>
          </cell>
          <cell r="I35">
            <v>20</v>
          </cell>
          <cell r="J35">
            <v>20</v>
          </cell>
          <cell r="W35">
            <v>75</v>
          </cell>
          <cell r="X35">
            <v>1.125</v>
          </cell>
          <cell r="Y35">
            <v>1.125</v>
          </cell>
          <cell r="Z35">
            <v>1.5</v>
          </cell>
          <cell r="AA35">
            <v>0.75</v>
          </cell>
          <cell r="AB35">
            <v>0.375</v>
          </cell>
          <cell r="AC35">
            <v>0.75</v>
          </cell>
          <cell r="AD35">
            <v>1.5</v>
          </cell>
          <cell r="AE35">
            <v>1.5</v>
          </cell>
          <cell r="AF35">
            <v>8.625</v>
          </cell>
          <cell r="AG35">
            <v>0</v>
          </cell>
        </row>
        <row r="36">
          <cell r="A36" t="str">
            <v>January</v>
          </cell>
          <cell r="B36">
            <v>2004</v>
          </cell>
          <cell r="C36">
            <v>10</v>
          </cell>
          <cell r="D36">
            <v>10</v>
          </cell>
          <cell r="E36">
            <v>10</v>
          </cell>
          <cell r="F36">
            <v>10</v>
          </cell>
          <cell r="G36">
            <v>5</v>
          </cell>
          <cell r="H36">
            <v>10</v>
          </cell>
          <cell r="I36">
            <v>10</v>
          </cell>
          <cell r="J36">
            <v>10</v>
          </cell>
          <cell r="W36">
            <v>75</v>
          </cell>
          <cell r="X36">
            <v>0.75</v>
          </cell>
          <cell r="Y36">
            <v>0.75</v>
          </cell>
          <cell r="Z36">
            <v>0.75</v>
          </cell>
          <cell r="AA36">
            <v>0.75</v>
          </cell>
          <cell r="AB36">
            <v>0.375</v>
          </cell>
          <cell r="AC36">
            <v>0.75</v>
          </cell>
          <cell r="AD36">
            <v>0.75</v>
          </cell>
          <cell r="AE36">
            <v>0.75</v>
          </cell>
          <cell r="AF36">
            <v>5.625</v>
          </cell>
          <cell r="AG36">
            <v>0</v>
          </cell>
        </row>
        <row r="37">
          <cell r="A37" t="str">
            <v>February</v>
          </cell>
          <cell r="B37">
            <v>2004</v>
          </cell>
          <cell r="C37">
            <v>10</v>
          </cell>
          <cell r="D37">
            <v>10</v>
          </cell>
          <cell r="E37">
            <v>10</v>
          </cell>
          <cell r="F37">
            <v>10</v>
          </cell>
          <cell r="G37">
            <v>5</v>
          </cell>
          <cell r="H37">
            <v>5</v>
          </cell>
          <cell r="I37">
            <v>5</v>
          </cell>
          <cell r="J37">
            <v>5</v>
          </cell>
          <cell r="W37">
            <v>75</v>
          </cell>
          <cell r="X37">
            <v>0.75</v>
          </cell>
          <cell r="Y37">
            <v>0.75</v>
          </cell>
          <cell r="Z37">
            <v>0.75</v>
          </cell>
          <cell r="AA37">
            <v>0.75</v>
          </cell>
          <cell r="AB37">
            <v>0.375</v>
          </cell>
          <cell r="AC37">
            <v>0.375</v>
          </cell>
          <cell r="AD37">
            <v>0.375</v>
          </cell>
          <cell r="AE37">
            <v>0.375</v>
          </cell>
          <cell r="AF37">
            <v>4.5</v>
          </cell>
          <cell r="AG37">
            <v>0</v>
          </cell>
        </row>
        <row r="38">
          <cell r="A38" t="str">
            <v>March</v>
          </cell>
          <cell r="B38">
            <v>2004</v>
          </cell>
          <cell r="C38">
            <v>10</v>
          </cell>
          <cell r="D38">
            <v>10</v>
          </cell>
          <cell r="E38">
            <v>10</v>
          </cell>
          <cell r="F38">
            <v>10</v>
          </cell>
          <cell r="G38">
            <v>5</v>
          </cell>
          <cell r="H38">
            <v>5</v>
          </cell>
          <cell r="I38">
            <v>5</v>
          </cell>
          <cell r="J38">
            <v>5</v>
          </cell>
          <cell r="W38">
            <v>75</v>
          </cell>
          <cell r="X38">
            <v>0.75</v>
          </cell>
          <cell r="Y38">
            <v>0.75</v>
          </cell>
          <cell r="Z38">
            <v>0.75</v>
          </cell>
          <cell r="AA38">
            <v>0.75</v>
          </cell>
          <cell r="AB38">
            <v>0.375</v>
          </cell>
          <cell r="AC38">
            <v>0.375</v>
          </cell>
          <cell r="AD38">
            <v>0.375</v>
          </cell>
          <cell r="AE38">
            <v>0.375</v>
          </cell>
          <cell r="AF38">
            <v>4.5</v>
          </cell>
          <cell r="AG38">
            <v>0</v>
          </cell>
        </row>
        <row r="39">
          <cell r="A39" t="str">
            <v>April</v>
          </cell>
          <cell r="B39">
            <v>2004</v>
          </cell>
          <cell r="W39">
            <v>75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</row>
        <row r="40">
          <cell r="A40" t="str">
            <v>May</v>
          </cell>
          <cell r="B40">
            <v>2004</v>
          </cell>
          <cell r="W40">
            <v>75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</row>
        <row r="41">
          <cell r="A41" t="str">
            <v>June</v>
          </cell>
          <cell r="B41">
            <v>2004</v>
          </cell>
          <cell r="W41">
            <v>75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A42" t="str">
            <v>July</v>
          </cell>
          <cell r="B42">
            <v>2004</v>
          </cell>
          <cell r="W42">
            <v>75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</row>
        <row r="43">
          <cell r="A43" t="str">
            <v>August</v>
          </cell>
          <cell r="B43">
            <v>2004</v>
          </cell>
          <cell r="W43">
            <v>75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A44" t="str">
            <v>September</v>
          </cell>
          <cell r="B44">
            <v>2004</v>
          </cell>
          <cell r="W44">
            <v>75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A45" t="str">
            <v>October</v>
          </cell>
          <cell r="B45">
            <v>2004</v>
          </cell>
          <cell r="W45">
            <v>75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A46" t="str">
            <v>November</v>
          </cell>
          <cell r="B46">
            <v>2004</v>
          </cell>
          <cell r="W46">
            <v>75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A47" t="str">
            <v>December</v>
          </cell>
          <cell r="B47">
            <v>2004</v>
          </cell>
          <cell r="W47">
            <v>75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A48" t="str">
            <v>January</v>
          </cell>
          <cell r="B48">
            <v>2005</v>
          </cell>
          <cell r="W48">
            <v>75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A49" t="str">
            <v>February</v>
          </cell>
          <cell r="B49">
            <v>2005</v>
          </cell>
          <cell r="W49">
            <v>75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A50" t="str">
            <v>March</v>
          </cell>
          <cell r="B50">
            <v>2005</v>
          </cell>
          <cell r="W50">
            <v>75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A51" t="str">
            <v>April</v>
          </cell>
          <cell r="B51">
            <v>2005</v>
          </cell>
          <cell r="W51">
            <v>75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A52" t="str">
            <v>May</v>
          </cell>
          <cell r="B52">
            <v>2005</v>
          </cell>
          <cell r="W52">
            <v>75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A53" t="str">
            <v>June</v>
          </cell>
          <cell r="B53">
            <v>2005</v>
          </cell>
          <cell r="W53">
            <v>75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</row>
        <row r="54">
          <cell r="A54" t="str">
            <v>July</v>
          </cell>
          <cell r="B54">
            <v>2005</v>
          </cell>
          <cell r="W54">
            <v>75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A55" t="str">
            <v>August</v>
          </cell>
          <cell r="B55">
            <v>2005</v>
          </cell>
          <cell r="W55">
            <v>75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</row>
        <row r="56">
          <cell r="A56" t="str">
            <v>September</v>
          </cell>
          <cell r="B56">
            <v>2005</v>
          </cell>
          <cell r="W56">
            <v>75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A57" t="str">
            <v>October</v>
          </cell>
          <cell r="B57">
            <v>2005</v>
          </cell>
          <cell r="W57">
            <v>75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</row>
        <row r="58">
          <cell r="A58" t="str">
            <v>November</v>
          </cell>
          <cell r="B58">
            <v>2005</v>
          </cell>
          <cell r="W58">
            <v>75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</row>
        <row r="59">
          <cell r="A59" t="str">
            <v>December</v>
          </cell>
          <cell r="B59">
            <v>2005</v>
          </cell>
          <cell r="W59">
            <v>75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</row>
        <row r="60"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C61">
            <v>475</v>
          </cell>
          <cell r="D61">
            <v>455</v>
          </cell>
          <cell r="E61">
            <v>510</v>
          </cell>
          <cell r="F61">
            <v>355</v>
          </cell>
          <cell r="G61">
            <v>185</v>
          </cell>
          <cell r="H61">
            <v>260</v>
          </cell>
          <cell r="I61">
            <v>580</v>
          </cell>
          <cell r="J61">
            <v>580</v>
          </cell>
          <cell r="K61">
            <v>70</v>
          </cell>
          <cell r="L61">
            <v>20</v>
          </cell>
          <cell r="M61">
            <v>165</v>
          </cell>
          <cell r="N61">
            <v>0</v>
          </cell>
          <cell r="O61">
            <v>47</v>
          </cell>
          <cell r="P61">
            <v>0</v>
          </cell>
          <cell r="Q61">
            <v>0</v>
          </cell>
          <cell r="R61">
            <v>50</v>
          </cell>
          <cell r="S61">
            <v>70</v>
          </cell>
          <cell r="T61">
            <v>146</v>
          </cell>
          <cell r="U61">
            <v>794</v>
          </cell>
          <cell r="V61">
            <v>822</v>
          </cell>
          <cell r="X61">
            <v>35.625</v>
          </cell>
          <cell r="Y61">
            <v>34.125</v>
          </cell>
          <cell r="Z61">
            <v>38.25</v>
          </cell>
          <cell r="AA61">
            <v>26.625</v>
          </cell>
          <cell r="AB61">
            <v>13.875</v>
          </cell>
          <cell r="AC61">
            <v>19.5</v>
          </cell>
          <cell r="AD61">
            <v>43.5</v>
          </cell>
          <cell r="AE61">
            <v>43.5</v>
          </cell>
          <cell r="AF61">
            <v>510</v>
          </cell>
          <cell r="AG61">
            <v>167</v>
          </cell>
        </row>
      </sheetData>
      <sheetData sheetId="4" refreshError="1">
        <row r="12">
          <cell r="A12" t="str">
            <v>LIB</v>
          </cell>
          <cell r="B12" t="str">
            <v>MNT1</v>
          </cell>
          <cell r="C12" t="str">
            <v>AFF</v>
          </cell>
          <cell r="D12" t="str">
            <v>MNT2</v>
          </cell>
          <cell r="E12" t="str">
            <v>OA</v>
          </cell>
          <cell r="F12" t="str">
            <v>OM</v>
          </cell>
          <cell r="G12" t="str">
            <v>DA</v>
          </cell>
          <cell r="H12" t="str">
            <v>DM</v>
          </cell>
          <cell r="I12" t="str">
            <v>SA</v>
          </cell>
          <cell r="J12" t="str">
            <v>SM</v>
          </cell>
          <cell r="K12" t="str">
            <v>D</v>
          </cell>
          <cell r="L12" t="str">
            <v>R</v>
          </cell>
          <cell r="M12" t="str">
            <v>D1</v>
          </cell>
          <cell r="N12" t="str">
            <v>D2</v>
          </cell>
          <cell r="O12" t="str">
            <v>D3</v>
          </cell>
          <cell r="P12" t="str">
            <v>D4</v>
          </cell>
          <cell r="Q12" t="str">
            <v>A1</v>
          </cell>
          <cell r="R12" t="str">
            <v>A2</v>
          </cell>
          <cell r="S12" t="str">
            <v>A3</v>
          </cell>
          <cell r="T12" t="str">
            <v>A4</v>
          </cell>
          <cell r="U12" t="str">
            <v>A5</v>
          </cell>
          <cell r="V12" t="str">
            <v>A6</v>
          </cell>
          <cell r="W12" t="str">
            <v>REC</v>
          </cell>
        </row>
        <row r="13">
          <cell r="B13">
            <v>1650</v>
          </cell>
          <cell r="C13">
            <v>1</v>
          </cell>
          <cell r="D13">
            <v>1650</v>
          </cell>
          <cell r="E13">
            <v>2003</v>
          </cell>
          <cell r="F13">
            <v>1</v>
          </cell>
          <cell r="G13">
            <v>2004</v>
          </cell>
          <cell r="H13">
            <v>8</v>
          </cell>
          <cell r="I13">
            <v>2004</v>
          </cell>
          <cell r="J13">
            <v>7</v>
          </cell>
          <cell r="K13">
            <v>6.67</v>
          </cell>
          <cell r="L13" t="str">
            <v>Y</v>
          </cell>
          <cell r="M13">
            <v>0</v>
          </cell>
          <cell r="N13">
            <v>495</v>
          </cell>
          <cell r="O13">
            <v>1155</v>
          </cell>
          <cell r="P13">
            <v>0</v>
          </cell>
          <cell r="Q13">
            <v>123.688155922039</v>
          </cell>
          <cell r="R13">
            <v>247.37631184407797</v>
          </cell>
          <cell r="S13">
            <v>247.37631184407797</v>
          </cell>
          <cell r="T13">
            <v>247.37631184407797</v>
          </cell>
          <cell r="U13">
            <v>247.37631184407797</v>
          </cell>
          <cell r="V13">
            <v>0</v>
          </cell>
          <cell r="W13">
            <v>-536.80659670164914</v>
          </cell>
        </row>
        <row r="14">
          <cell r="D14">
            <v>0</v>
          </cell>
          <cell r="I14">
            <v>0</v>
          </cell>
          <cell r="J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</row>
        <row r="15">
          <cell r="D15">
            <v>0</v>
          </cell>
          <cell r="I15">
            <v>0</v>
          </cell>
          <cell r="J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D16">
            <v>0</v>
          </cell>
          <cell r="I16">
            <v>0</v>
          </cell>
          <cell r="J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</row>
        <row r="17">
          <cell r="D17">
            <v>0</v>
          </cell>
          <cell r="I17">
            <v>0</v>
          </cell>
          <cell r="J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</row>
        <row r="18">
          <cell r="D18">
            <v>0</v>
          </cell>
          <cell r="I18">
            <v>0</v>
          </cell>
          <cell r="J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D19">
            <v>0</v>
          </cell>
          <cell r="I19">
            <v>0</v>
          </cell>
          <cell r="J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D20">
            <v>0</v>
          </cell>
          <cell r="I20">
            <v>0</v>
          </cell>
          <cell r="J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D21">
            <v>0</v>
          </cell>
          <cell r="I21">
            <v>0</v>
          </cell>
          <cell r="J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</row>
        <row r="22">
          <cell r="D22">
            <v>0</v>
          </cell>
          <cell r="I22">
            <v>0</v>
          </cell>
          <cell r="J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  <row r="23">
          <cell r="D23">
            <v>0</v>
          </cell>
          <cell r="I23">
            <v>0</v>
          </cell>
          <cell r="J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</row>
        <row r="24">
          <cell r="D24">
            <v>0</v>
          </cell>
          <cell r="I24">
            <v>0</v>
          </cell>
          <cell r="J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D25">
            <v>0</v>
          </cell>
          <cell r="I25">
            <v>0</v>
          </cell>
          <cell r="J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</row>
        <row r="26">
          <cell r="D26">
            <v>0</v>
          </cell>
          <cell r="I26">
            <v>0</v>
          </cell>
          <cell r="J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D27">
            <v>0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</row>
        <row r="28">
          <cell r="D28">
            <v>0</v>
          </cell>
          <cell r="I28">
            <v>0</v>
          </cell>
          <cell r="J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</row>
        <row r="29">
          <cell r="D29">
            <v>0</v>
          </cell>
          <cell r="I29">
            <v>0</v>
          </cell>
          <cell r="J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</row>
        <row r="30">
          <cell r="D30">
            <v>0</v>
          </cell>
          <cell r="I30">
            <v>0</v>
          </cell>
          <cell r="J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D31">
            <v>0</v>
          </cell>
          <cell r="I31">
            <v>0</v>
          </cell>
          <cell r="J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D32">
            <v>0</v>
          </cell>
          <cell r="I32">
            <v>0</v>
          </cell>
          <cell r="J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6">
          <cell r="C6" t="str">
            <v>COD</v>
          </cell>
          <cell r="D6" t="str">
            <v>CD</v>
          </cell>
          <cell r="E6" t="str">
            <v>CR</v>
          </cell>
          <cell r="F6" t="str">
            <v>PSOP</v>
          </cell>
          <cell r="G6" t="str">
            <v>PSOP +1</v>
          </cell>
          <cell r="H6" t="str">
            <v>PSOP +2</v>
          </cell>
          <cell r="I6" t="str">
            <v>PSOP +3</v>
          </cell>
          <cell r="J6" t="str">
            <v>PSOP +4</v>
          </cell>
          <cell r="K6" t="str">
            <v>PSOP +5</v>
          </cell>
          <cell r="L6" t="str">
            <v>PSOP +6</v>
          </cell>
          <cell r="M6" t="str">
            <v>SOP</v>
          </cell>
          <cell r="N6" t="str">
            <v>SOP +1</v>
          </cell>
          <cell r="O6" t="str">
            <v>SOP +2</v>
          </cell>
          <cell r="P6" t="str">
            <v>SOP +3</v>
          </cell>
          <cell r="Q6" t="str">
            <v>SOP +4</v>
          </cell>
          <cell r="R6" t="str">
            <v>SOP +5</v>
          </cell>
          <cell r="S6" t="str">
            <v>SOP +6</v>
          </cell>
        </row>
        <row r="7">
          <cell r="C7">
            <v>1</v>
          </cell>
          <cell r="D7">
            <v>4</v>
          </cell>
          <cell r="E7">
            <v>3</v>
          </cell>
          <cell r="F7">
            <v>17.2</v>
          </cell>
          <cell r="G7">
            <v>17.2</v>
          </cell>
          <cell r="H7">
            <v>17.2</v>
          </cell>
          <cell r="I7">
            <v>17.2</v>
          </cell>
          <cell r="J7">
            <v>17.2</v>
          </cell>
          <cell r="K7">
            <v>17.2</v>
          </cell>
          <cell r="L7">
            <v>17.2</v>
          </cell>
          <cell r="M7">
            <v>214.86240000000001</v>
          </cell>
          <cell r="N7">
            <v>5124.7227999999996</v>
          </cell>
          <cell r="O7">
            <v>11705.46</v>
          </cell>
          <cell r="P7">
            <v>8911.8359999999993</v>
          </cell>
          <cell r="Q7">
            <v>8911.8359999999993</v>
          </cell>
          <cell r="R7">
            <v>0</v>
          </cell>
          <cell r="S7">
            <v>0</v>
          </cell>
        </row>
        <row r="8">
          <cell r="C8">
            <v>1</v>
          </cell>
          <cell r="D8">
            <v>2</v>
          </cell>
          <cell r="E8">
            <v>42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C9">
            <v>1</v>
          </cell>
          <cell r="D9">
            <v>6</v>
          </cell>
          <cell r="E9">
            <v>2</v>
          </cell>
          <cell r="F9">
            <v>65.989847715736047</v>
          </cell>
          <cell r="G9">
            <v>65.989847715736047</v>
          </cell>
          <cell r="H9">
            <v>65.989847715736047</v>
          </cell>
          <cell r="I9">
            <v>65.989847715736047</v>
          </cell>
          <cell r="J9">
            <v>65.989847715736047</v>
          </cell>
          <cell r="K9">
            <v>65.989847715736047</v>
          </cell>
          <cell r="L9">
            <v>65.989847715736047</v>
          </cell>
          <cell r="M9">
            <v>824.3451776649747</v>
          </cell>
          <cell r="N9">
            <v>19661.609137055839</v>
          </cell>
          <cell r="O9">
            <v>44909.390862944165</v>
          </cell>
          <cell r="P9">
            <v>34191.319796954318</v>
          </cell>
          <cell r="Q9">
            <v>34191.319796954318</v>
          </cell>
          <cell r="R9">
            <v>0</v>
          </cell>
          <cell r="S9">
            <v>0</v>
          </cell>
        </row>
        <row r="10">
          <cell r="C10">
            <v>1</v>
          </cell>
          <cell r="D10">
            <v>5</v>
          </cell>
          <cell r="E10">
            <v>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C11">
            <v>1</v>
          </cell>
          <cell r="D11">
            <v>30</v>
          </cell>
          <cell r="E11">
            <v>5</v>
          </cell>
          <cell r="F11">
            <v>2.21</v>
          </cell>
          <cell r="G11">
            <v>2.21</v>
          </cell>
          <cell r="H11">
            <v>2.21</v>
          </cell>
          <cell r="I11">
            <v>2.21</v>
          </cell>
          <cell r="J11">
            <v>2.21</v>
          </cell>
          <cell r="K11">
            <v>2.21</v>
          </cell>
          <cell r="L11">
            <v>2.21</v>
          </cell>
          <cell r="M11">
            <v>27.607320000000001</v>
          </cell>
          <cell r="N11">
            <v>658.46729000000005</v>
          </cell>
          <cell r="O11">
            <v>1504.0155</v>
          </cell>
          <cell r="P11">
            <v>1145.0673000000002</v>
          </cell>
          <cell r="Q11">
            <v>1145.0673000000002</v>
          </cell>
          <cell r="R11">
            <v>0</v>
          </cell>
          <cell r="S11">
            <v>0</v>
          </cell>
        </row>
        <row r="12">
          <cell r="C12">
            <v>1</v>
          </cell>
          <cell r="D12">
            <v>31</v>
          </cell>
          <cell r="E12">
            <v>6</v>
          </cell>
          <cell r="F12">
            <v>65</v>
          </cell>
          <cell r="G12">
            <v>65</v>
          </cell>
          <cell r="H12">
            <v>65</v>
          </cell>
          <cell r="I12">
            <v>65</v>
          </cell>
          <cell r="J12">
            <v>65</v>
          </cell>
          <cell r="K12">
            <v>65</v>
          </cell>
          <cell r="L12">
            <v>65</v>
          </cell>
          <cell r="M12">
            <v>811.98</v>
          </cell>
          <cell r="N12">
            <v>19366.685000000001</v>
          </cell>
          <cell r="O12">
            <v>44235.75</v>
          </cell>
          <cell r="P12">
            <v>33678.449999999997</v>
          </cell>
          <cell r="Q12">
            <v>33678.449999999997</v>
          </cell>
          <cell r="R12">
            <v>0</v>
          </cell>
          <cell r="S12">
            <v>0</v>
          </cell>
        </row>
        <row r="13">
          <cell r="C13">
            <v>1</v>
          </cell>
          <cell r="D13">
            <v>29</v>
          </cell>
          <cell r="E13">
            <v>5</v>
          </cell>
          <cell r="F13">
            <v>6.91</v>
          </cell>
          <cell r="G13">
            <v>6.91</v>
          </cell>
          <cell r="H13">
            <v>6.91</v>
          </cell>
          <cell r="I13">
            <v>6.91</v>
          </cell>
          <cell r="J13">
            <v>6.91</v>
          </cell>
          <cell r="K13">
            <v>6.91</v>
          </cell>
          <cell r="L13">
            <v>6.91</v>
          </cell>
          <cell r="M13">
            <v>86.319720000000004</v>
          </cell>
          <cell r="N13">
            <v>2058.8275899999999</v>
          </cell>
          <cell r="O13">
            <v>4702.6004999999996</v>
          </cell>
          <cell r="P13">
            <v>3580.2783000000004</v>
          </cell>
          <cell r="Q13">
            <v>3580.2783000000004</v>
          </cell>
          <cell r="R13">
            <v>0</v>
          </cell>
          <cell r="S13">
            <v>0</v>
          </cell>
        </row>
        <row r="14">
          <cell r="C14">
            <v>1</v>
          </cell>
          <cell r="D14">
            <v>33</v>
          </cell>
          <cell r="E14">
            <v>7</v>
          </cell>
          <cell r="F14">
            <v>0.65</v>
          </cell>
          <cell r="G14">
            <v>0.65</v>
          </cell>
          <cell r="H14">
            <v>0.65</v>
          </cell>
          <cell r="I14">
            <v>0.65</v>
          </cell>
          <cell r="J14">
            <v>0.65</v>
          </cell>
          <cell r="K14">
            <v>0.65</v>
          </cell>
          <cell r="L14">
            <v>0.65</v>
          </cell>
          <cell r="M14">
            <v>8.1197999999999997</v>
          </cell>
          <cell r="N14">
            <v>193.66685000000001</v>
          </cell>
          <cell r="O14">
            <v>442.35750000000002</v>
          </cell>
          <cell r="P14">
            <v>336.78449999999998</v>
          </cell>
          <cell r="Q14">
            <v>336.78449999999998</v>
          </cell>
          <cell r="R14">
            <v>0</v>
          </cell>
          <cell r="S14">
            <v>0</v>
          </cell>
        </row>
        <row r="15">
          <cell r="C15">
            <v>1</v>
          </cell>
          <cell r="D15">
            <v>34</v>
          </cell>
          <cell r="E15">
            <v>15</v>
          </cell>
          <cell r="F15">
            <v>1.1200000000000001</v>
          </cell>
          <cell r="G15">
            <v>1.1200000000000001</v>
          </cell>
          <cell r="H15">
            <v>1.1200000000000001</v>
          </cell>
          <cell r="I15">
            <v>1.1200000000000001</v>
          </cell>
          <cell r="J15">
            <v>1.1200000000000001</v>
          </cell>
          <cell r="K15">
            <v>1.1200000000000001</v>
          </cell>
          <cell r="L15">
            <v>1.1200000000000001</v>
          </cell>
          <cell r="M15">
            <v>13.991040000000002</v>
          </cell>
          <cell r="N15">
            <v>333.70287999999999</v>
          </cell>
          <cell r="O15">
            <v>762.21600000000012</v>
          </cell>
          <cell r="P15">
            <v>580.30560000000014</v>
          </cell>
          <cell r="Q15">
            <v>580.30560000000014</v>
          </cell>
          <cell r="R15">
            <v>0</v>
          </cell>
          <cell r="S15">
            <v>0</v>
          </cell>
        </row>
        <row r="16">
          <cell r="C16">
            <v>1</v>
          </cell>
          <cell r="D16">
            <v>35</v>
          </cell>
          <cell r="E16">
            <v>16</v>
          </cell>
          <cell r="F16">
            <v>0.22</v>
          </cell>
          <cell r="G16">
            <v>0.22</v>
          </cell>
          <cell r="H16">
            <v>0.22</v>
          </cell>
          <cell r="I16">
            <v>0.22</v>
          </cell>
          <cell r="J16">
            <v>0.22</v>
          </cell>
          <cell r="K16">
            <v>0.22</v>
          </cell>
          <cell r="L16">
            <v>0.22</v>
          </cell>
          <cell r="M16">
            <v>2.74824</v>
          </cell>
          <cell r="N16">
            <v>65.548779999999994</v>
          </cell>
          <cell r="O16">
            <v>149.721</v>
          </cell>
          <cell r="P16">
            <v>113.98860000000001</v>
          </cell>
          <cell r="Q16">
            <v>113.98860000000001</v>
          </cell>
          <cell r="R16">
            <v>0</v>
          </cell>
          <cell r="S16">
            <v>0</v>
          </cell>
        </row>
        <row r="17">
          <cell r="C17">
            <v>1</v>
          </cell>
          <cell r="D17">
            <v>36</v>
          </cell>
          <cell r="E17">
            <v>17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12.492000000000001</v>
          </cell>
          <cell r="N17">
            <v>297.94900000000001</v>
          </cell>
          <cell r="O17">
            <v>680.55</v>
          </cell>
          <cell r="P17">
            <v>518.13</v>
          </cell>
          <cell r="Q17">
            <v>518.13</v>
          </cell>
          <cell r="R17">
            <v>0</v>
          </cell>
          <cell r="S17">
            <v>0</v>
          </cell>
        </row>
        <row r="18">
          <cell r="C18">
            <v>1</v>
          </cell>
          <cell r="D18">
            <v>99</v>
          </cell>
          <cell r="E18">
            <v>20</v>
          </cell>
          <cell r="F18">
            <v>0.28000000000000003</v>
          </cell>
          <cell r="G18">
            <v>0.28000000000000003</v>
          </cell>
          <cell r="H18">
            <v>0.28000000000000003</v>
          </cell>
          <cell r="I18">
            <v>0.28000000000000003</v>
          </cell>
          <cell r="J18">
            <v>0.28000000000000003</v>
          </cell>
          <cell r="K18">
            <v>0.28000000000000003</v>
          </cell>
          <cell r="L18">
            <v>0.28000000000000003</v>
          </cell>
          <cell r="M18">
            <v>3.4977600000000004</v>
          </cell>
          <cell r="N18">
            <v>83.425719999999998</v>
          </cell>
          <cell r="O18">
            <v>190.55400000000003</v>
          </cell>
          <cell r="P18">
            <v>145.07640000000004</v>
          </cell>
          <cell r="Q18">
            <v>145.07640000000004</v>
          </cell>
          <cell r="R18">
            <v>0</v>
          </cell>
          <cell r="S18">
            <v>0</v>
          </cell>
        </row>
        <row r="19">
          <cell r="C19">
            <v>1</v>
          </cell>
          <cell r="D19">
            <v>36</v>
          </cell>
          <cell r="E19">
            <v>8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C20">
            <v>1</v>
          </cell>
          <cell r="D20">
            <v>36</v>
          </cell>
          <cell r="E20">
            <v>8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C21">
            <v>2</v>
          </cell>
          <cell r="D21">
            <v>4</v>
          </cell>
          <cell r="E21">
            <v>3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C22">
            <v>2</v>
          </cell>
          <cell r="D22">
            <v>2</v>
          </cell>
          <cell r="E22">
            <v>42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</row>
        <row r="23">
          <cell r="C23">
            <v>2</v>
          </cell>
          <cell r="D23">
            <v>6</v>
          </cell>
          <cell r="E23">
            <v>2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</row>
        <row r="24">
          <cell r="C24">
            <v>2</v>
          </cell>
          <cell r="D24">
            <v>5</v>
          </cell>
          <cell r="E24">
            <v>3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C25">
            <v>2</v>
          </cell>
          <cell r="D25">
            <v>30</v>
          </cell>
          <cell r="E25">
            <v>5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C26">
            <v>2</v>
          </cell>
          <cell r="D26">
            <v>31</v>
          </cell>
          <cell r="E26">
            <v>6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C27">
            <v>2</v>
          </cell>
          <cell r="D27">
            <v>29</v>
          </cell>
          <cell r="E27">
            <v>5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C28">
            <v>2</v>
          </cell>
          <cell r="D28">
            <v>33</v>
          </cell>
          <cell r="E28">
            <v>7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C29">
            <v>2</v>
          </cell>
          <cell r="D29">
            <v>34</v>
          </cell>
          <cell r="E29">
            <v>15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C30">
            <v>2</v>
          </cell>
          <cell r="D30">
            <v>35</v>
          </cell>
          <cell r="E30">
            <v>16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C31">
            <v>2</v>
          </cell>
          <cell r="D31">
            <v>36</v>
          </cell>
          <cell r="E31">
            <v>17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C32">
            <v>2</v>
          </cell>
          <cell r="D32">
            <v>99</v>
          </cell>
          <cell r="E32">
            <v>20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</row>
        <row r="33">
          <cell r="C33">
            <v>2</v>
          </cell>
          <cell r="D33">
            <v>36</v>
          </cell>
          <cell r="E33">
            <v>8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C34">
            <v>2</v>
          </cell>
          <cell r="D34">
            <v>36</v>
          </cell>
          <cell r="E34">
            <v>8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</row>
        <row r="35">
          <cell r="C35">
            <v>3</v>
          </cell>
          <cell r="D35">
            <v>4</v>
          </cell>
          <cell r="E35">
            <v>3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</row>
        <row r="36">
          <cell r="C36">
            <v>3</v>
          </cell>
          <cell r="D36">
            <v>2</v>
          </cell>
          <cell r="E36">
            <v>42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</row>
        <row r="37">
          <cell r="C37">
            <v>3</v>
          </cell>
          <cell r="D37">
            <v>6</v>
          </cell>
          <cell r="E37">
            <v>2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C38">
            <v>3</v>
          </cell>
          <cell r="D38">
            <v>5</v>
          </cell>
          <cell r="E38">
            <v>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C39">
            <v>3</v>
          </cell>
          <cell r="D39">
            <v>30</v>
          </cell>
          <cell r="E39">
            <v>5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</row>
        <row r="40">
          <cell r="C40">
            <v>3</v>
          </cell>
          <cell r="D40">
            <v>31</v>
          </cell>
          <cell r="E40">
            <v>6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C41">
            <v>3</v>
          </cell>
          <cell r="D41">
            <v>29</v>
          </cell>
          <cell r="E41">
            <v>5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C42">
            <v>3</v>
          </cell>
          <cell r="D42">
            <v>33</v>
          </cell>
          <cell r="E42">
            <v>7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</row>
        <row r="43">
          <cell r="C43">
            <v>3</v>
          </cell>
          <cell r="D43">
            <v>34</v>
          </cell>
          <cell r="E43">
            <v>15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</row>
        <row r="44">
          <cell r="C44">
            <v>3</v>
          </cell>
          <cell r="D44">
            <v>35</v>
          </cell>
          <cell r="E44">
            <v>16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C45">
            <v>3</v>
          </cell>
          <cell r="D45">
            <v>36</v>
          </cell>
          <cell r="E45">
            <v>17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C46">
            <v>3</v>
          </cell>
          <cell r="D46">
            <v>99</v>
          </cell>
          <cell r="E46">
            <v>20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C47">
            <v>3</v>
          </cell>
          <cell r="D47">
            <v>36</v>
          </cell>
          <cell r="E47">
            <v>8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C48">
            <v>3</v>
          </cell>
          <cell r="D48">
            <v>36</v>
          </cell>
          <cell r="E48">
            <v>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</row>
        <row r="49">
          <cell r="C49">
            <v>4</v>
          </cell>
          <cell r="D49">
            <v>4</v>
          </cell>
          <cell r="E49">
            <v>3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C50">
            <v>4</v>
          </cell>
          <cell r="D50">
            <v>2</v>
          </cell>
          <cell r="E50">
            <v>42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C51">
            <v>4</v>
          </cell>
          <cell r="D51">
            <v>6</v>
          </cell>
          <cell r="E51">
            <v>2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C52">
            <v>4</v>
          </cell>
          <cell r="D52">
            <v>5</v>
          </cell>
          <cell r="E52">
            <v>3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C53">
            <v>4</v>
          </cell>
          <cell r="D53">
            <v>30</v>
          </cell>
          <cell r="E53">
            <v>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C54">
            <v>4</v>
          </cell>
          <cell r="D54">
            <v>31</v>
          </cell>
          <cell r="E54">
            <v>6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C55">
            <v>4</v>
          </cell>
          <cell r="D55">
            <v>29</v>
          </cell>
          <cell r="E55">
            <v>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C56">
            <v>4</v>
          </cell>
          <cell r="D56">
            <v>33</v>
          </cell>
          <cell r="E56">
            <v>7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C57">
            <v>4</v>
          </cell>
          <cell r="D57">
            <v>34</v>
          </cell>
          <cell r="E57">
            <v>15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C58">
            <v>4</v>
          </cell>
          <cell r="D58">
            <v>35</v>
          </cell>
          <cell r="E58">
            <v>16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C59">
            <v>4</v>
          </cell>
          <cell r="D59">
            <v>36</v>
          </cell>
          <cell r="E59">
            <v>17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</row>
        <row r="60">
          <cell r="C60">
            <v>4</v>
          </cell>
          <cell r="D60">
            <v>99</v>
          </cell>
          <cell r="E60">
            <v>20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</row>
        <row r="61">
          <cell r="C61">
            <v>4</v>
          </cell>
          <cell r="D61">
            <v>36</v>
          </cell>
          <cell r="E61">
            <v>8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</row>
        <row r="62">
          <cell r="C62">
            <v>4</v>
          </cell>
          <cell r="D62">
            <v>36</v>
          </cell>
          <cell r="E62">
            <v>8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</row>
        <row r="63">
          <cell r="C63">
            <v>5</v>
          </cell>
          <cell r="D63">
            <v>4</v>
          </cell>
          <cell r="E63">
            <v>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C64">
            <v>5</v>
          </cell>
          <cell r="D64">
            <v>2</v>
          </cell>
          <cell r="E64">
            <v>42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C65">
            <v>5</v>
          </cell>
          <cell r="D65">
            <v>6</v>
          </cell>
          <cell r="E65">
            <v>2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</row>
        <row r="66">
          <cell r="C66">
            <v>5</v>
          </cell>
          <cell r="D66">
            <v>5</v>
          </cell>
          <cell r="E66">
            <v>3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C67">
            <v>5</v>
          </cell>
          <cell r="D67">
            <v>30</v>
          </cell>
          <cell r="E67">
            <v>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C68">
            <v>5</v>
          </cell>
          <cell r="D68">
            <v>31</v>
          </cell>
          <cell r="E68">
            <v>6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C69">
            <v>5</v>
          </cell>
          <cell r="D69">
            <v>29</v>
          </cell>
          <cell r="E69">
            <v>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C70">
            <v>5</v>
          </cell>
          <cell r="D70">
            <v>33</v>
          </cell>
          <cell r="E70">
            <v>7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C71">
            <v>5</v>
          </cell>
          <cell r="D71">
            <v>34</v>
          </cell>
          <cell r="E71">
            <v>15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C72">
            <v>5</v>
          </cell>
          <cell r="D72">
            <v>35</v>
          </cell>
          <cell r="E72">
            <v>16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C73">
            <v>5</v>
          </cell>
          <cell r="D73">
            <v>36</v>
          </cell>
          <cell r="E73">
            <v>17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C74">
            <v>5</v>
          </cell>
          <cell r="D74">
            <v>99</v>
          </cell>
          <cell r="E74">
            <v>20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</row>
        <row r="75">
          <cell r="C75">
            <v>5</v>
          </cell>
          <cell r="D75">
            <v>36</v>
          </cell>
          <cell r="E75">
            <v>8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</row>
        <row r="76">
          <cell r="C76">
            <v>5</v>
          </cell>
          <cell r="D76">
            <v>36</v>
          </cell>
          <cell r="E76">
            <v>8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</row>
        <row r="77">
          <cell r="C77">
            <v>6</v>
          </cell>
          <cell r="D77">
            <v>4</v>
          </cell>
          <cell r="E77">
            <v>3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C78">
            <v>6</v>
          </cell>
          <cell r="D78">
            <v>2</v>
          </cell>
          <cell r="E78">
            <v>42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C79">
            <v>6</v>
          </cell>
          <cell r="D79">
            <v>6</v>
          </cell>
          <cell r="E79">
            <v>2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C80">
            <v>6</v>
          </cell>
          <cell r="D80">
            <v>5</v>
          </cell>
          <cell r="E80">
            <v>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C81">
            <v>6</v>
          </cell>
          <cell r="D81">
            <v>30</v>
          </cell>
          <cell r="E81">
            <v>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C82">
            <v>6</v>
          </cell>
          <cell r="D82">
            <v>31</v>
          </cell>
          <cell r="E82">
            <v>6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C83">
            <v>6</v>
          </cell>
          <cell r="D83">
            <v>29</v>
          </cell>
          <cell r="E83">
            <v>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C84">
            <v>6</v>
          </cell>
          <cell r="D84">
            <v>33</v>
          </cell>
          <cell r="E84">
            <v>7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C85">
            <v>6</v>
          </cell>
          <cell r="D85">
            <v>34</v>
          </cell>
          <cell r="E85">
            <v>15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C86">
            <v>6</v>
          </cell>
          <cell r="D86">
            <v>35</v>
          </cell>
          <cell r="E86">
            <v>16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C87">
            <v>6</v>
          </cell>
          <cell r="D87">
            <v>36</v>
          </cell>
          <cell r="E87">
            <v>17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C88">
            <v>6</v>
          </cell>
          <cell r="D88">
            <v>99</v>
          </cell>
          <cell r="E88">
            <v>20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C89">
            <v>6</v>
          </cell>
          <cell r="D89">
            <v>36</v>
          </cell>
          <cell r="E89">
            <v>8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C90">
            <v>6</v>
          </cell>
          <cell r="D90">
            <v>36</v>
          </cell>
          <cell r="E90">
            <v>8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C91">
            <v>7</v>
          </cell>
          <cell r="D91">
            <v>4</v>
          </cell>
          <cell r="E91">
            <v>3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C92">
            <v>7</v>
          </cell>
          <cell r="D92">
            <v>2</v>
          </cell>
          <cell r="E92">
            <v>42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C93">
            <v>7</v>
          </cell>
          <cell r="D93">
            <v>6</v>
          </cell>
          <cell r="E93">
            <v>2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C94">
            <v>7</v>
          </cell>
          <cell r="D94">
            <v>5</v>
          </cell>
          <cell r="E94">
            <v>3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C95">
            <v>7</v>
          </cell>
          <cell r="D95">
            <v>30</v>
          </cell>
          <cell r="E95">
            <v>5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C96">
            <v>7</v>
          </cell>
          <cell r="D96">
            <v>31</v>
          </cell>
          <cell r="E96">
            <v>6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C97">
            <v>7</v>
          </cell>
          <cell r="D97">
            <v>29</v>
          </cell>
          <cell r="E97">
            <v>5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C98">
            <v>7</v>
          </cell>
          <cell r="D98">
            <v>33</v>
          </cell>
          <cell r="E98">
            <v>7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C99">
            <v>7</v>
          </cell>
          <cell r="D99">
            <v>34</v>
          </cell>
          <cell r="E99">
            <v>15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C100">
            <v>7</v>
          </cell>
          <cell r="D100">
            <v>35</v>
          </cell>
          <cell r="E100">
            <v>16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C101">
            <v>7</v>
          </cell>
          <cell r="D101">
            <v>36</v>
          </cell>
          <cell r="E101">
            <v>17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C102">
            <v>7</v>
          </cell>
          <cell r="D102">
            <v>99</v>
          </cell>
          <cell r="E102">
            <v>20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</row>
        <row r="103">
          <cell r="C103">
            <v>7</v>
          </cell>
          <cell r="D103">
            <v>36</v>
          </cell>
          <cell r="E103">
            <v>8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C104">
            <v>7</v>
          </cell>
          <cell r="D104">
            <v>36</v>
          </cell>
          <cell r="E104">
            <v>8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C105">
            <v>8</v>
          </cell>
          <cell r="D105">
            <v>4</v>
          </cell>
          <cell r="E105">
            <v>3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</row>
        <row r="106">
          <cell r="C106">
            <v>8</v>
          </cell>
          <cell r="D106">
            <v>2</v>
          </cell>
          <cell r="E106">
            <v>42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</row>
        <row r="107">
          <cell r="C107">
            <v>8</v>
          </cell>
          <cell r="D107">
            <v>6</v>
          </cell>
          <cell r="E107">
            <v>2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</row>
        <row r="108">
          <cell r="C108">
            <v>8</v>
          </cell>
          <cell r="D108">
            <v>5</v>
          </cell>
          <cell r="E108">
            <v>3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</row>
        <row r="109">
          <cell r="C109">
            <v>8</v>
          </cell>
          <cell r="D109">
            <v>30</v>
          </cell>
          <cell r="E109">
            <v>5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C110">
            <v>8</v>
          </cell>
          <cell r="D110">
            <v>31</v>
          </cell>
          <cell r="E110">
            <v>6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C111">
            <v>8</v>
          </cell>
          <cell r="D111">
            <v>29</v>
          </cell>
          <cell r="E111">
            <v>5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C112">
            <v>8</v>
          </cell>
          <cell r="D112">
            <v>33</v>
          </cell>
          <cell r="E112">
            <v>7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</row>
        <row r="113">
          <cell r="C113">
            <v>8</v>
          </cell>
          <cell r="D113">
            <v>34</v>
          </cell>
          <cell r="E113">
            <v>15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C114">
            <v>8</v>
          </cell>
          <cell r="D114">
            <v>35</v>
          </cell>
          <cell r="E114">
            <v>16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</row>
        <row r="115">
          <cell r="C115">
            <v>8</v>
          </cell>
          <cell r="D115">
            <v>36</v>
          </cell>
          <cell r="E115">
            <v>17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C116">
            <v>8</v>
          </cell>
          <cell r="D116">
            <v>99</v>
          </cell>
          <cell r="E116">
            <v>20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C117">
            <v>8</v>
          </cell>
          <cell r="D117">
            <v>36</v>
          </cell>
          <cell r="E117">
            <v>8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C118">
            <v>8</v>
          </cell>
          <cell r="D118">
            <v>36</v>
          </cell>
          <cell r="E118">
            <v>8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C119">
            <v>9</v>
          </cell>
          <cell r="D119">
            <v>4</v>
          </cell>
          <cell r="E119">
            <v>3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</row>
        <row r="120">
          <cell r="C120">
            <v>9</v>
          </cell>
          <cell r="D120">
            <v>2</v>
          </cell>
          <cell r="E120">
            <v>42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</row>
        <row r="121">
          <cell r="C121">
            <v>9</v>
          </cell>
          <cell r="D121">
            <v>6</v>
          </cell>
          <cell r="E121">
            <v>2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C122">
            <v>9</v>
          </cell>
          <cell r="D122">
            <v>5</v>
          </cell>
          <cell r="E122">
            <v>3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C123">
            <v>9</v>
          </cell>
          <cell r="D123">
            <v>30</v>
          </cell>
          <cell r="E123">
            <v>5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C124">
            <v>9</v>
          </cell>
          <cell r="D124">
            <v>31</v>
          </cell>
          <cell r="E124">
            <v>6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</row>
        <row r="125">
          <cell r="C125">
            <v>9</v>
          </cell>
          <cell r="D125">
            <v>29</v>
          </cell>
          <cell r="E125">
            <v>5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</row>
        <row r="126">
          <cell r="C126">
            <v>9</v>
          </cell>
          <cell r="D126">
            <v>33</v>
          </cell>
          <cell r="E126">
            <v>7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</row>
        <row r="127">
          <cell r="C127">
            <v>9</v>
          </cell>
          <cell r="D127">
            <v>34</v>
          </cell>
          <cell r="E127">
            <v>15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</row>
        <row r="128">
          <cell r="C128">
            <v>9</v>
          </cell>
          <cell r="D128">
            <v>35</v>
          </cell>
          <cell r="E128">
            <v>16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</row>
        <row r="129">
          <cell r="C129">
            <v>9</v>
          </cell>
          <cell r="D129">
            <v>36</v>
          </cell>
          <cell r="E129">
            <v>17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</row>
        <row r="130">
          <cell r="C130">
            <v>9</v>
          </cell>
          <cell r="D130">
            <v>99</v>
          </cell>
          <cell r="E130">
            <v>20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</row>
        <row r="131">
          <cell r="C131">
            <v>9</v>
          </cell>
          <cell r="D131">
            <v>36</v>
          </cell>
          <cell r="E131">
            <v>8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</row>
        <row r="132">
          <cell r="C132">
            <v>9</v>
          </cell>
          <cell r="D132">
            <v>36</v>
          </cell>
          <cell r="E132">
            <v>8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</row>
        <row r="133">
          <cell r="C133">
            <v>10</v>
          </cell>
          <cell r="D133">
            <v>4</v>
          </cell>
          <cell r="E133">
            <v>3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</row>
        <row r="134">
          <cell r="C134">
            <v>10</v>
          </cell>
          <cell r="D134">
            <v>2</v>
          </cell>
          <cell r="E134">
            <v>42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</row>
        <row r="135">
          <cell r="C135">
            <v>10</v>
          </cell>
          <cell r="D135">
            <v>6</v>
          </cell>
          <cell r="E135">
            <v>2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</row>
        <row r="136">
          <cell r="C136">
            <v>10</v>
          </cell>
          <cell r="D136">
            <v>5</v>
          </cell>
          <cell r="E136">
            <v>3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</row>
        <row r="137">
          <cell r="C137">
            <v>10</v>
          </cell>
          <cell r="D137">
            <v>30</v>
          </cell>
          <cell r="E137">
            <v>5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</row>
        <row r="138">
          <cell r="C138">
            <v>10</v>
          </cell>
          <cell r="D138">
            <v>31</v>
          </cell>
          <cell r="E138">
            <v>6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</row>
        <row r="139">
          <cell r="C139">
            <v>10</v>
          </cell>
          <cell r="D139">
            <v>29</v>
          </cell>
          <cell r="E139">
            <v>5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</row>
        <row r="140">
          <cell r="C140">
            <v>10</v>
          </cell>
          <cell r="D140">
            <v>33</v>
          </cell>
          <cell r="E140">
            <v>7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</row>
        <row r="141">
          <cell r="C141">
            <v>10</v>
          </cell>
          <cell r="D141">
            <v>34</v>
          </cell>
          <cell r="E141">
            <v>15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</row>
        <row r="142">
          <cell r="C142">
            <v>10</v>
          </cell>
          <cell r="D142">
            <v>35</v>
          </cell>
          <cell r="E142">
            <v>16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</row>
        <row r="143">
          <cell r="C143">
            <v>10</v>
          </cell>
          <cell r="D143">
            <v>36</v>
          </cell>
          <cell r="E143">
            <v>17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</row>
        <row r="144">
          <cell r="C144">
            <v>10</v>
          </cell>
          <cell r="D144">
            <v>99</v>
          </cell>
          <cell r="E144">
            <v>20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</row>
        <row r="145">
          <cell r="C145">
            <v>10</v>
          </cell>
          <cell r="D145">
            <v>36</v>
          </cell>
          <cell r="E145">
            <v>8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C146">
            <v>10</v>
          </cell>
          <cell r="D146">
            <v>36</v>
          </cell>
          <cell r="E146">
            <v>8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C147">
            <v>11</v>
          </cell>
          <cell r="D147">
            <v>4</v>
          </cell>
          <cell r="E147">
            <v>3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</row>
        <row r="148">
          <cell r="C148">
            <v>11</v>
          </cell>
          <cell r="D148">
            <v>2</v>
          </cell>
          <cell r="E148">
            <v>42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</row>
        <row r="149">
          <cell r="C149">
            <v>11</v>
          </cell>
          <cell r="D149">
            <v>6</v>
          </cell>
          <cell r="E149">
            <v>2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</row>
        <row r="150">
          <cell r="C150">
            <v>11</v>
          </cell>
          <cell r="D150">
            <v>5</v>
          </cell>
          <cell r="E150">
            <v>3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</row>
        <row r="151">
          <cell r="C151">
            <v>11</v>
          </cell>
          <cell r="D151">
            <v>30</v>
          </cell>
          <cell r="E151">
            <v>5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</row>
        <row r="152">
          <cell r="C152">
            <v>11</v>
          </cell>
          <cell r="D152">
            <v>31</v>
          </cell>
          <cell r="E152">
            <v>6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</row>
        <row r="153">
          <cell r="C153">
            <v>11</v>
          </cell>
          <cell r="D153">
            <v>29</v>
          </cell>
          <cell r="E153">
            <v>5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</row>
        <row r="154">
          <cell r="C154">
            <v>11</v>
          </cell>
          <cell r="D154">
            <v>33</v>
          </cell>
          <cell r="E154">
            <v>7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</row>
        <row r="155">
          <cell r="C155">
            <v>11</v>
          </cell>
          <cell r="D155">
            <v>34</v>
          </cell>
          <cell r="E155">
            <v>15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C156">
            <v>11</v>
          </cell>
          <cell r="D156">
            <v>35</v>
          </cell>
          <cell r="E156">
            <v>16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</row>
        <row r="157">
          <cell r="C157">
            <v>11</v>
          </cell>
          <cell r="D157">
            <v>36</v>
          </cell>
          <cell r="E157">
            <v>17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C158">
            <v>11</v>
          </cell>
          <cell r="D158">
            <v>99</v>
          </cell>
          <cell r="E158">
            <v>20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</row>
        <row r="159">
          <cell r="C159">
            <v>11</v>
          </cell>
          <cell r="D159">
            <v>36</v>
          </cell>
          <cell r="E159">
            <v>8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</row>
        <row r="160">
          <cell r="C160">
            <v>11</v>
          </cell>
          <cell r="D160">
            <v>36</v>
          </cell>
          <cell r="E160">
            <v>8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</row>
        <row r="161">
          <cell r="C161">
            <v>12</v>
          </cell>
          <cell r="D161">
            <v>4</v>
          </cell>
          <cell r="E161">
            <v>3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</row>
        <row r="162">
          <cell r="C162">
            <v>12</v>
          </cell>
          <cell r="D162">
            <v>2</v>
          </cell>
          <cell r="E162">
            <v>42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</row>
        <row r="163">
          <cell r="C163">
            <v>12</v>
          </cell>
          <cell r="D163">
            <v>6</v>
          </cell>
          <cell r="E163">
            <v>2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</row>
        <row r="164">
          <cell r="C164">
            <v>12</v>
          </cell>
          <cell r="D164">
            <v>5</v>
          </cell>
          <cell r="E164">
            <v>3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</row>
        <row r="165">
          <cell r="C165">
            <v>12</v>
          </cell>
          <cell r="D165">
            <v>30</v>
          </cell>
          <cell r="E165">
            <v>5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</row>
        <row r="166">
          <cell r="C166">
            <v>12</v>
          </cell>
          <cell r="D166">
            <v>31</v>
          </cell>
          <cell r="E166">
            <v>6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</row>
        <row r="167">
          <cell r="C167">
            <v>12</v>
          </cell>
          <cell r="D167">
            <v>29</v>
          </cell>
          <cell r="E167">
            <v>5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</row>
        <row r="168">
          <cell r="C168">
            <v>12</v>
          </cell>
          <cell r="D168">
            <v>33</v>
          </cell>
          <cell r="E168">
            <v>7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</row>
        <row r="169">
          <cell r="C169">
            <v>12</v>
          </cell>
          <cell r="D169">
            <v>34</v>
          </cell>
          <cell r="E169">
            <v>15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</row>
        <row r="170">
          <cell r="C170">
            <v>12</v>
          </cell>
          <cell r="D170">
            <v>35</v>
          </cell>
          <cell r="E170">
            <v>16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C171">
            <v>12</v>
          </cell>
          <cell r="D171">
            <v>36</v>
          </cell>
          <cell r="E171">
            <v>17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</row>
        <row r="172">
          <cell r="C172">
            <v>12</v>
          </cell>
          <cell r="D172">
            <v>99</v>
          </cell>
          <cell r="E172">
            <v>20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</row>
        <row r="173">
          <cell r="C173">
            <v>12</v>
          </cell>
          <cell r="D173">
            <v>36</v>
          </cell>
          <cell r="E173">
            <v>8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</row>
        <row r="174">
          <cell r="C174">
            <v>12</v>
          </cell>
          <cell r="D174">
            <v>36</v>
          </cell>
          <cell r="E174">
            <v>8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C175">
            <v>13</v>
          </cell>
          <cell r="D175">
            <v>4</v>
          </cell>
          <cell r="E175">
            <v>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</row>
        <row r="176">
          <cell r="C176">
            <v>13</v>
          </cell>
          <cell r="D176">
            <v>2</v>
          </cell>
          <cell r="E176">
            <v>42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C177">
            <v>13</v>
          </cell>
          <cell r="D177">
            <v>6</v>
          </cell>
          <cell r="E177">
            <v>2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C178">
            <v>13</v>
          </cell>
          <cell r="D178">
            <v>5</v>
          </cell>
          <cell r="E178">
            <v>3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</row>
        <row r="179">
          <cell r="C179">
            <v>13</v>
          </cell>
          <cell r="D179">
            <v>30</v>
          </cell>
          <cell r="E179">
            <v>5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</row>
        <row r="180">
          <cell r="C180">
            <v>13</v>
          </cell>
          <cell r="D180">
            <v>31</v>
          </cell>
          <cell r="E180">
            <v>6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</row>
        <row r="181">
          <cell r="C181">
            <v>13</v>
          </cell>
          <cell r="D181">
            <v>29</v>
          </cell>
          <cell r="E181">
            <v>5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</row>
        <row r="182">
          <cell r="C182">
            <v>13</v>
          </cell>
          <cell r="D182">
            <v>33</v>
          </cell>
          <cell r="E182">
            <v>7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C183">
            <v>13</v>
          </cell>
          <cell r="D183">
            <v>34</v>
          </cell>
          <cell r="E183">
            <v>15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</row>
        <row r="184">
          <cell r="C184">
            <v>13</v>
          </cell>
          <cell r="D184">
            <v>35</v>
          </cell>
          <cell r="E184">
            <v>16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</row>
        <row r="185">
          <cell r="C185">
            <v>13</v>
          </cell>
          <cell r="D185">
            <v>36</v>
          </cell>
          <cell r="E185">
            <v>17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</row>
        <row r="186">
          <cell r="C186">
            <v>13</v>
          </cell>
          <cell r="D186">
            <v>99</v>
          </cell>
          <cell r="E186">
            <v>20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</row>
        <row r="187">
          <cell r="C187">
            <v>13</v>
          </cell>
          <cell r="D187">
            <v>36</v>
          </cell>
          <cell r="E187">
            <v>8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C188">
            <v>13</v>
          </cell>
          <cell r="D188">
            <v>36</v>
          </cell>
          <cell r="E188">
            <v>8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</row>
        <row r="189">
          <cell r="C189">
            <v>14</v>
          </cell>
          <cell r="D189">
            <v>4</v>
          </cell>
          <cell r="E189">
            <v>3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</row>
        <row r="190">
          <cell r="C190">
            <v>14</v>
          </cell>
          <cell r="D190">
            <v>2</v>
          </cell>
          <cell r="E190">
            <v>42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</row>
        <row r="191">
          <cell r="C191">
            <v>14</v>
          </cell>
          <cell r="D191">
            <v>6</v>
          </cell>
          <cell r="E191">
            <v>2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</row>
        <row r="192">
          <cell r="C192">
            <v>14</v>
          </cell>
          <cell r="D192">
            <v>5</v>
          </cell>
          <cell r="E192">
            <v>3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</row>
        <row r="193">
          <cell r="C193">
            <v>14</v>
          </cell>
          <cell r="D193">
            <v>30</v>
          </cell>
          <cell r="E193">
            <v>5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</row>
        <row r="194">
          <cell r="C194">
            <v>14</v>
          </cell>
          <cell r="D194">
            <v>31</v>
          </cell>
          <cell r="E194">
            <v>6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C195">
            <v>14</v>
          </cell>
          <cell r="D195">
            <v>29</v>
          </cell>
          <cell r="E195">
            <v>5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C196">
            <v>14</v>
          </cell>
          <cell r="D196">
            <v>33</v>
          </cell>
          <cell r="E196">
            <v>7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</row>
        <row r="197">
          <cell r="C197">
            <v>14</v>
          </cell>
          <cell r="D197">
            <v>34</v>
          </cell>
          <cell r="E197">
            <v>15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C198">
            <v>14</v>
          </cell>
          <cell r="D198">
            <v>35</v>
          </cell>
          <cell r="E198">
            <v>16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C199">
            <v>14</v>
          </cell>
          <cell r="D199">
            <v>36</v>
          </cell>
          <cell r="E199">
            <v>17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C200">
            <v>14</v>
          </cell>
          <cell r="D200">
            <v>99</v>
          </cell>
          <cell r="E200">
            <v>20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1">
          <cell r="C201">
            <v>14</v>
          </cell>
          <cell r="D201">
            <v>36</v>
          </cell>
          <cell r="E201">
            <v>8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</row>
        <row r="202">
          <cell r="C202">
            <v>14</v>
          </cell>
          <cell r="D202">
            <v>36</v>
          </cell>
          <cell r="E202">
            <v>8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</row>
        <row r="203">
          <cell r="C203">
            <v>15</v>
          </cell>
          <cell r="D203">
            <v>4</v>
          </cell>
          <cell r="E203">
            <v>3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</row>
        <row r="204">
          <cell r="C204">
            <v>15</v>
          </cell>
          <cell r="D204">
            <v>2</v>
          </cell>
          <cell r="E204">
            <v>42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</row>
        <row r="205">
          <cell r="C205">
            <v>15</v>
          </cell>
          <cell r="D205">
            <v>6</v>
          </cell>
          <cell r="E205">
            <v>2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C206">
            <v>15</v>
          </cell>
          <cell r="D206">
            <v>5</v>
          </cell>
          <cell r="E206">
            <v>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</row>
        <row r="207">
          <cell r="C207">
            <v>15</v>
          </cell>
          <cell r="D207">
            <v>30</v>
          </cell>
          <cell r="E207">
            <v>5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</row>
        <row r="208">
          <cell r="C208">
            <v>15</v>
          </cell>
          <cell r="D208">
            <v>31</v>
          </cell>
          <cell r="E208">
            <v>6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</row>
        <row r="209">
          <cell r="C209">
            <v>15</v>
          </cell>
          <cell r="D209">
            <v>29</v>
          </cell>
          <cell r="E209">
            <v>5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</row>
        <row r="210">
          <cell r="C210">
            <v>15</v>
          </cell>
          <cell r="D210">
            <v>33</v>
          </cell>
          <cell r="E210">
            <v>7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</row>
        <row r="211">
          <cell r="C211">
            <v>15</v>
          </cell>
          <cell r="D211">
            <v>34</v>
          </cell>
          <cell r="E211">
            <v>15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</row>
        <row r="212">
          <cell r="C212">
            <v>15</v>
          </cell>
          <cell r="D212">
            <v>35</v>
          </cell>
          <cell r="E212">
            <v>16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C213">
            <v>15</v>
          </cell>
          <cell r="D213">
            <v>36</v>
          </cell>
          <cell r="E213">
            <v>17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C214">
            <v>15</v>
          </cell>
          <cell r="D214">
            <v>99</v>
          </cell>
          <cell r="E214">
            <v>20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5">
          <cell r="C215">
            <v>15</v>
          </cell>
          <cell r="D215">
            <v>36</v>
          </cell>
          <cell r="E215">
            <v>8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</row>
        <row r="216">
          <cell r="C216">
            <v>15</v>
          </cell>
          <cell r="D216">
            <v>36</v>
          </cell>
          <cell r="E216">
            <v>8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</row>
        <row r="217">
          <cell r="C217">
            <v>16</v>
          </cell>
          <cell r="D217">
            <v>4</v>
          </cell>
          <cell r="E217">
            <v>3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</row>
        <row r="218">
          <cell r="C218">
            <v>16</v>
          </cell>
          <cell r="D218">
            <v>2</v>
          </cell>
          <cell r="E218">
            <v>42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</row>
        <row r="219">
          <cell r="C219">
            <v>16</v>
          </cell>
          <cell r="D219">
            <v>6</v>
          </cell>
          <cell r="E219">
            <v>2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</row>
        <row r="220">
          <cell r="C220">
            <v>16</v>
          </cell>
          <cell r="D220">
            <v>5</v>
          </cell>
          <cell r="E220">
            <v>3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</row>
        <row r="221">
          <cell r="C221">
            <v>16</v>
          </cell>
          <cell r="D221">
            <v>30</v>
          </cell>
          <cell r="E221">
            <v>5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</row>
        <row r="222">
          <cell r="C222">
            <v>16</v>
          </cell>
          <cell r="D222">
            <v>31</v>
          </cell>
          <cell r="E222">
            <v>6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C223">
            <v>16</v>
          </cell>
          <cell r="D223">
            <v>29</v>
          </cell>
          <cell r="E223">
            <v>5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</row>
        <row r="224">
          <cell r="C224">
            <v>16</v>
          </cell>
          <cell r="D224">
            <v>33</v>
          </cell>
          <cell r="E224">
            <v>7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</row>
        <row r="225">
          <cell r="C225">
            <v>16</v>
          </cell>
          <cell r="D225">
            <v>34</v>
          </cell>
          <cell r="E225">
            <v>15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C226">
            <v>16</v>
          </cell>
          <cell r="D226">
            <v>35</v>
          </cell>
          <cell r="E226">
            <v>16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C227">
            <v>16</v>
          </cell>
          <cell r="D227">
            <v>36</v>
          </cell>
          <cell r="E227">
            <v>17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C228">
            <v>16</v>
          </cell>
          <cell r="D228">
            <v>99</v>
          </cell>
          <cell r="E228">
            <v>20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</row>
        <row r="229">
          <cell r="C229">
            <v>16</v>
          </cell>
          <cell r="D229">
            <v>36</v>
          </cell>
          <cell r="E229">
            <v>8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C230">
            <v>16</v>
          </cell>
          <cell r="D230">
            <v>36</v>
          </cell>
          <cell r="E230">
            <v>8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C231">
            <v>17</v>
          </cell>
          <cell r="D231">
            <v>4</v>
          </cell>
          <cell r="E231">
            <v>3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</row>
        <row r="232">
          <cell r="C232">
            <v>17</v>
          </cell>
          <cell r="D232">
            <v>2</v>
          </cell>
          <cell r="E232">
            <v>42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C233">
            <v>17</v>
          </cell>
          <cell r="D233">
            <v>6</v>
          </cell>
          <cell r="E233">
            <v>2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</row>
        <row r="234">
          <cell r="C234">
            <v>17</v>
          </cell>
          <cell r="D234">
            <v>5</v>
          </cell>
          <cell r="E234">
            <v>3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</row>
        <row r="235">
          <cell r="C235">
            <v>17</v>
          </cell>
          <cell r="D235">
            <v>30</v>
          </cell>
          <cell r="E235">
            <v>5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C236">
            <v>17</v>
          </cell>
          <cell r="D236">
            <v>31</v>
          </cell>
          <cell r="E236">
            <v>6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</row>
        <row r="237">
          <cell r="C237">
            <v>17</v>
          </cell>
          <cell r="D237">
            <v>29</v>
          </cell>
          <cell r="E237">
            <v>5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C238">
            <v>17</v>
          </cell>
          <cell r="D238">
            <v>33</v>
          </cell>
          <cell r="E238">
            <v>7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</row>
        <row r="239">
          <cell r="C239">
            <v>17</v>
          </cell>
          <cell r="D239">
            <v>34</v>
          </cell>
          <cell r="E239">
            <v>15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</row>
        <row r="240">
          <cell r="C240">
            <v>17</v>
          </cell>
          <cell r="D240">
            <v>35</v>
          </cell>
          <cell r="E240">
            <v>16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</row>
        <row r="241">
          <cell r="C241">
            <v>17</v>
          </cell>
          <cell r="D241">
            <v>36</v>
          </cell>
          <cell r="E241">
            <v>17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C242">
            <v>17</v>
          </cell>
          <cell r="D242">
            <v>99</v>
          </cell>
          <cell r="E242">
            <v>20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</row>
        <row r="243">
          <cell r="C243">
            <v>17</v>
          </cell>
          <cell r="D243">
            <v>36</v>
          </cell>
          <cell r="E243">
            <v>8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</row>
        <row r="244">
          <cell r="C244">
            <v>17</v>
          </cell>
          <cell r="D244">
            <v>36</v>
          </cell>
          <cell r="E244">
            <v>8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</row>
        <row r="245">
          <cell r="C245">
            <v>18</v>
          </cell>
          <cell r="D245">
            <v>4</v>
          </cell>
          <cell r="E245">
            <v>3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</row>
        <row r="246">
          <cell r="C246">
            <v>18</v>
          </cell>
          <cell r="D246">
            <v>2</v>
          </cell>
          <cell r="E246">
            <v>42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</row>
        <row r="247">
          <cell r="C247">
            <v>18</v>
          </cell>
          <cell r="D247">
            <v>6</v>
          </cell>
          <cell r="E247">
            <v>2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</row>
        <row r="248">
          <cell r="C248">
            <v>18</v>
          </cell>
          <cell r="D248">
            <v>5</v>
          </cell>
          <cell r="E248">
            <v>3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C249">
            <v>18</v>
          </cell>
          <cell r="D249">
            <v>30</v>
          </cell>
          <cell r="E249">
            <v>5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</row>
        <row r="250">
          <cell r="C250">
            <v>18</v>
          </cell>
          <cell r="D250">
            <v>31</v>
          </cell>
          <cell r="E250">
            <v>6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C251">
            <v>18</v>
          </cell>
          <cell r="D251">
            <v>29</v>
          </cell>
          <cell r="E251">
            <v>5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</row>
        <row r="252">
          <cell r="C252">
            <v>18</v>
          </cell>
          <cell r="D252">
            <v>33</v>
          </cell>
          <cell r="E252">
            <v>7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</row>
        <row r="253">
          <cell r="C253">
            <v>18</v>
          </cell>
          <cell r="D253">
            <v>34</v>
          </cell>
          <cell r="E253">
            <v>15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</row>
        <row r="254">
          <cell r="C254">
            <v>18</v>
          </cell>
          <cell r="D254">
            <v>35</v>
          </cell>
          <cell r="E254">
            <v>16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</row>
        <row r="255">
          <cell r="C255">
            <v>18</v>
          </cell>
          <cell r="D255">
            <v>36</v>
          </cell>
          <cell r="E255">
            <v>17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</row>
        <row r="256">
          <cell r="C256">
            <v>18</v>
          </cell>
          <cell r="D256">
            <v>99</v>
          </cell>
          <cell r="E256">
            <v>20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</row>
        <row r="257">
          <cell r="C257">
            <v>18</v>
          </cell>
          <cell r="D257">
            <v>36</v>
          </cell>
          <cell r="E257">
            <v>8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C258">
            <v>18</v>
          </cell>
          <cell r="D258">
            <v>36</v>
          </cell>
          <cell r="E258">
            <v>8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</row>
        <row r="259">
          <cell r="C259">
            <v>19</v>
          </cell>
          <cell r="D259">
            <v>4</v>
          </cell>
          <cell r="E259">
            <v>3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</row>
        <row r="260">
          <cell r="C260">
            <v>19</v>
          </cell>
          <cell r="D260">
            <v>2</v>
          </cell>
          <cell r="E260">
            <v>42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</row>
        <row r="261">
          <cell r="C261">
            <v>19</v>
          </cell>
          <cell r="D261">
            <v>6</v>
          </cell>
          <cell r="E261">
            <v>2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</row>
        <row r="262">
          <cell r="C262">
            <v>19</v>
          </cell>
          <cell r="D262">
            <v>5</v>
          </cell>
          <cell r="E262">
            <v>3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C263">
            <v>19</v>
          </cell>
          <cell r="D263">
            <v>30</v>
          </cell>
          <cell r="E263">
            <v>5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</row>
        <row r="264">
          <cell r="C264">
            <v>19</v>
          </cell>
          <cell r="D264">
            <v>31</v>
          </cell>
          <cell r="E264">
            <v>6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</row>
        <row r="265">
          <cell r="C265">
            <v>19</v>
          </cell>
          <cell r="D265">
            <v>29</v>
          </cell>
          <cell r="E265">
            <v>5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</row>
        <row r="266">
          <cell r="C266">
            <v>19</v>
          </cell>
          <cell r="D266">
            <v>33</v>
          </cell>
          <cell r="E266">
            <v>7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</row>
        <row r="267">
          <cell r="C267">
            <v>19</v>
          </cell>
          <cell r="D267">
            <v>34</v>
          </cell>
          <cell r="E267">
            <v>15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</row>
        <row r="268">
          <cell r="C268">
            <v>19</v>
          </cell>
          <cell r="D268">
            <v>35</v>
          </cell>
          <cell r="E268">
            <v>16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</row>
        <row r="269">
          <cell r="C269">
            <v>19</v>
          </cell>
          <cell r="D269">
            <v>36</v>
          </cell>
          <cell r="E269">
            <v>17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</row>
        <row r="270">
          <cell r="C270">
            <v>19</v>
          </cell>
          <cell r="D270">
            <v>99</v>
          </cell>
          <cell r="E270">
            <v>20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</row>
        <row r="271">
          <cell r="C271">
            <v>19</v>
          </cell>
          <cell r="D271">
            <v>36</v>
          </cell>
          <cell r="E271">
            <v>8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</row>
        <row r="272">
          <cell r="C272">
            <v>19</v>
          </cell>
          <cell r="D272">
            <v>36</v>
          </cell>
          <cell r="E272">
            <v>8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</row>
        <row r="273">
          <cell r="C273">
            <v>20</v>
          </cell>
          <cell r="D273">
            <v>4</v>
          </cell>
          <cell r="E273">
            <v>3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</row>
        <row r="274">
          <cell r="C274">
            <v>20</v>
          </cell>
          <cell r="D274">
            <v>2</v>
          </cell>
          <cell r="E274">
            <v>42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</row>
        <row r="275">
          <cell r="C275">
            <v>20</v>
          </cell>
          <cell r="D275">
            <v>6</v>
          </cell>
          <cell r="E275">
            <v>2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</row>
        <row r="276">
          <cell r="C276">
            <v>20</v>
          </cell>
          <cell r="D276">
            <v>5</v>
          </cell>
          <cell r="E276">
            <v>3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C277">
            <v>20</v>
          </cell>
          <cell r="D277">
            <v>30</v>
          </cell>
          <cell r="E277">
            <v>5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C278">
            <v>20</v>
          </cell>
          <cell r="D278">
            <v>31</v>
          </cell>
          <cell r="E278">
            <v>6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</row>
        <row r="279">
          <cell r="C279">
            <v>20</v>
          </cell>
          <cell r="D279">
            <v>29</v>
          </cell>
          <cell r="E279">
            <v>5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</row>
        <row r="280">
          <cell r="C280">
            <v>20</v>
          </cell>
          <cell r="D280">
            <v>33</v>
          </cell>
          <cell r="E280">
            <v>7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</row>
        <row r="281">
          <cell r="C281">
            <v>20</v>
          </cell>
          <cell r="D281">
            <v>34</v>
          </cell>
          <cell r="E281">
            <v>15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</row>
        <row r="282">
          <cell r="C282">
            <v>20</v>
          </cell>
          <cell r="D282">
            <v>35</v>
          </cell>
          <cell r="E282">
            <v>16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</row>
        <row r="283">
          <cell r="C283">
            <v>20</v>
          </cell>
          <cell r="D283">
            <v>36</v>
          </cell>
          <cell r="E283">
            <v>17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</row>
        <row r="284">
          <cell r="C284">
            <v>20</v>
          </cell>
          <cell r="D284">
            <v>99</v>
          </cell>
          <cell r="E284">
            <v>20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</row>
        <row r="285">
          <cell r="C285">
            <v>20</v>
          </cell>
          <cell r="D285">
            <v>36</v>
          </cell>
          <cell r="E285">
            <v>8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</row>
        <row r="286">
          <cell r="C286">
            <v>20</v>
          </cell>
          <cell r="D286">
            <v>36</v>
          </cell>
          <cell r="E286">
            <v>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</row>
      </sheetData>
      <sheetData sheetId="15" refreshError="1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0">
    <sheetNames>
      <sheetName val="Guidelines"/>
      <sheetName val="Intro"/>
      <sheetName val="Page 0"/>
      <sheetName val="Table of contents"/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Page 9 "/>
      <sheetName val="Page 10"/>
      <sheetName val="Page 11 "/>
      <sheetName val="Page 12 "/>
      <sheetName val="Page 13-A"/>
      <sheetName val="Page 13-B"/>
      <sheetName val="Page 14-A"/>
      <sheetName val="Page 14-B"/>
      <sheetName val="Page 15-A"/>
      <sheetName val="Page 15-B"/>
      <sheetName val="Conception"/>
      <sheetName val="Page 16 "/>
      <sheetName val="Page 17"/>
      <sheetName val="Page 18"/>
      <sheetName val="Page 19 "/>
      <sheetName val="Page 20"/>
      <sheetName val="Page 21-A"/>
      <sheetName val="Page 21-B"/>
      <sheetName val="Page 22"/>
      <sheetName val="Page 23-A"/>
      <sheetName val="Page 23-B"/>
      <sheetName val="Page 24 "/>
      <sheetName val="Page 25"/>
      <sheetName val="Page 26"/>
      <sheetName val="Page 27"/>
      <sheetName val="Page 28"/>
      <sheetName val="Page 29"/>
      <sheetName val="Page 30"/>
      <sheetName val="Page 31"/>
      <sheetName val="Page 32"/>
      <sheetName val="Page 33-A"/>
      <sheetName val="Page 33-B"/>
      <sheetName val="Page 34"/>
      <sheetName val="Page 35"/>
      <sheetName val="Page 36"/>
      <sheetName val="Page 37"/>
      <sheetName val="Page 38"/>
      <sheetName val="Page 39"/>
      <sheetName val="Page 40"/>
      <sheetName val="Page 41"/>
      <sheetName val="Page 42 "/>
      <sheetName val="Page 43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6">
          <cell r="B6" t="str">
            <v>Figures in millions euros</v>
          </cell>
          <cell r="C6">
            <v>2000</v>
          </cell>
          <cell r="E6">
            <v>2001</v>
          </cell>
          <cell r="G6">
            <v>2002</v>
          </cell>
          <cell r="I6">
            <v>2003</v>
          </cell>
          <cell r="K6">
            <v>2004</v>
          </cell>
          <cell r="M6" t="str">
            <v>Comments</v>
          </cell>
        </row>
        <row r="7">
          <cell r="C7" t="str">
            <v>PMT</v>
          </cell>
          <cell r="D7" t="str">
            <v>Update</v>
          </cell>
          <cell r="E7" t="str">
            <v>PMT</v>
          </cell>
          <cell r="F7" t="str">
            <v>Update</v>
          </cell>
          <cell r="G7" t="str">
            <v>PMT</v>
          </cell>
          <cell r="H7" t="str">
            <v>Update</v>
          </cell>
          <cell r="I7" t="str">
            <v>PMT</v>
          </cell>
          <cell r="J7" t="str">
            <v>Update</v>
          </cell>
          <cell r="K7" t="str">
            <v>PMT</v>
          </cell>
          <cell r="L7" t="str">
            <v>Update</v>
          </cell>
        </row>
        <row r="9">
          <cell r="B9" t="str">
            <v>Total Sales</v>
          </cell>
          <cell r="C9">
            <v>825.6</v>
          </cell>
          <cell r="D9">
            <v>831.1</v>
          </cell>
          <cell r="E9">
            <v>766.5</v>
          </cell>
          <cell r="F9">
            <v>844.9</v>
          </cell>
          <cell r="G9">
            <v>783.1</v>
          </cell>
          <cell r="H9">
            <v>790.7</v>
          </cell>
          <cell r="I9">
            <v>942.9</v>
          </cell>
          <cell r="J9">
            <v>899.3</v>
          </cell>
          <cell r="K9">
            <v>1329.3</v>
          </cell>
          <cell r="L9">
            <v>1158.9000000000001</v>
          </cell>
        </row>
        <row r="12">
          <cell r="B12" t="str">
            <v>Product contribution margin</v>
          </cell>
          <cell r="C12">
            <v>223.8</v>
          </cell>
          <cell r="D12">
            <v>217.5</v>
          </cell>
          <cell r="E12">
            <v>220.5</v>
          </cell>
          <cell r="F12">
            <v>228.3</v>
          </cell>
          <cell r="G12">
            <v>228.6</v>
          </cell>
          <cell r="H12">
            <v>238.9</v>
          </cell>
          <cell r="I12">
            <v>255</v>
          </cell>
          <cell r="J12">
            <v>264.39999999999998</v>
          </cell>
          <cell r="K12">
            <v>306.3</v>
          </cell>
          <cell r="L12">
            <v>290.89999999999998</v>
          </cell>
        </row>
        <row r="13">
          <cell r="B13" t="str">
            <v>% Sales</v>
          </cell>
          <cell r="C13">
            <v>0.27107558139534882</v>
          </cell>
          <cell r="D13">
            <v>0.2617013596438455</v>
          </cell>
          <cell r="E13">
            <v>0.28767123287671231</v>
          </cell>
          <cell r="F13">
            <v>0.27056456385371047</v>
          </cell>
          <cell r="G13">
            <v>0.3050695951985698</v>
          </cell>
          <cell r="H13">
            <v>0.32249905147337798</v>
          </cell>
          <cell r="I13">
            <v>0.28041149644713115</v>
          </cell>
          <cell r="J13">
            <v>0.29400644946069165</v>
          </cell>
          <cell r="K13">
            <v>0.23042202663055744</v>
          </cell>
          <cell r="L13">
            <v>0.25101389248425227</v>
          </cell>
        </row>
        <row r="15">
          <cell r="B15" t="str">
            <v>Gross margin</v>
          </cell>
          <cell r="C15">
            <v>105.1</v>
          </cell>
          <cell r="D15">
            <v>94.2</v>
          </cell>
          <cell r="E15">
            <v>99.8</v>
          </cell>
          <cell r="F15">
            <v>100.1</v>
          </cell>
          <cell r="G15">
            <v>99.6</v>
          </cell>
          <cell r="H15">
            <v>108.7</v>
          </cell>
          <cell r="I15">
            <v>112.5</v>
          </cell>
          <cell r="J15">
            <v>126.1</v>
          </cell>
          <cell r="K15">
            <v>145.5</v>
          </cell>
          <cell r="L15">
            <v>142.4</v>
          </cell>
        </row>
        <row r="16">
          <cell r="B16" t="str">
            <v>% Sales</v>
          </cell>
          <cell r="C16">
            <v>0.12730135658914726</v>
          </cell>
          <cell r="D16">
            <v>0.11334376128023102</v>
          </cell>
          <cell r="E16">
            <v>0.13020221787345074</v>
          </cell>
          <cell r="F16">
            <v>0.11847555923777961</v>
          </cell>
          <cell r="G16">
            <v>0.12718682160643596</v>
          </cell>
          <cell r="H16">
            <v>0.13747312507904388</v>
          </cell>
          <cell r="I16">
            <v>0.11931275851097678</v>
          </cell>
          <cell r="J16">
            <v>0.14022017124430111</v>
          </cell>
          <cell r="K16">
            <v>0.10945610471676823</v>
          </cell>
          <cell r="L16">
            <v>0.12287514021917335</v>
          </cell>
        </row>
        <row r="18">
          <cell r="B18" t="str">
            <v>R&amp;D</v>
          </cell>
          <cell r="C18">
            <v>-40</v>
          </cell>
          <cell r="D18">
            <v>-41.1</v>
          </cell>
          <cell r="E18">
            <v>-41.3</v>
          </cell>
          <cell r="F18">
            <v>-35.6</v>
          </cell>
          <cell r="G18">
            <v>-42.1</v>
          </cell>
          <cell r="H18">
            <v>-34.4</v>
          </cell>
          <cell r="I18">
            <v>-44.2</v>
          </cell>
          <cell r="J18">
            <v>-34.9</v>
          </cell>
          <cell r="K18">
            <v>-44.4</v>
          </cell>
          <cell r="L18">
            <v>-37.6</v>
          </cell>
        </row>
        <row r="19">
          <cell r="B19" t="str">
            <v>% Sales</v>
          </cell>
          <cell r="C19">
            <v>4.8449612403100771E-2</v>
          </cell>
          <cell r="D19">
            <v>4.9452532787871498E-2</v>
          </cell>
          <cell r="E19">
            <v>5.3881278538812784E-2</v>
          </cell>
          <cell r="F19">
            <v>4.2135163924724821E-2</v>
          </cell>
          <cell r="G19">
            <v>5.3760694675009581E-2</v>
          </cell>
          <cell r="H19">
            <v>4.3505754394840009E-2</v>
          </cell>
          <cell r="I19">
            <v>4.6876657121645987E-2</v>
          </cell>
          <cell r="J19">
            <v>3.880796174802624E-2</v>
          </cell>
          <cell r="K19">
            <v>3.3401038140374636E-2</v>
          </cell>
          <cell r="L19">
            <v>3.244455949607386E-2</v>
          </cell>
        </row>
        <row r="21">
          <cell r="B21" t="str">
            <v>Structures expenses</v>
          </cell>
          <cell r="C21">
            <v>-38</v>
          </cell>
          <cell r="D21">
            <v>-37.9</v>
          </cell>
          <cell r="E21">
            <v>-41.2</v>
          </cell>
          <cell r="F21">
            <v>-41.6</v>
          </cell>
          <cell r="G21">
            <v>-41.7</v>
          </cell>
          <cell r="H21">
            <v>-38.1</v>
          </cell>
          <cell r="I21">
            <v>-42.3</v>
          </cell>
          <cell r="J21">
            <v>-38.6</v>
          </cell>
          <cell r="K21">
            <v>-48.8</v>
          </cell>
          <cell r="L21">
            <v>-41.8</v>
          </cell>
        </row>
        <row r="22">
          <cell r="B22" t="str">
            <v>% Sales</v>
          </cell>
          <cell r="C22">
            <v>4.6027131782945735E-2</v>
          </cell>
          <cell r="D22">
            <v>4.5602213933341351E-2</v>
          </cell>
          <cell r="E22">
            <v>5.3750815394651014E-2</v>
          </cell>
          <cell r="F22">
            <v>4.9236596046869453E-2</v>
          </cell>
          <cell r="G22">
            <v>5.3249904226790962E-2</v>
          </cell>
          <cell r="H22">
            <v>4.81851523966106E-2</v>
          </cell>
          <cell r="I22">
            <v>4.4861597200127265E-2</v>
          </cell>
          <cell r="J22">
            <v>4.2922272878905821E-2</v>
          </cell>
          <cell r="K22">
            <v>3.6711050929060407E-2</v>
          </cell>
          <cell r="L22">
            <v>3.6068685822762958E-2</v>
          </cell>
        </row>
        <row r="23">
          <cell r="B23" t="str">
            <v>Others</v>
          </cell>
          <cell r="C23">
            <v>-2.2999999999999998</v>
          </cell>
          <cell r="D23">
            <v>-1.1000000000000001</v>
          </cell>
          <cell r="F23">
            <v>-1.8</v>
          </cell>
        </row>
        <row r="25">
          <cell r="B25" t="str">
            <v>Operating income</v>
          </cell>
          <cell r="C25">
            <v>24.799999999999994</v>
          </cell>
          <cell r="D25">
            <v>14.100000000000003</v>
          </cell>
          <cell r="E25">
            <v>17.299999999999997</v>
          </cell>
          <cell r="F25">
            <v>21.099999999999998</v>
          </cell>
          <cell r="G25">
            <v>15.79999999999999</v>
          </cell>
          <cell r="H25">
            <v>36.20000000000001</v>
          </cell>
          <cell r="I25">
            <v>26</v>
          </cell>
          <cell r="J25">
            <v>52.599999999999987</v>
          </cell>
          <cell r="K25">
            <v>52.3</v>
          </cell>
          <cell r="L25">
            <v>63.000000000000014</v>
          </cell>
        </row>
        <row r="26">
          <cell r="B26" t="str">
            <v>% Sales</v>
          </cell>
          <cell r="C26">
            <v>3.0038759689922472E-2</v>
          </cell>
          <cell r="D26">
            <v>1.6965467452773435E-2</v>
          </cell>
          <cell r="E26">
            <v>2.257012393998695E-2</v>
          </cell>
          <cell r="F26">
            <v>2.4973369629541955E-2</v>
          </cell>
          <cell r="G26">
            <v>2.017622270463541E-2</v>
          </cell>
          <cell r="H26">
            <v>4.5782218287593282E-2</v>
          </cell>
          <cell r="I26">
            <v>2.7574504189203521E-2</v>
          </cell>
          <cell r="J26">
            <v>5.8489936617369051E-2</v>
          </cell>
          <cell r="K26">
            <v>3.9344015647333183E-2</v>
          </cell>
          <cell r="L26">
            <v>5.4361894900336535E-2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23">
          <cell r="C23" t="str">
            <v>J</v>
          </cell>
          <cell r="D23" t="str">
            <v>F</v>
          </cell>
          <cell r="E23" t="str">
            <v>M</v>
          </cell>
          <cell r="F23" t="str">
            <v>A</v>
          </cell>
          <cell r="G23" t="str">
            <v>M</v>
          </cell>
          <cell r="H23" t="str">
            <v>J</v>
          </cell>
          <cell r="I23" t="str">
            <v>J</v>
          </cell>
          <cell r="J23" t="str">
            <v>A</v>
          </cell>
          <cell r="K23" t="str">
            <v>S</v>
          </cell>
          <cell r="L23" t="str">
            <v>O</v>
          </cell>
          <cell r="M23" t="str">
            <v>N</v>
          </cell>
          <cell r="N23" t="str">
            <v>D</v>
          </cell>
        </row>
        <row r="24">
          <cell r="B24" t="str">
            <v>Y-1 (cumulated)</v>
          </cell>
          <cell r="C24">
            <v>0</v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</row>
        <row r="25">
          <cell r="B25" t="str">
            <v>Y (cumulated)</v>
          </cell>
          <cell r="C25">
            <v>0.218</v>
          </cell>
          <cell r="D25">
            <v>0.502</v>
          </cell>
          <cell r="E25">
            <v>0.88200000000000001</v>
          </cell>
          <cell r="F25">
            <v>1.2290000000000001</v>
          </cell>
          <cell r="G25">
            <v>1.7030000000000001</v>
          </cell>
          <cell r="H25">
            <v>2.1880000000000002</v>
          </cell>
          <cell r="I25">
            <v>2.7310000000000003</v>
          </cell>
          <cell r="J25">
            <v>2.9480000000000004</v>
          </cell>
          <cell r="K25">
            <v>3.4120000000000004</v>
          </cell>
          <cell r="L25">
            <v>3.7700000000000005</v>
          </cell>
          <cell r="M25">
            <v>4.2090000000000005</v>
          </cell>
          <cell r="N25">
            <v>4.5530000000000008</v>
          </cell>
        </row>
        <row r="27">
          <cell r="B27" t="str">
            <v>Budget</v>
          </cell>
          <cell r="C27">
            <v>0.28699999999999998</v>
          </cell>
          <cell r="D27">
            <v>0.58099999999999996</v>
          </cell>
          <cell r="E27">
            <v>0.88300000000000001</v>
          </cell>
          <cell r="F27">
            <v>1.345</v>
          </cell>
          <cell r="G27">
            <v>1.9379999999999999</v>
          </cell>
          <cell r="H27">
            <v>2.4969999999999999</v>
          </cell>
          <cell r="I27">
            <v>3.0590000000000002</v>
          </cell>
          <cell r="J27">
            <v>3.1779999999999999</v>
          </cell>
          <cell r="K27">
            <v>3.8759999999999999</v>
          </cell>
          <cell r="L27">
            <v>4.6619999999999999</v>
          </cell>
          <cell r="M27">
            <v>5.4130000000000003</v>
          </cell>
          <cell r="N27">
            <v>5.9860000000000007</v>
          </cell>
        </row>
        <row r="32">
          <cell r="B32" t="str">
            <v>Y-1</v>
          </cell>
        </row>
        <row r="33">
          <cell r="B33" t="str">
            <v>Y</v>
          </cell>
          <cell r="C33">
            <v>0.218</v>
          </cell>
          <cell r="D33">
            <v>0.28399999999999997</v>
          </cell>
          <cell r="E33">
            <v>0.38</v>
          </cell>
          <cell r="F33">
            <v>0.34699999999999998</v>
          </cell>
          <cell r="G33">
            <v>0.47399999999999998</v>
          </cell>
          <cell r="H33">
            <v>0.48499999999999999</v>
          </cell>
          <cell r="I33">
            <v>0.54300000000000004</v>
          </cell>
          <cell r="J33">
            <v>0.217</v>
          </cell>
          <cell r="K33">
            <v>0.46400000000000002</v>
          </cell>
          <cell r="L33">
            <v>0.35799999999999998</v>
          </cell>
          <cell r="M33">
            <v>0.439</v>
          </cell>
          <cell r="N33">
            <v>0.34399999999999997</v>
          </cell>
        </row>
        <row r="34">
          <cell r="B34" t="str">
            <v>Budget</v>
          </cell>
          <cell r="C34">
            <v>0.28699999999999998</v>
          </cell>
          <cell r="D34">
            <v>0.29399999999999998</v>
          </cell>
          <cell r="E34">
            <v>0.30199999999999999</v>
          </cell>
          <cell r="F34">
            <v>0.46200000000000002</v>
          </cell>
          <cell r="G34">
            <v>0.59299999999999997</v>
          </cell>
          <cell r="H34">
            <v>0.55900000000000005</v>
          </cell>
          <cell r="I34">
            <v>0.56200000000000006</v>
          </cell>
          <cell r="J34">
            <v>0.11899999999999999</v>
          </cell>
          <cell r="K34">
            <v>0.69799999999999995</v>
          </cell>
          <cell r="L34">
            <v>0.78600000000000003</v>
          </cell>
          <cell r="M34">
            <v>0.751</v>
          </cell>
          <cell r="N34">
            <v>0.57299999999999995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>
        <row r="6">
          <cell r="Q6" t="str">
            <v>Critical cumulated NQC-Top 10 plants (% sales)</v>
          </cell>
        </row>
        <row r="18">
          <cell r="Q18" t="str">
            <v>Critical cumulated NQC-Top 10 plants (in MEuros)</v>
          </cell>
        </row>
        <row r="27">
          <cell r="B27" t="str">
            <v>% sales</v>
          </cell>
          <cell r="C27" t="str">
            <v>J</v>
          </cell>
          <cell r="D27" t="str">
            <v>F</v>
          </cell>
          <cell r="E27" t="str">
            <v>M</v>
          </cell>
          <cell r="F27" t="str">
            <v>A</v>
          </cell>
          <cell r="G27" t="str">
            <v>M</v>
          </cell>
          <cell r="H27" t="str">
            <v>J</v>
          </cell>
          <cell r="I27" t="str">
            <v>J</v>
          </cell>
          <cell r="J27" t="str">
            <v>A</v>
          </cell>
          <cell r="K27" t="str">
            <v>S</v>
          </cell>
          <cell r="L27" t="str">
            <v>O</v>
          </cell>
          <cell r="M27" t="str">
            <v>N</v>
          </cell>
          <cell r="N27" t="str">
            <v>D</v>
          </cell>
          <cell r="O27" t="str">
            <v>Cumul.</v>
          </cell>
        </row>
        <row r="28">
          <cell r="B28" t="str">
            <v>IVBA</v>
          </cell>
          <cell r="C28" t="str">
            <v/>
          </cell>
          <cell r="D28" t="str">
            <v/>
          </cell>
          <cell r="E28" t="str">
            <v/>
          </cell>
          <cell r="F28" t="str">
            <v>not applicable</v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</row>
        <row r="30">
          <cell r="C30" t="str">
            <v>J</v>
          </cell>
          <cell r="D30" t="str">
            <v>F</v>
          </cell>
          <cell r="E30" t="str">
            <v>M</v>
          </cell>
          <cell r="F30" t="str">
            <v>A</v>
          </cell>
          <cell r="G30" t="str">
            <v>M</v>
          </cell>
          <cell r="H30" t="str">
            <v>J</v>
          </cell>
          <cell r="I30" t="str">
            <v>J</v>
          </cell>
          <cell r="J30" t="str">
            <v>A</v>
          </cell>
          <cell r="K30" t="str">
            <v>S</v>
          </cell>
          <cell r="L30" t="str">
            <v>O</v>
          </cell>
          <cell r="M30" t="str">
            <v>N</v>
          </cell>
          <cell r="N30" t="str">
            <v>D</v>
          </cell>
          <cell r="O30" t="str">
            <v>Cumul.</v>
          </cell>
        </row>
        <row r="31">
          <cell r="B31" t="str">
            <v>Non Quality cost</v>
          </cell>
          <cell r="F31" t="str">
            <v>not applicable</v>
          </cell>
          <cell r="O31" t="str">
            <v/>
          </cell>
        </row>
        <row r="33">
          <cell r="C33" t="str">
            <v>J</v>
          </cell>
          <cell r="D33" t="str">
            <v>F</v>
          </cell>
          <cell r="E33" t="str">
            <v>M</v>
          </cell>
          <cell r="F33" t="str">
            <v>A</v>
          </cell>
          <cell r="G33" t="str">
            <v>M</v>
          </cell>
          <cell r="H33" t="str">
            <v>J</v>
          </cell>
          <cell r="I33" t="str">
            <v>J</v>
          </cell>
          <cell r="J33" t="str">
            <v>A</v>
          </cell>
          <cell r="K33" t="str">
            <v>S</v>
          </cell>
          <cell r="L33" t="str">
            <v>O</v>
          </cell>
          <cell r="M33" t="str">
            <v>N</v>
          </cell>
          <cell r="N33" t="str">
            <v>D</v>
          </cell>
          <cell r="O33" t="str">
            <v>Cumul.</v>
          </cell>
        </row>
        <row r="34">
          <cell r="B34" t="str">
            <v>Sales</v>
          </cell>
          <cell r="O34" t="str">
            <v/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>
        <row r="24">
          <cell r="D24" t="str">
            <v>S-1</v>
          </cell>
          <cell r="E24" t="str">
            <v>S</v>
          </cell>
          <cell r="J24" t="str">
            <v>S-1</v>
          </cell>
          <cell r="K24" t="str">
            <v>S</v>
          </cell>
        </row>
        <row r="25">
          <cell r="C25" t="str">
            <v>Support function employees</v>
          </cell>
          <cell r="D25">
            <v>1828</v>
          </cell>
          <cell r="E25">
            <v>1974</v>
          </cell>
          <cell r="I25" t="str">
            <v>Support function cost (€M]</v>
          </cell>
          <cell r="J25">
            <v>42</v>
          </cell>
          <cell r="K25">
            <v>42.596800000000002</v>
          </cell>
        </row>
        <row r="26">
          <cell r="C26" t="str">
            <v>Total employees</v>
          </cell>
          <cell r="D26">
            <v>5355</v>
          </cell>
          <cell r="E26">
            <v>5475</v>
          </cell>
          <cell r="I26" t="str">
            <v>Sales (€M)</v>
          </cell>
          <cell r="J26">
            <v>433</v>
          </cell>
          <cell r="K26">
            <v>442</v>
          </cell>
        </row>
        <row r="32">
          <cell r="D32" t="str">
            <v>S-1</v>
          </cell>
          <cell r="E32" t="str">
            <v>S</v>
          </cell>
          <cell r="F32" t="str">
            <v>Target</v>
          </cell>
          <cell r="J32" t="str">
            <v>S-1</v>
          </cell>
          <cell r="K32" t="str">
            <v>S</v>
          </cell>
          <cell r="L32" t="str">
            <v>Target</v>
          </cell>
        </row>
        <row r="33">
          <cell r="C33" t="str">
            <v>Support function employees %</v>
          </cell>
          <cell r="D33">
            <v>34</v>
          </cell>
          <cell r="E33">
            <v>36</v>
          </cell>
          <cell r="I33" t="str">
            <v>Support function cost %</v>
          </cell>
          <cell r="J33">
            <v>9.6997690531177838</v>
          </cell>
          <cell r="K33">
            <v>9.6372850678733037</v>
          </cell>
        </row>
      </sheetData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0">
    <sheetNames>
      <sheetName val="MASTER"/>
      <sheetName val="PATTERN"/>
      <sheetName val="SHS LIST"/>
    </sheetNames>
    <sheetDataSet>
      <sheetData sheetId="0" refreshError="1">
        <row r="7">
          <cell r="B7" t="str">
            <v>BS2_2003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0">
    <sheetNames>
      <sheetName val="Lib"/>
      <sheetName val="Param"/>
      <sheetName val="Maquette"/>
      <sheetName val="Gross margin"/>
      <sheetName val="Material"/>
      <sheetName val="Direct Labour"/>
      <sheetName val="Actual_01"/>
      <sheetName val="Budget_S1_01"/>
      <sheetName val="Gesamt 13"/>
    </sheetNames>
    <sheetDataSet>
      <sheetData sheetId="0" refreshError="1"/>
      <sheetData sheetId="1" refreshError="1">
        <row r="5">
          <cell r="C5" t="str">
            <v>Std_FR01BRC_st</v>
          </cell>
        </row>
        <row r="6">
          <cell r="C6" t="str">
            <v>Std_FR01BRC_me</v>
          </cell>
        </row>
        <row r="7">
          <cell r="C7" t="str">
            <v>Std_FR01BRC_fo</v>
          </cell>
        </row>
        <row r="8">
          <cell r="C8" t="str">
            <v>Std_FR01BRC_cw</v>
          </cell>
        </row>
        <row r="9">
          <cell r="C9" t="str">
            <v>Std_FR01BRC_b1</v>
          </cell>
        </row>
        <row r="10">
          <cell r="C10" t="str">
            <v>Std_FR01BRC_b2</v>
          </cell>
        </row>
        <row r="11">
          <cell r="C11" t="str">
            <v>Std_FR01BRC_b5</v>
          </cell>
        </row>
        <row r="12">
          <cell r="C12" t="str">
            <v>Std_FR01BRC_b6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0">
    <sheetNames>
      <sheetName val="PRESENTATION"/>
      <sheetName val="IMPRESS"/>
      <sheetName val="SOMMAIRE"/>
      <sheetName val="SYNTHGEN"/>
      <sheetName val="SYNTHGEN (2)"/>
      <sheetName val="EVOPVPA"/>
      <sheetName val="INDICEPV"/>
      <sheetName val="CADETCLI"/>
      <sheetName val="CADETACT"/>
      <sheetName val="CAPREVCTvsactua"/>
      <sheetName val="CAPREVCT"/>
      <sheetName val="CAPREVCTvsn-1"/>
      <sheetName val="CAPREVCT (2)"/>
      <sheetName val="RENTCAP"/>
      <sheetName val="CRMOIS"/>
      <sheetName val="MBMOIS"/>
      <sheetName val="SIG"/>
      <sheetName val="VARESOP"/>
      <sheetName val="VA"/>
      <sheetName val="EFFECTIF"/>
      <sheetName val="EFFECTIF (2)"/>
      <sheetName val="MOI"/>
      <sheetName val="FLUXTRESO"/>
      <sheetName val="TRESO"/>
      <sheetName val="PREVTRESOvsACTUA"/>
      <sheetName val="PREVTRESO"/>
      <sheetName val="PREVTRESO (2)"/>
      <sheetName val="ENDETTEM"/>
      <sheetName val="BFR"/>
      <sheetName val="BFR (2)"/>
      <sheetName val="STOCKS"/>
      <sheetName val="STOCKS (2)"/>
      <sheetName val="stout"/>
      <sheetName val="stetp"/>
      <sheetName val="CREANCLI"/>
      <sheetName val="INVESTIS"/>
      <sheetName val="INVESTIS (2)"/>
      <sheetName val="RECEPINV"/>
      <sheetName val="ETUPROTO"/>
      <sheetName val="BILAN"/>
      <sheetName val="TRADUC"/>
      <sheetName val="MACRO"/>
      <sheetName val="PROJETS"/>
      <sheetName val="Assets"/>
      <sheetName val="Gesamt 1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Param"/>
      <sheetName val="Listes"/>
      <sheetName val="graph SOP"/>
      <sheetName val="Page 15"/>
      <sheetName val="Non quality costs"/>
      <sheetName val="Page 20"/>
      <sheetName val="Page 39"/>
      <sheetName val="Page 42"/>
      <sheetName val="Page 8"/>
      <sheetName val="Page 21"/>
      <sheetName val="Page 24"/>
      <sheetName val="Page 25"/>
      <sheetName val="Page 26"/>
      <sheetName val="Page 30"/>
      <sheetName val="Rohrteile"/>
      <sheetName val="Hypotheses"/>
      <sheetName val="IST_ACTUAL EUR"/>
      <sheetName val="IOP"/>
      <sheetName val="Temp"/>
      <sheetName val="LOV"/>
      <sheetName val="实际与预算对比"/>
      <sheetName val="Sheet1 (3)"/>
      <sheetName val="折旧"/>
      <sheetName val="Dashboard"/>
      <sheetName val="calculations"/>
      <sheetName val="development"/>
      <sheetName val="investment"/>
      <sheetName val="Rates"/>
      <sheetName val="Monthly Summary"/>
      <sheetName val="2007利润表结构"/>
      <sheetName val="损益表（按单位)01"/>
      <sheetName val="Page 31"/>
      <sheetName val="Feuil1"/>
      <sheetName val="MASTER"/>
      <sheetName val="Page 14-A"/>
      <sheetName val="INTRO"/>
      <sheetName val="COGS"/>
      <sheetName val="Turnover YTD"/>
      <sheetName val="FEUILLE DE BASE"/>
      <sheetName val="M65 &amp; C65"/>
      <sheetName val="GM"/>
      <sheetName val="GMV"/>
      <sheetName val="M70"/>
      <sheetName val="N68"/>
      <sheetName val="PKO"/>
      <sheetName val="A8"/>
      <sheetName val="T1"/>
      <sheetName val="T5"/>
      <sheetName val="Rate"/>
      <sheetName val="SYNTHGEN_(2)"/>
      <sheetName val="CAPREVCT_(2)"/>
      <sheetName val="EFFECTIF_(2)"/>
      <sheetName val="PREVTRESO_(2)"/>
      <sheetName val="BFR_(2)"/>
      <sheetName val="STOCKS_(2)"/>
      <sheetName val="INVESTIS_(2)"/>
      <sheetName val="FEUILLE_DE_BASE"/>
      <sheetName val="M65_&amp;_C65"/>
      <sheetName val="Sheet1"/>
      <sheetName val="#REF"/>
      <sheetName val="31.12.03"/>
      <sheetName val="Data"/>
      <sheetName val="Line Load Analysis"/>
      <sheetName val="Projectdata"/>
      <sheetName val="codeMOI"/>
      <sheetName val="SYNTHGEN_(2)1"/>
      <sheetName val="CAPREVCT_(2)1"/>
      <sheetName val="EFFECTIF_(2)1"/>
      <sheetName val="PREVTRESO_(2)1"/>
      <sheetName val="BFR_(2)1"/>
      <sheetName val="STOCKS_(2)1"/>
      <sheetName val="INVESTIS_(2)1"/>
      <sheetName val="FEUILLE_DE_BASE1"/>
      <sheetName val="M65_&amp;_C651"/>
      <sheetName val="31_12_03"/>
      <sheetName val="Line_Load_Analysis"/>
      <sheetName val="SYNTHGEN_(2)2"/>
      <sheetName val="CAPREVCT_(2)2"/>
      <sheetName val="EFFECTIF_(2)2"/>
      <sheetName val="PREVTRESO_(2)2"/>
      <sheetName val="BFR_(2)2"/>
      <sheetName val="STOCKS_(2)2"/>
      <sheetName val="INVESTIS_(2)2"/>
      <sheetName val="FEUILLE_DE_BASE2"/>
      <sheetName val="M65_&amp;_C652"/>
      <sheetName val="31_12_031"/>
      <sheetName val="Line_Load_Analysis1"/>
      <sheetName val="SYNTHGEN_(2)3"/>
      <sheetName val="CAPREVCT_(2)3"/>
      <sheetName val="EFFECTIF_(2)3"/>
      <sheetName val="PREVTRESO_(2)3"/>
      <sheetName val="BFR_(2)3"/>
      <sheetName val="STOCKS_(2)3"/>
      <sheetName val="INVESTIS_(2)3"/>
      <sheetName val="FEUILLE_DE_BASE3"/>
      <sheetName val="M65_&amp;_C653"/>
      <sheetName val="31_12_032"/>
      <sheetName val="Line_Load_Analysis2"/>
      <sheetName val="Packaging"/>
      <sheetName val="Transport"/>
      <sheetName val="RE¼/_x0017__x0000_ "/>
      <sheetName val="Entity"/>
      <sheetName val="CONTROLE"/>
      <sheetName val="Volume"/>
      <sheetName val="RE¼__x0017_"/>
      <sheetName val="Page 35"/>
      <sheetName val="Customize Your Purchase Order"/>
      <sheetName val="Etudes"/>
    </sheetNames>
    <sheetDataSet>
      <sheetData sheetId="0" refreshError="1">
        <row r="16">
          <cell r="E16" t="str">
            <v>tceuro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0">
    <sheetNames>
      <sheetName val="F-0002-024A"/>
      <sheetName val="F-0002-024B"/>
      <sheetName val="Change Log"/>
      <sheetName val="LOV"/>
    </sheetNames>
    <sheetDataSet>
      <sheetData sheetId="0"/>
      <sheetData sheetId="1"/>
      <sheetData sheetId="2"/>
      <sheetData sheetId="3">
        <row r="2">
          <cell r="G2" t="str">
            <v>WORKING</v>
          </cell>
          <cell r="H2" t="str">
            <v>Y</v>
          </cell>
          <cell r="I2" t="str">
            <v>Y</v>
          </cell>
        </row>
        <row r="3">
          <cell r="G3" t="str">
            <v>R&amp;D DEVELOPMENT</v>
          </cell>
        </row>
        <row r="4">
          <cell r="G4" t="str">
            <v>R&amp;D BOOKSHELF</v>
          </cell>
        </row>
        <row r="5">
          <cell r="G5" t="str">
            <v>PRE-AWARD</v>
          </cell>
        </row>
        <row r="6">
          <cell r="G6" t="str">
            <v>DEVELOPMENT</v>
          </cell>
        </row>
        <row r="7">
          <cell r="G7" t="str">
            <v>PROTOTYPE</v>
          </cell>
        </row>
        <row r="8">
          <cell r="G8" t="str">
            <v>PRODUCTION</v>
          </cell>
        </row>
        <row r="9">
          <cell r="G9" t="str">
            <v>SERVICE</v>
          </cell>
        </row>
        <row r="10">
          <cell r="G10" t="str">
            <v>OBSOLETE</v>
          </cell>
        </row>
      </sheetData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0">
    <sheetNames>
      <sheetName val="Varebit 2006 FY versus PMT"/>
      <sheetName val="Varebit S2 05 versus Budget"/>
      <sheetName val="Bud. Beaulieu 2005 S2"/>
      <sheetName val="Bud. Beaulieu Struct. 2005 S2"/>
      <sheetName val="Varebit S2 FIB PY"/>
      <sheetName val="Forecast analysis"/>
      <sheetName val="Varebit S1 06 versus S1 05 FIB"/>
      <sheetName val="Varebit 2006 FY versus 2005 FY"/>
      <sheetName val="Varebit 2005 versus 2004"/>
      <sheetName val="Act. Beaulieu"/>
      <sheetName val="Fcst Beaulieu 05"/>
      <sheetName val="Varesop Group S2 2005"/>
      <sheetName val="Varesop Group S1 2006"/>
      <sheetName val="Varesop Group 2006 vs 2005"/>
      <sheetName val="Varesop Group PMT"/>
      <sheetName val="Varesop Group 2005 vs 2004"/>
      <sheetName val="Income Statement"/>
      <sheetName val="Act. Bud. FIB 2004"/>
      <sheetName val="Varebit S1 FIB PY"/>
      <sheetName val="Fixed costs Evolution"/>
      <sheetName val="Energy &amp; freight"/>
      <sheetName val="R&amp;D"/>
      <sheetName val="Key Internal Figures "/>
      <sheetName val="Headcount Flex"/>
      <sheetName val="Act. Bud. FIB 2005 S1"/>
      <sheetName val="Parametres 04"/>
      <sheetName val="Varebit FY FIB (2)"/>
      <sheetName val="Act. Bud. FIB 2005 S2"/>
      <sheetName val="Parametres 05"/>
      <sheetName val="Bud. Spain 2006 S1"/>
      <sheetName val="Act. MPC"/>
      <sheetName val="Bud. Spain 2005 S2"/>
      <sheetName val="Fcst Spain 05"/>
      <sheetName val="Act. Spain"/>
      <sheetName val="Bud. Beaulieu 2006 S1"/>
      <sheetName val="Fcst MPC 05"/>
      <sheetName val="Bud. Messei 2006 S1"/>
      <sheetName val="Bud. Poissy 2006 S1"/>
      <sheetName val="Bud. MPC 2005 S2"/>
      <sheetName val="Bud. Portugal 2006 S1"/>
      <sheetName val="Bud. Portugal 2005 S2"/>
      <sheetName val="Fcst Portugal 05"/>
      <sheetName val="Act. Portugal"/>
      <sheetName val="Bud. France 2005 S2"/>
      <sheetName val="Bud. France 2006 S1"/>
      <sheetName val="Fcst France 05"/>
      <sheetName val="Act. France"/>
      <sheetName val="Bud. Beaulieu Struct. 2006 S1"/>
      <sheetName val="Fcst Beaulieu Struct. 05"/>
      <sheetName val="Act. Beaulieu Struct."/>
      <sheetName val="Bud. FIB Conso 2006 S1"/>
      <sheetName val="Fcst FIB Conso 2005"/>
      <sheetName val="Act. FIB Conso 2004"/>
      <sheetName val="Bud. FIB Conso 2005 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>
        <row r="5">
          <cell r="S5" t="str">
            <v>Janvier</v>
          </cell>
          <cell r="T5" t="str">
            <v>Février</v>
          </cell>
          <cell r="U5" t="str">
            <v>Mars</v>
          </cell>
          <cell r="V5" t="str">
            <v>Avril</v>
          </cell>
          <cell r="W5" t="str">
            <v>Mai</v>
          </cell>
          <cell r="X5" t="str">
            <v>Juin</v>
          </cell>
          <cell r="Y5" t="str">
            <v>Juillet</v>
          </cell>
          <cell r="Z5" t="str">
            <v>Août</v>
          </cell>
          <cell r="AA5" t="str">
            <v>Septembre</v>
          </cell>
          <cell r="AB5" t="str">
            <v>Octobre</v>
          </cell>
          <cell r="AC5" t="str">
            <v>Novembre</v>
          </cell>
          <cell r="AD5" t="str">
            <v>Décembre</v>
          </cell>
        </row>
        <row r="8">
          <cell r="Z8" t="str">
            <v>405 : + 0.7 M ; 307 : + 0.3 M ; 206 : - 0.2 M ; Astra + 0.3 M ; C1 : + 0.2 M</v>
          </cell>
          <cell r="AA8" t="str">
            <v>307 : +1.1 M€ ; 405 : +0.5 M€ ; FORD C1 : -0.6 M€ ; +0.2 M€ M59 &amp; N68</v>
          </cell>
          <cell r="AB8" t="str">
            <v>307 : + 2.1 M€ ; 405 : -0.9 M ; C3 : -0.6 M€; ASTRA : -0.5 M€ ; C1 : - 0.4 M€</v>
          </cell>
          <cell r="AC8" t="str">
            <v>Performance PSA Hot Ends (+3 M€ :22% product sales month versus budget)</v>
          </cell>
          <cell r="AD8" t="str">
            <v>PSA + 3% (0.3 M€) : M59 +19% / 0.2 M€ ; Spares + 0.3 M€</v>
          </cell>
        </row>
        <row r="9">
          <cell r="Z9" t="str">
            <v>C1 : + 0.2 M</v>
          </cell>
          <cell r="AA9" t="str">
            <v>PSA SPARES +65% ; RSA SPARES +70%</v>
          </cell>
          <cell r="AB9" t="str">
            <v>Beaulieu Correction - 2.3 M€ impact</v>
          </cell>
          <cell r="AC9" t="str">
            <v>over compensates lower volumes on Ford (-0,2 M€) and GM (-0,3 M€).</v>
          </cell>
          <cell r="AD9" t="str">
            <v>RSA + 12% (0.3 M) ; VW - 24% (-0.4 M€)</v>
          </cell>
        </row>
        <row r="17">
          <cell r="Z17" t="str">
            <v>therof - 144 K€ this month on 405 Iran</v>
          </cell>
          <cell r="AA17" t="str">
            <v>Very low level versus budget : index at 99.9</v>
          </cell>
          <cell r="AB17" t="str">
            <v>Wiesenman impact - 126 K€ (same in material) in Beaulieu ; + 24 K€ Spain</v>
          </cell>
          <cell r="AC17" t="str">
            <v>Sales index stands at 99,9 compared to 98,2 budgeted</v>
          </cell>
          <cell r="AD17" t="str">
            <v>Selling price index at 99.7 versus 98.2 in budget</v>
          </cell>
        </row>
        <row r="22">
          <cell r="AB22" t="str">
            <v>- 47.2% after Beaulieu correction of cumulated sales</v>
          </cell>
        </row>
        <row r="24">
          <cell r="AB24" t="str">
            <v>Standard  - 46.4% of sales</v>
          </cell>
        </row>
        <row r="28">
          <cell r="AA28" t="str">
            <v>Index managed at 98.26 versus 98.71 in budget (Purchasing reporting)</v>
          </cell>
          <cell r="AC28" t="str">
            <v>Purchasing index is 98,8 vs 96,0 for budget</v>
          </cell>
        </row>
        <row r="29">
          <cell r="AB29" t="str">
            <v>Extra alloy impact</v>
          </cell>
        </row>
        <row r="30">
          <cell r="AA30" t="str">
            <v>80 K€ negative variance to be retreated (in industrial variance at the moment)</v>
          </cell>
          <cell r="AB30" t="str">
            <v>Includes 90 K€ positive effect on wiesenman flex</v>
          </cell>
          <cell r="AD30" t="str">
            <v>Price index total turnover at 99.3% versus 96.3% in Magnitude budget</v>
          </cell>
        </row>
        <row r="35">
          <cell r="AA35" t="str">
            <v>Scrap deviation at Beaulieu (0.9% total sales versus 0.6% budget)</v>
          </cell>
          <cell r="AB35" t="str">
            <v>Beaulieu at 0.8% scrap versus 0.5% target</v>
          </cell>
        </row>
        <row r="37">
          <cell r="AA37" t="str">
            <v>80 K€ negative variance to be retreated (extra alloy impact not in base price)</v>
          </cell>
        </row>
        <row r="38">
          <cell r="AB38" t="str">
            <v>Provision for obsolete parts XU7</v>
          </cell>
        </row>
        <row r="41">
          <cell r="AA41" t="str">
            <v>mainly Vigo with external suppliers &gt; transfer prices with Beaulieu</v>
          </cell>
        </row>
        <row r="42">
          <cell r="AB42" t="str">
            <v>includes 200 K€ provision write back in Spain</v>
          </cell>
          <cell r="AD42" t="str">
            <v>· + 415 K€ : write off of accruals regarding quality issues</v>
          </cell>
        </row>
        <row r="45">
          <cell r="AB45" t="str">
            <v>Beaulieu Correction + 2.3 M€ impact</v>
          </cell>
        </row>
        <row r="47">
          <cell r="AB47" t="str">
            <v>Mainly Poissy ramp up</v>
          </cell>
          <cell r="AD47" t="str">
            <v>thereof - 154 K€ exceptional transport costs</v>
          </cell>
        </row>
        <row r="51">
          <cell r="AB51" t="str">
            <v>10.1% after Beaulieu correction in cumulated sales</v>
          </cell>
        </row>
        <row r="52">
          <cell r="AB52" t="str">
            <v>10.1% after Beaulieu correction in cumulated sales</v>
          </cell>
        </row>
        <row r="60">
          <cell r="Z60" t="str">
            <v>Beaulieu Lay-out : - 41 K€, Beaulieu efficiency drop : - 74 K€</v>
          </cell>
          <cell r="AA60" t="str">
            <v>- 139 K€ deviation in Beaulieu (R3 at 60.4% versus 66.7% in budget)</v>
          </cell>
          <cell r="AB60" t="str">
            <v>150 K€ deviation in Beaulieu (R3 at 59.4% versus 66.7% in budget</v>
          </cell>
          <cell r="AC60" t="str">
            <v>Beaulieu R3 stands at 61,6% for the month versus 66,9% budgeted, versus 59.4% in October</v>
          </cell>
          <cell r="AD60" t="str">
            <v>R3 at 62.2% versus 67.0 in budget Beaulieu</v>
          </cell>
        </row>
        <row r="63">
          <cell r="AA63" t="str">
            <v>- 23 K€ Beaulieu ; - 50 K€ Messei</v>
          </cell>
        </row>
        <row r="65">
          <cell r="Z65" t="str">
            <v>Messei : 117 K€ (&lt;&gt; between standard and actual cost calculation)</v>
          </cell>
          <cell r="AA65" t="str">
            <v>High absenteism in Vigo (&gt; 10 people)</v>
          </cell>
          <cell r="AB65" t="str">
            <v>thereof 23 K€ in Beaulieu (holidays assumptions)</v>
          </cell>
        </row>
        <row r="66">
          <cell r="Z66" t="str">
            <v>Messei : 62 K€ and Beaulieu 110 K€ provision adjustment on</v>
          </cell>
          <cell r="AA66" t="str">
            <v>Provisions for bonus and profit sharing</v>
          </cell>
          <cell r="AB66" t="str">
            <v>50 K€ provision writte off in Spain</v>
          </cell>
        </row>
        <row r="67">
          <cell r="Z67" t="str">
            <v>bonus and profit sharing provision</v>
          </cell>
        </row>
        <row r="69">
          <cell r="AD69" t="str">
            <v>thereof 220 K€ provision for retirement write back</v>
          </cell>
        </row>
        <row r="71">
          <cell r="Z71" t="str">
            <v>Messei : 210 K€ variance between budget and actual</v>
          </cell>
          <cell r="AB71" t="str">
            <v>93 K€ deviation in Beaulieu (14 people add. Versus budget) ; 110 K€ deviation in Messei (14 people add. Versus budget)</v>
          </cell>
          <cell r="AC71" t="str">
            <v>Indirect labor retrenchment plan late compared to budget by 48 people (23 Beaulieu, 25 Messei)</v>
          </cell>
        </row>
        <row r="73">
          <cell r="AB73" t="str">
            <v>Update from Group</v>
          </cell>
        </row>
        <row r="78">
          <cell r="AA78" t="str">
            <v>+ 73K€ Beaulieu ; - 123 K€ Vigo ; - 150 K€ Messei ; + 200 K€ structures</v>
          </cell>
          <cell r="AB78" t="str">
            <v>Thereof -116 K€ exchange rate beaulieu; - 148 K€ Messei; 100 K€ provision w/o Spain</v>
          </cell>
          <cell r="AC78" t="str">
            <v>Costs positively impacted by various provisions cancelled for 1.1 M€</v>
          </cell>
          <cell r="AD78" t="str">
            <v>- 130 K€ : provision for GM royalties to be paid to NEU in Messei ; +360 K€ structures</v>
          </cell>
        </row>
        <row r="85">
          <cell r="AA85" t="str">
            <v>- 50K€ write-off Beaulieu ; - 50 K€ calendar issue Beaulieu</v>
          </cell>
          <cell r="AB85" t="str">
            <v>thereof Beaulieu - 147 K€ (amortization part price 50 K€ ; Budget construction issue)</v>
          </cell>
          <cell r="AD85" t="str">
            <v>+ 340 K€ : Provision for assets depreciation IFRS revaluation</v>
          </cell>
        </row>
        <row r="89">
          <cell r="AA89" t="str">
            <v>Fix part of stock value in beaulieu (decrease of stocks)</v>
          </cell>
        </row>
        <row r="93">
          <cell r="AB93" t="str">
            <v>41% after Beaulieu Sales correction</v>
          </cell>
        </row>
        <row r="98">
          <cell r="AB98" t="str">
            <v>16% after Beaulieu Sales Correction</v>
          </cell>
        </row>
        <row r="128">
          <cell r="S128">
            <v>0</v>
          </cell>
        </row>
        <row r="131">
          <cell r="S131" t="str">
            <v>Comments</v>
          </cell>
        </row>
        <row r="133">
          <cell r="AD133" t="str">
            <v>Thereof - 150 K€ : PSA debit notes not accrued over past 6 months</v>
          </cell>
        </row>
        <row r="134">
          <cell r="AB134" t="str">
            <v>Price : +2.6 M€ ; Budget construction : + 6.5 M ; Volume 0.7 M€</v>
          </cell>
          <cell r="AD134" t="str">
            <v>Thereof 330 K€ : precious metal recovery after treatment of monoliths scraps</v>
          </cell>
        </row>
        <row r="141">
          <cell r="AD141" t="str">
            <v>· 129 K€ : shared savings on rationalization of monoliths</v>
          </cell>
        </row>
        <row r="146">
          <cell r="AB146" t="str">
            <v>Shared savings policy with customer impact in Messei</v>
          </cell>
        </row>
        <row r="160">
          <cell r="AB160" t="str">
            <v>Change to Boat Shipment impact</v>
          </cell>
        </row>
        <row r="248">
          <cell r="S248">
            <v>0</v>
          </cell>
        </row>
        <row r="251">
          <cell r="S251" t="str">
            <v>Comments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6">
          <cell r="B6" t="str">
            <v>S1</v>
          </cell>
        </row>
        <row r="7">
          <cell r="B7" t="str">
            <v>S2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0">
    <sheetNames>
      <sheetName val="Base"/>
      <sheetName val="CLUB 03 96"/>
      <sheetName val="CLUB 07 96"/>
      <sheetName val="Foamage"/>
      <sheetName val="IOP"/>
    </sheetNames>
    <sheetDataSet>
      <sheetData sheetId="0" refreshError="1"/>
      <sheetData sheetId="1" refreshError="1"/>
      <sheetData sheetId="2" refreshError="1"/>
      <sheetData sheetId="3" refreshError="1">
        <row r="16">
          <cell r="A16">
            <v>1</v>
          </cell>
          <cell r="B16" t="str">
            <v>Ouate 80 g/m²</v>
          </cell>
          <cell r="D16">
            <v>14.55</v>
          </cell>
        </row>
        <row r="17">
          <cell r="A17">
            <v>2</v>
          </cell>
          <cell r="B17" t="str">
            <v>Ouate 130 g/m²</v>
          </cell>
          <cell r="D17">
            <v>19.170000000000002</v>
          </cell>
        </row>
        <row r="18">
          <cell r="A18">
            <v>3</v>
          </cell>
          <cell r="B18" t="str">
            <v>2mm + env bloqué</v>
          </cell>
          <cell r="D18">
            <v>13.72</v>
          </cell>
        </row>
        <row r="19">
          <cell r="A19">
            <v>4</v>
          </cell>
          <cell r="B19" t="str">
            <v>2mm (50 kg/m3) + env 65 g/m² (WS 406)</v>
          </cell>
          <cell r="D19">
            <v>17.39</v>
          </cell>
        </row>
        <row r="20">
          <cell r="A20">
            <v>5</v>
          </cell>
          <cell r="B20" t="str">
            <v>3mm (50 kg/m3) + env 65 g/m² (WS 406)</v>
          </cell>
          <cell r="D20">
            <v>20.11</v>
          </cell>
        </row>
        <row r="21">
          <cell r="A21">
            <v>6</v>
          </cell>
          <cell r="B21" t="str">
            <v>Foam mini + env 65 g/m² (WS T1)</v>
          </cell>
          <cell r="D21">
            <v>13.31</v>
          </cell>
        </row>
        <row r="22">
          <cell r="A22">
            <v>7</v>
          </cell>
          <cell r="B22" t="str">
            <v>foam mini + non tissé à 7.50F/m²</v>
          </cell>
          <cell r="C22" t="str">
            <v>IBP REYDEL</v>
          </cell>
          <cell r="D22">
            <v>16.38</v>
          </cell>
        </row>
        <row r="23">
          <cell r="A23">
            <v>8</v>
          </cell>
          <cell r="B23" t="str">
            <v>foam mini + non tissé à 4.50F/m²</v>
          </cell>
          <cell r="C23" t="str">
            <v>IBP TREVES</v>
          </cell>
          <cell r="D23">
            <v>13.12</v>
          </cell>
        </row>
        <row r="24">
          <cell r="A24">
            <v>9</v>
          </cell>
          <cell r="B24" t="str">
            <v>Foam IS 5 lissé</v>
          </cell>
          <cell r="D24">
            <v>20.8</v>
          </cell>
        </row>
      </sheetData>
      <sheetData sheetId="4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0">
    <sheetNames>
      <sheetName val="Cover"/>
      <sheetName val="Individual data (employee)"/>
      <sheetName val="Direct labor per contract"/>
      <sheetName val="Month entry flow"/>
      <sheetName val="Month departure flow"/>
      <sheetName val="Indirect labor per contract"/>
      <sheetName val="Indirect labor available"/>
      <sheetName val="Part time headcount"/>
      <sheetName val="Secondee employee per line"/>
      <sheetName val="Absenteeism hours"/>
      <sheetName val="Overtime hours"/>
      <sheetName val="Worked hours"/>
      <sheetName val="Global indicators"/>
      <sheetName val="Referenc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A3" t="str">
            <v>MOI</v>
          </cell>
        </row>
        <row r="4">
          <cell r="A4" t="str">
            <v>MOD</v>
          </cell>
        </row>
        <row r="7">
          <cell r="A7" t="str">
            <v>Y</v>
          </cell>
        </row>
        <row r="8">
          <cell r="A8" t="str">
            <v>N</v>
          </cell>
        </row>
        <row r="11">
          <cell r="A11" t="str">
            <v>M</v>
          </cell>
        </row>
        <row r="12">
          <cell r="A12" t="str">
            <v>F</v>
          </cell>
        </row>
        <row r="15">
          <cell r="A15" t="str">
            <v>ULTD</v>
          </cell>
        </row>
        <row r="16">
          <cell r="A16" t="str">
            <v>ULNP</v>
          </cell>
        </row>
        <row r="17">
          <cell r="A17" t="str">
            <v>FTC</v>
          </cell>
        </row>
        <row r="18">
          <cell r="A18" t="str">
            <v>AP</v>
          </cell>
        </row>
        <row r="19">
          <cell r="A19" t="str">
            <v>TP</v>
          </cell>
        </row>
        <row r="20">
          <cell r="A20" t="str">
            <v>CATS</v>
          </cell>
        </row>
        <row r="21">
          <cell r="A21" t="str">
            <v>LTA</v>
          </cell>
        </row>
        <row r="24">
          <cell r="A24" t="str">
            <v>PM</v>
          </cell>
        </row>
        <row r="25">
          <cell r="A25" t="str">
            <v>TFA</v>
          </cell>
        </row>
        <row r="26">
          <cell r="A26" t="str">
            <v>OW</v>
          </cell>
        </row>
        <row r="29">
          <cell r="A29" t="str">
            <v>LOCAL</v>
          </cell>
        </row>
        <row r="30">
          <cell r="A30" t="str">
            <v>COUNTRY</v>
          </cell>
        </row>
        <row r="31">
          <cell r="A31" t="str">
            <v>DIVISION</v>
          </cell>
        </row>
        <row r="32">
          <cell r="A32" t="str">
            <v>BG</v>
          </cell>
        </row>
        <row r="33">
          <cell r="A33" t="str">
            <v>SHAREDSERV</v>
          </cell>
        </row>
        <row r="34">
          <cell r="A34" t="str">
            <v>CORPORATE</v>
          </cell>
        </row>
        <row r="37">
          <cell r="A37" t="str">
            <v>PRODUCTION</v>
          </cell>
        </row>
        <row r="38">
          <cell r="A38" t="str">
            <v>SGA</v>
          </cell>
        </row>
        <row r="39">
          <cell r="A39" t="str">
            <v>R&amp;D</v>
          </cell>
        </row>
        <row r="42">
          <cell r="A42" t="str">
            <v>PUR</v>
          </cell>
        </row>
        <row r="43">
          <cell r="A43" t="str">
            <v>LW</v>
          </cell>
        </row>
        <row r="44">
          <cell r="A44" t="str">
            <v>PRC</v>
          </cell>
        </row>
        <row r="45">
          <cell r="A45" t="str">
            <v>TEM</v>
          </cell>
        </row>
        <row r="46">
          <cell r="A46" t="str">
            <v>TOM</v>
          </cell>
        </row>
        <row r="47">
          <cell r="A47" t="str">
            <v>QUA</v>
          </cell>
        </row>
        <row r="48">
          <cell r="A48" t="str">
            <v>SM</v>
          </cell>
        </row>
        <row r="49">
          <cell r="A49" t="str">
            <v>AD</v>
          </cell>
        </row>
        <row r="50">
          <cell r="A50" t="str">
            <v>FIN</v>
          </cell>
        </row>
        <row r="51">
          <cell r="A51" t="str">
            <v>IT</v>
          </cell>
        </row>
        <row r="52">
          <cell r="A52" t="str">
            <v>HR</v>
          </cell>
        </row>
        <row r="53">
          <cell r="A53" t="str">
            <v>GS</v>
          </cell>
        </row>
        <row r="54">
          <cell r="A54" t="str">
            <v>RDEV</v>
          </cell>
        </row>
        <row r="57">
          <cell r="A57" t="str">
            <v>ENT</v>
          </cell>
        </row>
        <row r="58">
          <cell r="A58" t="str">
            <v>ULT</v>
          </cell>
        </row>
        <row r="59">
          <cell r="A59" t="str">
            <v>TIN</v>
          </cell>
        </row>
        <row r="62">
          <cell r="A62" t="str">
            <v>DRE</v>
          </cell>
        </row>
        <row r="63">
          <cell r="A63" t="str">
            <v>RES</v>
          </cell>
        </row>
        <row r="64">
          <cell r="A64" t="str">
            <v>IRE</v>
          </cell>
        </row>
        <row r="65">
          <cell r="A65" t="str">
            <v>CRE</v>
          </cell>
        </row>
        <row r="66">
          <cell r="A66" t="str">
            <v>TOU</v>
          </cell>
        </row>
        <row r="67">
          <cell r="A67" t="str">
            <v>EFC</v>
          </cell>
        </row>
      </sheetData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0">
    <sheetNames>
      <sheetName val="Contents"/>
      <sheetName val="Content"/>
      <sheetName val="Objectives-Drivers"/>
      <sheetName val="Risk&amp;Opportunities"/>
      <sheetName val="Budgetindexe"/>
      <sheetName val="PPMA"/>
      <sheetName val="PAP"/>
      <sheetName val="Sourcing"/>
      <sheetName val="Startup Costs"/>
      <sheetName val="Tooling Inv"/>
      <sheetName val="R &amp; D Inventories"/>
      <sheetName val="Dashboard"/>
      <sheetName val="D&amp;D by Program"/>
      <sheetName val="SG&amp;A costs by Layer"/>
      <sheetName val="Capex Control"/>
      <sheetName val="RESTRUCT"/>
      <sheetName val="MEE Key Figures"/>
      <sheetName val="IFRS"/>
    </sheetNames>
    <definedNames>
      <definedName name="D" sheetId="1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0">
    <sheetNames>
      <sheetName val="Create DashBoard"/>
      <sheetName val="Printing"/>
      <sheetName val="List"/>
      <sheetName val="Synthesis"/>
      <sheetName val="General"/>
      <sheetName val="Consolidated"/>
      <sheetName val="VAS"/>
      <sheetName val="NVAS"/>
      <sheetName val="D&amp;E"/>
      <sheetName val="Investments &amp; Depreciations"/>
      <sheetName val="T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0">
    <sheetNames>
      <sheetName val="Gesamt 13"/>
      <sheetName val="Leitung"/>
      <sheetName val="CO"/>
      <sheetName val="Qualität"/>
      <sheetName val="Vertrieb Audi"/>
      <sheetName val="BCD"/>
      <sheetName val="Ass.Leitung"/>
      <sheetName val="TE Audi"/>
      <sheetName val="MuBau"/>
      <sheetName val="Vertrieb VW"/>
      <sheetName val="TE VW"/>
      <sheetName val="Prod. VWAudi"/>
      <sheetName val="Perso"/>
      <sheetName val="D3"/>
      <sheetName val="AB2"/>
      <sheetName val="PQ35"/>
      <sheetName val="Golf MPV"/>
      <sheetName val="B6 Cabri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0">
    <sheetNames>
      <sheetName val="Donnees"/>
      <sheetName val="Budget Matiere"/>
      <sheetName val="Budget MOD"/>
      <sheetName val="Conso"/>
      <sheetName val="Conso (2)"/>
    </sheetNames>
    <sheetDataSet>
      <sheetData sheetId="0" refreshError="1">
        <row r="4">
          <cell r="A4" t="str">
            <v>N°FA</v>
          </cell>
          <cell r="B4" t="str">
            <v>Activité</v>
          </cell>
          <cell r="C4" t="str">
            <v>Site</v>
          </cell>
          <cell r="D4" t="str">
            <v>N°Cart</v>
          </cell>
          <cell r="E4" t="str">
            <v>Thème/projet</v>
          </cell>
          <cell r="F4" t="str">
            <v>Thème/projet</v>
          </cell>
          <cell r="G4" t="str">
            <v>Intitulé</v>
          </cell>
          <cell r="H4" t="str">
            <v>Description</v>
          </cell>
          <cell r="I4" t="str">
            <v>Objectif</v>
          </cell>
          <cell r="J4" t="str">
            <v>Pilote</v>
          </cell>
          <cell r="K4" t="str">
            <v>Site</v>
          </cell>
          <cell r="L4" t="str">
            <v>Service</v>
          </cell>
          <cell r="M4" t="str">
            <v>Nature d'actions</v>
          </cell>
          <cell r="N4" t="str">
            <v>H/mois</v>
          </cell>
          <cell r="O4" t="str">
            <v>Qte/mois</v>
          </cell>
          <cell r="P4" t="str">
            <v>H MOD / P</v>
          </cell>
          <cell r="Q4" t="str">
            <v>€ / P</v>
          </cell>
          <cell r="R4" t="str">
            <v>K € / mois</v>
          </cell>
          <cell r="S4" t="str">
            <v>Fonction impactée</v>
          </cell>
          <cell r="T4" t="str">
            <v>Nature gains</v>
          </cell>
          <cell r="U4" t="str">
            <v>Sous-rubrique</v>
          </cell>
          <cell r="V4" t="str">
            <v>Site d'application</v>
          </cell>
          <cell r="W4" t="str">
            <v>Produit</v>
          </cell>
          <cell r="X4" t="str">
            <v>Process</v>
          </cell>
          <cell r="Y4" t="str">
            <v>Client</v>
          </cell>
          <cell r="Z4" t="str">
            <v>Centre gestion</v>
          </cell>
          <cell r="AA4" t="str">
            <v>Mois</v>
          </cell>
          <cell r="AB4" t="str">
            <v>Année</v>
          </cell>
          <cell r="AC4" t="str">
            <v>Mois</v>
          </cell>
          <cell r="AD4" t="str">
            <v>Année</v>
          </cell>
          <cell r="AE4" t="str">
            <v>Mois</v>
          </cell>
          <cell r="AF4" t="str">
            <v>Année</v>
          </cell>
          <cell r="AG4" t="str">
            <v>Mois</v>
          </cell>
          <cell r="AH4" t="str">
            <v>Année</v>
          </cell>
          <cell r="AI4" t="str">
            <v>Mois</v>
          </cell>
          <cell r="AJ4" t="str">
            <v>Année</v>
          </cell>
          <cell r="AK4" t="str">
            <v>Mois</v>
          </cell>
          <cell r="AL4" t="str">
            <v>Année</v>
          </cell>
          <cell r="AM4" t="str">
            <v>Mois</v>
          </cell>
          <cell r="AN4" t="str">
            <v>Année</v>
          </cell>
          <cell r="AO4" t="str">
            <v>Statut</v>
          </cell>
          <cell r="AP4" t="str">
            <v>Avancement</v>
          </cell>
          <cell r="AQ4" t="str">
            <v>Commentaires</v>
          </cell>
          <cell r="AR4" t="str">
            <v>Niv gains</v>
          </cell>
          <cell r="AS4" t="str">
            <v>Dépenses prévues</v>
          </cell>
          <cell r="AT4" t="str">
            <v>Probabilité d'aboutissemnt</v>
          </cell>
          <cell r="AU4" t="str">
            <v>Devise</v>
          </cell>
          <cell r="AV4" t="str">
            <v>Année</v>
          </cell>
          <cell r="AW4" t="str">
            <v>Janvier (P)</v>
          </cell>
          <cell r="AX4" t="str">
            <v>Février (P)</v>
          </cell>
          <cell r="AY4" t="str">
            <v>Mars (P)</v>
          </cell>
          <cell r="AZ4" t="str">
            <v>Avril (P)</v>
          </cell>
          <cell r="BA4" t="str">
            <v>Mai (P)</v>
          </cell>
          <cell r="BB4" t="str">
            <v>Juin (P)</v>
          </cell>
          <cell r="BC4" t="str">
            <v>Juillet (P)</v>
          </cell>
          <cell r="BD4" t="str">
            <v>Août (P)</v>
          </cell>
          <cell r="BE4" t="str">
            <v>Septembre (P)</v>
          </cell>
          <cell r="BF4" t="str">
            <v>Octobre (P)</v>
          </cell>
          <cell r="BG4" t="str">
            <v>Novembre (P)</v>
          </cell>
          <cell r="BH4" t="str">
            <v>Décembre (P)</v>
          </cell>
          <cell r="BI4" t="str">
            <v>Gains 1er année  (P)</v>
          </cell>
          <cell r="BJ4" t="str">
            <v>Gains cumulés à date (P)</v>
          </cell>
          <cell r="BK4" t="str">
            <v>Gains année pleine (P)</v>
          </cell>
          <cell r="BL4" t="str">
            <v>Janvier (R)</v>
          </cell>
          <cell r="BM4" t="str">
            <v>Février (R)</v>
          </cell>
          <cell r="BN4" t="str">
            <v>Mars (R)</v>
          </cell>
          <cell r="BO4" t="str">
            <v>Avril (R)</v>
          </cell>
          <cell r="BP4" t="str">
            <v>Mai (R)</v>
          </cell>
          <cell r="BQ4" t="str">
            <v>Juin (R)</v>
          </cell>
          <cell r="BR4" t="str">
            <v>Juillet (R)</v>
          </cell>
          <cell r="BS4" t="str">
            <v>Août (R)</v>
          </cell>
          <cell r="BT4" t="str">
            <v>Septembre (R)</v>
          </cell>
          <cell r="BU4" t="str">
            <v>Octobre (R)</v>
          </cell>
          <cell r="BV4" t="str">
            <v>Novembre (R)</v>
          </cell>
          <cell r="BW4" t="str">
            <v>Décembre (R)</v>
          </cell>
          <cell r="BX4" t="str">
            <v>YTD réél</v>
          </cell>
        </row>
        <row r="5">
          <cell r="C5" t="str">
            <v>MES</v>
          </cell>
          <cell r="D5">
            <v>116</v>
          </cell>
          <cell r="E5" t="str">
            <v>T3000</v>
          </cell>
          <cell r="G5" t="str">
            <v>MODIF PAS DE PERFO ET OPTIMISATION LONGUEUR SUITE CINTRAGE PAR 2 PIECES</v>
          </cell>
          <cell r="J5" t="str">
            <v>P. ROUSSEAU</v>
          </cell>
          <cell r="N5">
            <v>33.799999999999997</v>
          </cell>
          <cell r="O5">
            <v>1181.8181818181818</v>
          </cell>
          <cell r="P5">
            <v>2.86E-2</v>
          </cell>
          <cell r="Q5">
            <v>0.88660000000000005</v>
          </cell>
          <cell r="R5">
            <v>1.0477999999999998</v>
          </cell>
          <cell r="T5" t="str">
            <v>MOD</v>
          </cell>
          <cell r="Y5" t="str">
            <v>OPEL</v>
          </cell>
          <cell r="Z5" t="str">
            <v>FLA20</v>
          </cell>
          <cell r="AO5" t="str">
            <v>Analyse</v>
          </cell>
          <cell r="AQ5" t="str">
            <v>FLA20</v>
          </cell>
          <cell r="AW5">
            <v>0</v>
          </cell>
          <cell r="AX5">
            <v>0</v>
          </cell>
          <cell r="AY5">
            <v>33.799999999999997</v>
          </cell>
          <cell r="AZ5">
            <v>33.799999999999997</v>
          </cell>
          <cell r="BA5">
            <v>33.799999999999997</v>
          </cell>
          <cell r="BB5">
            <v>33.799999999999997</v>
          </cell>
          <cell r="BC5">
            <v>25.349999999999998</v>
          </cell>
          <cell r="BD5">
            <v>16.899999999999999</v>
          </cell>
          <cell r="BE5">
            <v>33.799999999999997</v>
          </cell>
          <cell r="BF5">
            <v>33.799999999999997</v>
          </cell>
          <cell r="BG5">
            <v>33.799999999999997</v>
          </cell>
          <cell r="BH5">
            <v>25.349999999999998</v>
          </cell>
          <cell r="BI5">
            <v>304.20000000000005</v>
          </cell>
        </row>
        <row r="6">
          <cell r="C6" t="str">
            <v>MES</v>
          </cell>
          <cell r="E6" t="str">
            <v>Dyna</v>
          </cell>
          <cell r="G6" t="str">
            <v>SUPPRESSION D'OPERATIONS PLUS JUSTIFIEES</v>
          </cell>
          <cell r="J6" t="str">
            <v>B. MARIE</v>
          </cell>
          <cell r="N6">
            <v>0.5</v>
          </cell>
          <cell r="R6">
            <v>1.55E-2</v>
          </cell>
          <cell r="T6" t="str">
            <v>MOD</v>
          </cell>
          <cell r="Y6" t="str">
            <v>PSA</v>
          </cell>
          <cell r="Z6" t="str">
            <v>DTU10</v>
          </cell>
          <cell r="AO6" t="str">
            <v>Analyse</v>
          </cell>
          <cell r="AQ6" t="str">
            <v>secteur debit</v>
          </cell>
          <cell r="AW6">
            <v>0.5</v>
          </cell>
          <cell r="AX6">
            <v>0.5</v>
          </cell>
          <cell r="AY6">
            <v>0.5</v>
          </cell>
          <cell r="AZ6">
            <v>0.5</v>
          </cell>
          <cell r="BA6">
            <v>0.5</v>
          </cell>
          <cell r="BB6">
            <v>0.5</v>
          </cell>
          <cell r="BC6">
            <v>0.375</v>
          </cell>
          <cell r="BD6">
            <v>0.25</v>
          </cell>
          <cell r="BE6">
            <v>0.5</v>
          </cell>
          <cell r="BF6">
            <v>0.5</v>
          </cell>
          <cell r="BG6">
            <v>0.5</v>
          </cell>
          <cell r="BH6">
            <v>0.375</v>
          </cell>
          <cell r="BI6">
            <v>5.5</v>
          </cell>
        </row>
        <row r="7">
          <cell r="C7" t="str">
            <v>MES</v>
          </cell>
          <cell r="D7">
            <v>87</v>
          </cell>
          <cell r="E7" t="str">
            <v>Debit</v>
          </cell>
          <cell r="G7" t="str">
            <v>RECHRONO DEBIT JUNG -&gt; DYNA 3</v>
          </cell>
          <cell r="J7" t="str">
            <v>B. MARIE</v>
          </cell>
          <cell r="N7">
            <v>50</v>
          </cell>
          <cell r="R7">
            <v>1.55</v>
          </cell>
          <cell r="T7" t="str">
            <v>MOD</v>
          </cell>
          <cell r="Z7" t="str">
            <v>DTU10</v>
          </cell>
          <cell r="AO7" t="str">
            <v>Analyse</v>
          </cell>
          <cell r="AQ7" t="str">
            <v>secteur debit</v>
          </cell>
          <cell r="AW7">
            <v>25</v>
          </cell>
          <cell r="AX7">
            <v>50</v>
          </cell>
          <cell r="AY7">
            <v>50</v>
          </cell>
          <cell r="AZ7">
            <v>50</v>
          </cell>
          <cell r="BA7">
            <v>50</v>
          </cell>
          <cell r="BB7">
            <v>50</v>
          </cell>
          <cell r="BC7">
            <v>37.5</v>
          </cell>
          <cell r="BD7">
            <v>25</v>
          </cell>
          <cell r="BE7">
            <v>50</v>
          </cell>
          <cell r="BF7">
            <v>50</v>
          </cell>
          <cell r="BG7">
            <v>50</v>
          </cell>
          <cell r="BH7">
            <v>37.5</v>
          </cell>
          <cell r="BI7">
            <v>525</v>
          </cell>
          <cell r="BL7">
            <v>0</v>
          </cell>
        </row>
        <row r="8">
          <cell r="C8" t="str">
            <v>MES</v>
          </cell>
          <cell r="G8" t="str">
            <v>AMELIORATIONS PROCESS CATAS IRAN ( SOUDURE SONDE SUR VIREUR )</v>
          </cell>
          <cell r="J8" t="str">
            <v>B. MARIE</v>
          </cell>
          <cell r="R8">
            <v>0</v>
          </cell>
          <cell r="T8" t="str">
            <v>MOD</v>
          </cell>
          <cell r="Y8" t="str">
            <v>PSA</v>
          </cell>
          <cell r="Z8" t="str">
            <v>FFV51</v>
          </cell>
          <cell r="AO8" t="str">
            <v>Analyse</v>
          </cell>
          <cell r="AQ8" t="str">
            <v>FFV51</v>
          </cell>
          <cell r="AW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</row>
        <row r="9">
          <cell r="C9" t="str">
            <v>MES</v>
          </cell>
          <cell r="D9">
            <v>152</v>
          </cell>
          <cell r="E9" t="str">
            <v>405 iran</v>
          </cell>
          <cell r="G9" t="str">
            <v>PASSAGE AVEC 1/2 NAPPES</v>
          </cell>
          <cell r="J9" t="str">
            <v>J. PLANCHE</v>
          </cell>
          <cell r="N9">
            <v>324</v>
          </cell>
          <cell r="R9">
            <v>10.044</v>
          </cell>
          <cell r="T9" t="str">
            <v>MOD</v>
          </cell>
          <cell r="Y9" t="str">
            <v>PSA</v>
          </cell>
          <cell r="Z9" t="str">
            <v>FLA10</v>
          </cell>
          <cell r="AO9" t="str">
            <v>Applique</v>
          </cell>
          <cell r="AQ9" t="str">
            <v>FLA10</v>
          </cell>
          <cell r="AW9">
            <v>324</v>
          </cell>
          <cell r="AX9">
            <v>324</v>
          </cell>
          <cell r="AY9">
            <v>324</v>
          </cell>
          <cell r="AZ9">
            <v>324</v>
          </cell>
          <cell r="BA9">
            <v>324</v>
          </cell>
          <cell r="BB9">
            <v>324</v>
          </cell>
          <cell r="BC9">
            <v>600</v>
          </cell>
          <cell r="BD9">
            <v>400</v>
          </cell>
          <cell r="BE9">
            <v>800</v>
          </cell>
          <cell r="BI9">
            <v>3744</v>
          </cell>
          <cell r="BL9">
            <v>457</v>
          </cell>
          <cell r="BM9">
            <v>657</v>
          </cell>
          <cell r="BN9">
            <v>827.78</v>
          </cell>
        </row>
        <row r="10">
          <cell r="C10" t="str">
            <v>MES</v>
          </cell>
          <cell r="D10" t="str">
            <v>?</v>
          </cell>
          <cell r="E10" t="str">
            <v>X70</v>
          </cell>
          <cell r="G10" t="str">
            <v>Rajout de 1 cordon + 2 rallonges de soudure sur DAD</v>
          </cell>
          <cell r="J10" t="str">
            <v>A Lebassard</v>
          </cell>
          <cell r="T10" t="str">
            <v>MOD</v>
          </cell>
          <cell r="Y10" t="str">
            <v>RENAULT</v>
          </cell>
          <cell r="Z10" t="str">
            <v>FLA10</v>
          </cell>
          <cell r="AO10" t="str">
            <v>Applique</v>
          </cell>
          <cell r="BL10">
            <v>-5</v>
          </cell>
          <cell r="BM10">
            <v>-24.88</v>
          </cell>
        </row>
        <row r="11">
          <cell r="C11" t="str">
            <v>MES</v>
          </cell>
          <cell r="G11" t="str">
            <v>FOURNITURE DU S/ ENS SANGLE + ECROU SOUDE ( pot detente TGD ) ( gain MOD )</v>
          </cell>
          <cell r="J11" t="str">
            <v>A. HIESSE</v>
          </cell>
          <cell r="R11">
            <v>0</v>
          </cell>
          <cell r="T11" t="str">
            <v>MOD</v>
          </cell>
          <cell r="Y11" t="str">
            <v>RENAULT</v>
          </cell>
          <cell r="Z11" t="str">
            <v>FFV10</v>
          </cell>
          <cell r="AO11" t="str">
            <v>Analyse</v>
          </cell>
          <cell r="AQ11" t="str">
            <v>X70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</row>
        <row r="12">
          <cell r="C12" t="str">
            <v>MES</v>
          </cell>
          <cell r="D12">
            <v>64</v>
          </cell>
          <cell r="E12" t="str">
            <v>tous</v>
          </cell>
          <cell r="G12" t="str">
            <v>ETUDES DES POSTES</v>
          </cell>
          <cell r="J12" t="str">
            <v>J. PLANCHE</v>
          </cell>
          <cell r="N12">
            <v>300</v>
          </cell>
          <cell r="R12">
            <v>9.2999999999999989</v>
          </cell>
          <cell r="T12" t="str">
            <v>MOD</v>
          </cell>
          <cell r="Z12" t="str">
            <v>TOUS SECTEURS</v>
          </cell>
          <cell r="AO12" t="str">
            <v>Applique</v>
          </cell>
          <cell r="AW12">
            <v>75</v>
          </cell>
          <cell r="AX12">
            <v>75</v>
          </cell>
          <cell r="AY12">
            <v>99</v>
          </cell>
          <cell r="AZ12">
            <v>120</v>
          </cell>
          <cell r="BA12">
            <v>150</v>
          </cell>
          <cell r="BB12">
            <v>300</v>
          </cell>
          <cell r="BC12">
            <v>112.5</v>
          </cell>
          <cell r="BD12">
            <v>75</v>
          </cell>
          <cell r="BE12">
            <v>150</v>
          </cell>
          <cell r="BF12">
            <v>150</v>
          </cell>
          <cell r="BG12">
            <v>150</v>
          </cell>
          <cell r="BH12">
            <v>112.5</v>
          </cell>
          <cell r="BI12">
            <v>1569</v>
          </cell>
          <cell r="BL12">
            <v>167</v>
          </cell>
          <cell r="BM12">
            <v>229.88</v>
          </cell>
          <cell r="BN12">
            <v>146.87</v>
          </cell>
        </row>
        <row r="13">
          <cell r="C13" t="str">
            <v>MES</v>
          </cell>
          <cell r="D13">
            <v>153</v>
          </cell>
          <cell r="E13" t="str">
            <v>X70</v>
          </cell>
          <cell r="G13" t="str">
            <v>REDISTRIBUTION DES TACHES POUR FINITION POT X70  T G D</v>
          </cell>
          <cell r="J13" t="str">
            <v>A. HIESSE</v>
          </cell>
          <cell r="N13">
            <v>95.4</v>
          </cell>
          <cell r="O13">
            <v>6000</v>
          </cell>
          <cell r="P13">
            <v>1.5900000000000001E-2</v>
          </cell>
          <cell r="Q13">
            <v>0.4929</v>
          </cell>
          <cell r="R13">
            <v>2.9574000000000003</v>
          </cell>
          <cell r="T13" t="str">
            <v>MOD</v>
          </cell>
          <cell r="Y13" t="str">
            <v>RENAULT</v>
          </cell>
          <cell r="Z13" t="str">
            <v>FFV10</v>
          </cell>
          <cell r="AO13" t="str">
            <v>Analyse</v>
          </cell>
          <cell r="AQ13" t="str">
            <v>X70</v>
          </cell>
          <cell r="AW13">
            <v>47.7</v>
          </cell>
          <cell r="AX13">
            <v>71.550000000000011</v>
          </cell>
          <cell r="AY13">
            <v>95.4</v>
          </cell>
          <cell r="AZ13">
            <v>95.4</v>
          </cell>
          <cell r="BA13">
            <v>95.4</v>
          </cell>
          <cell r="BB13">
            <v>95.4</v>
          </cell>
          <cell r="BC13">
            <v>71.550000000000011</v>
          </cell>
          <cell r="BD13">
            <v>47.7</v>
          </cell>
          <cell r="BE13">
            <v>95.4</v>
          </cell>
          <cell r="BF13">
            <v>95.4</v>
          </cell>
          <cell r="BG13">
            <v>95.4</v>
          </cell>
          <cell r="BH13">
            <v>71.550000000000011</v>
          </cell>
          <cell r="BI13">
            <v>977.85000000000014</v>
          </cell>
        </row>
        <row r="14">
          <cell r="C14" t="str">
            <v>MES</v>
          </cell>
          <cell r="E14" t="str">
            <v>X70</v>
          </cell>
          <cell r="G14" t="str">
            <v>SUPPRESSION D'UN DES 2 OPERATEURS EMMCHT DES FONDS ( projet champion )</v>
          </cell>
          <cell r="J14" t="str">
            <v>A. HIESSE</v>
          </cell>
          <cell r="N14">
            <v>29.956363636363644</v>
          </cell>
          <cell r="R14">
            <v>0</v>
          </cell>
          <cell r="T14" t="str">
            <v>MOD</v>
          </cell>
          <cell r="Z14" t="str">
            <v>FFV10</v>
          </cell>
          <cell r="AO14" t="str">
            <v>Analyse</v>
          </cell>
          <cell r="AQ14" t="str">
            <v>lignes d'agrafage</v>
          </cell>
          <cell r="BI14">
            <v>0</v>
          </cell>
        </row>
        <row r="15">
          <cell r="C15" t="str">
            <v>MES</v>
          </cell>
          <cell r="D15">
            <v>154</v>
          </cell>
          <cell r="E15" t="str">
            <v>Section 85*150</v>
          </cell>
          <cell r="G15" t="str">
            <v>SUPPRESSION D'OPERATIONS DE POINTAGE APRES SERTISSAGE ( section  85 x 150 )</v>
          </cell>
          <cell r="J15" t="str">
            <v>B. MARIE</v>
          </cell>
          <cell r="N15">
            <v>6</v>
          </cell>
          <cell r="R15">
            <v>0.186</v>
          </cell>
          <cell r="T15" t="str">
            <v>MOD</v>
          </cell>
          <cell r="Y15" t="str">
            <v>PSA</v>
          </cell>
          <cell r="Z15" t="str">
            <v>FFV10</v>
          </cell>
          <cell r="AO15" t="str">
            <v>Applique</v>
          </cell>
          <cell r="AQ15" t="str">
            <v>lignes d'agrafage</v>
          </cell>
          <cell r="AW15">
            <v>3</v>
          </cell>
          <cell r="AX15">
            <v>6</v>
          </cell>
          <cell r="AY15">
            <v>6</v>
          </cell>
          <cell r="AZ15">
            <v>6</v>
          </cell>
          <cell r="BA15">
            <v>6</v>
          </cell>
          <cell r="BB15">
            <v>6</v>
          </cell>
          <cell r="BC15">
            <v>4.5</v>
          </cell>
          <cell r="BD15">
            <v>3</v>
          </cell>
          <cell r="BE15">
            <v>6</v>
          </cell>
          <cell r="BF15">
            <v>6</v>
          </cell>
          <cell r="BG15">
            <v>6</v>
          </cell>
          <cell r="BH15">
            <v>4.5</v>
          </cell>
          <cell r="BI15">
            <v>63</v>
          </cell>
          <cell r="BL15">
            <v>2</v>
          </cell>
          <cell r="BM15">
            <v>2</v>
          </cell>
          <cell r="BN15">
            <v>1.3</v>
          </cell>
        </row>
        <row r="16">
          <cell r="C16" t="str">
            <v>MES</v>
          </cell>
          <cell r="D16">
            <v>155</v>
          </cell>
          <cell r="E16" t="str">
            <v>LFA</v>
          </cell>
          <cell r="G16" t="str">
            <v>SUPPRESSION D'UN OPERATEUR A  L'EMMANCHEMENT FAISCEAUX SUR LFA</v>
          </cell>
          <cell r="J16" t="str">
            <v>B. MARIE</v>
          </cell>
          <cell r="N16">
            <v>2.7</v>
          </cell>
          <cell r="R16">
            <v>8.3700000000000011E-2</v>
          </cell>
          <cell r="T16" t="str">
            <v>MOD</v>
          </cell>
          <cell r="Z16" t="str">
            <v>FFV10</v>
          </cell>
          <cell r="AO16" t="str">
            <v>Applique</v>
          </cell>
          <cell r="AQ16" t="str">
            <v>lignes d'agrafage</v>
          </cell>
          <cell r="AW16">
            <v>2.7</v>
          </cell>
          <cell r="AX16">
            <v>2.7</v>
          </cell>
          <cell r="AY16">
            <v>2.7</v>
          </cell>
          <cell r="AZ16">
            <v>2.7</v>
          </cell>
          <cell r="BA16">
            <v>2.7</v>
          </cell>
          <cell r="BB16">
            <v>2.7</v>
          </cell>
          <cell r="BC16">
            <v>2.0250000000000004</v>
          </cell>
          <cell r="BD16">
            <v>1.35</v>
          </cell>
          <cell r="BE16">
            <v>2.7</v>
          </cell>
          <cell r="BF16">
            <v>2.7</v>
          </cell>
          <cell r="BG16">
            <v>2.7</v>
          </cell>
          <cell r="BH16">
            <v>2.0250000000000004</v>
          </cell>
          <cell r="BI16">
            <v>29.700000000000003</v>
          </cell>
          <cell r="BL16">
            <v>4</v>
          </cell>
          <cell r="BM16">
            <v>5.7</v>
          </cell>
          <cell r="BN16">
            <v>2.6368</v>
          </cell>
        </row>
        <row r="17">
          <cell r="C17" t="str">
            <v>MES</v>
          </cell>
          <cell r="D17">
            <v>156</v>
          </cell>
          <cell r="E17" t="str">
            <v>Section 85*150</v>
          </cell>
          <cell r="G17" t="str">
            <v>REGROUPEMENT DES SERTISSAGES FAISCEAUX SECTION 85 X 150</v>
          </cell>
          <cell r="J17" t="str">
            <v>B. MARIE</v>
          </cell>
          <cell r="N17">
            <v>44.44</v>
          </cell>
          <cell r="R17">
            <v>1.37764</v>
          </cell>
          <cell r="T17" t="str">
            <v>MOD</v>
          </cell>
          <cell r="Y17" t="str">
            <v>PSA</v>
          </cell>
          <cell r="Z17" t="str">
            <v>FFV10</v>
          </cell>
          <cell r="AO17" t="str">
            <v>Applique</v>
          </cell>
          <cell r="AQ17" t="str">
            <v>lignes d'agrafage</v>
          </cell>
          <cell r="AW17">
            <v>22.22</v>
          </cell>
          <cell r="AX17">
            <v>44.44</v>
          </cell>
          <cell r="AY17">
            <v>44.44</v>
          </cell>
          <cell r="AZ17">
            <v>44.44</v>
          </cell>
          <cell r="BA17">
            <v>44.44</v>
          </cell>
          <cell r="BB17">
            <v>44.44</v>
          </cell>
          <cell r="BC17">
            <v>33.33</v>
          </cell>
          <cell r="BD17">
            <v>22.22</v>
          </cell>
          <cell r="BE17">
            <v>44.44</v>
          </cell>
          <cell r="BF17">
            <v>44.44</v>
          </cell>
          <cell r="BG17">
            <v>44.44</v>
          </cell>
          <cell r="BH17">
            <v>33.33</v>
          </cell>
          <cell r="BI17">
            <v>466.62</v>
          </cell>
          <cell r="BL17">
            <v>33</v>
          </cell>
          <cell r="BM17">
            <v>53.3</v>
          </cell>
          <cell r="BN17">
            <v>38.21</v>
          </cell>
        </row>
        <row r="18">
          <cell r="C18" t="str">
            <v>MES</v>
          </cell>
          <cell r="D18">
            <v>157</v>
          </cell>
          <cell r="E18" t="str">
            <v>X81</v>
          </cell>
          <cell r="G18" t="str">
            <v>SUPPRESSION DE L'OPERATEUR SUR CONTRÔLE DIAMETRE EN SORTIE   D S E  SUR X81</v>
          </cell>
          <cell r="J18" t="str">
            <v>A. HIESSE</v>
          </cell>
          <cell r="N18">
            <v>24</v>
          </cell>
          <cell r="O18">
            <v>8000</v>
          </cell>
          <cell r="P18">
            <v>3.0000000000000001E-3</v>
          </cell>
          <cell r="Q18">
            <v>9.2999999999999999E-2</v>
          </cell>
          <cell r="R18">
            <v>0.74399999999999999</v>
          </cell>
          <cell r="T18" t="str">
            <v>MOD</v>
          </cell>
          <cell r="Y18" t="str">
            <v>RENAULT</v>
          </cell>
          <cell r="Z18" t="str">
            <v>FFV10</v>
          </cell>
          <cell r="AO18" t="str">
            <v>Analyse</v>
          </cell>
          <cell r="AQ18" t="str">
            <v>lignes d'agrafage</v>
          </cell>
          <cell r="AZ18">
            <v>24</v>
          </cell>
          <cell r="BA18">
            <v>24</v>
          </cell>
          <cell r="BB18">
            <v>24</v>
          </cell>
          <cell r="BC18">
            <v>18</v>
          </cell>
          <cell r="BD18">
            <v>12</v>
          </cell>
          <cell r="BE18">
            <v>24</v>
          </cell>
          <cell r="BF18">
            <v>24</v>
          </cell>
          <cell r="BG18">
            <v>24</v>
          </cell>
          <cell r="BH18">
            <v>18</v>
          </cell>
          <cell r="BI18">
            <v>192</v>
          </cell>
        </row>
        <row r="19">
          <cell r="C19" t="str">
            <v>MES</v>
          </cell>
          <cell r="D19">
            <v>83</v>
          </cell>
          <cell r="E19" t="str">
            <v>X65</v>
          </cell>
          <cell r="G19" t="str">
            <v>suppression du contrôle unitaire suite amélioration qualité du tube sur X65 V3 ( gain 1 opérateur )</v>
          </cell>
          <cell r="J19" t="str">
            <v>Y Sorieul</v>
          </cell>
          <cell r="N19">
            <v>75</v>
          </cell>
          <cell r="O19">
            <v>23000</v>
          </cell>
          <cell r="P19">
            <v>3.2750000000000001E-3</v>
          </cell>
          <cell r="Q19">
            <v>0.101525</v>
          </cell>
          <cell r="R19">
            <v>2.3249999999999997</v>
          </cell>
          <cell r="T19" t="str">
            <v>MOD</v>
          </cell>
          <cell r="Y19" t="str">
            <v>RENAULT</v>
          </cell>
          <cell r="Z19" t="str">
            <v>FFV10</v>
          </cell>
          <cell r="AO19" t="str">
            <v>Analyse</v>
          </cell>
          <cell r="AQ19" t="str">
            <v>lignes d'agrafage</v>
          </cell>
          <cell r="AT19">
            <v>0.3</v>
          </cell>
          <cell r="AZ19">
            <v>75</v>
          </cell>
          <cell r="BA19">
            <v>75</v>
          </cell>
          <cell r="BB19">
            <v>75</v>
          </cell>
          <cell r="BC19">
            <v>56.25</v>
          </cell>
          <cell r="BD19">
            <v>37.5</v>
          </cell>
          <cell r="BE19">
            <v>75</v>
          </cell>
          <cell r="BF19">
            <v>75</v>
          </cell>
          <cell r="BG19">
            <v>75</v>
          </cell>
          <cell r="BH19">
            <v>56.25</v>
          </cell>
          <cell r="BI19">
            <v>600</v>
          </cell>
        </row>
        <row r="20">
          <cell r="C20" t="str">
            <v>MES</v>
          </cell>
          <cell r="D20">
            <v>158</v>
          </cell>
          <cell r="E20" t="str">
            <v>D83</v>
          </cell>
          <cell r="G20" t="str">
            <v>EMMANCHEMENT FAISCEAUX D83 SUR MINI LIGNE</v>
          </cell>
          <cell r="J20" t="str">
            <v>J. PLANCHE</v>
          </cell>
          <cell r="N20">
            <v>7.33</v>
          </cell>
          <cell r="R20">
            <v>0.22722999999999999</v>
          </cell>
          <cell r="T20" t="str">
            <v>MOD</v>
          </cell>
          <cell r="Y20" t="str">
            <v>PSA</v>
          </cell>
          <cell r="Z20" t="str">
            <v>FFV10</v>
          </cell>
          <cell r="AO20" t="str">
            <v>Applique</v>
          </cell>
          <cell r="AQ20" t="str">
            <v>lignes d'agrafage</v>
          </cell>
          <cell r="AW20">
            <v>3.665</v>
          </cell>
          <cell r="AX20">
            <v>7.33</v>
          </cell>
          <cell r="AY20">
            <v>7.33</v>
          </cell>
          <cell r="AZ20">
            <v>7.33</v>
          </cell>
          <cell r="BA20">
            <v>7.33</v>
          </cell>
          <cell r="BB20">
            <v>7.33</v>
          </cell>
          <cell r="BC20">
            <v>5.4975000000000005</v>
          </cell>
          <cell r="BD20">
            <v>3.665</v>
          </cell>
          <cell r="BE20">
            <v>7.33</v>
          </cell>
          <cell r="BF20">
            <v>7.33</v>
          </cell>
          <cell r="BG20">
            <v>7.33</v>
          </cell>
          <cell r="BH20">
            <v>5.4975000000000005</v>
          </cell>
          <cell r="BI20">
            <v>76.965000000000003</v>
          </cell>
          <cell r="BL20">
            <v>6</v>
          </cell>
          <cell r="BM20">
            <v>5.52</v>
          </cell>
          <cell r="BN20">
            <v>8.2799999999999994</v>
          </cell>
        </row>
        <row r="21">
          <cell r="C21" t="str">
            <v>MES</v>
          </cell>
          <cell r="D21">
            <v>145</v>
          </cell>
          <cell r="E21" t="str">
            <v>A86</v>
          </cell>
          <cell r="G21" t="str">
            <v>SOUDURE CROCHET DU SIL AR A8 SUR ROBOT</v>
          </cell>
          <cell r="J21" t="str">
            <v>S. MASSU</v>
          </cell>
          <cell r="N21">
            <v>144</v>
          </cell>
          <cell r="O21">
            <v>24000</v>
          </cell>
          <cell r="P21">
            <v>6.0000000000000001E-3</v>
          </cell>
          <cell r="Q21">
            <v>0.186</v>
          </cell>
          <cell r="R21">
            <v>4.4639999999999995</v>
          </cell>
          <cell r="T21" t="str">
            <v>MOD</v>
          </cell>
          <cell r="Y21" t="str">
            <v>PSA</v>
          </cell>
          <cell r="Z21" t="str">
            <v>DTU10</v>
          </cell>
          <cell r="AO21" t="str">
            <v>Analyse</v>
          </cell>
          <cell r="AQ21" t="str">
            <v>A8</v>
          </cell>
          <cell r="AS21" t="str">
            <v>PROPOSITION INVEST EN COURS ( gain à partager avec JAT POISSY )</v>
          </cell>
          <cell r="BI21">
            <v>0</v>
          </cell>
        </row>
        <row r="22">
          <cell r="C22" t="str">
            <v>MES</v>
          </cell>
          <cell r="D22">
            <v>159</v>
          </cell>
          <cell r="E22" t="str">
            <v>A86</v>
          </cell>
          <cell r="G22" t="str">
            <v>REORGANISATION SECTEUR SUITE AUGMENTATION FAB PARTIES CHAUDES A8 (1300 p à 12 ald 850 p à 9 )</v>
          </cell>
          <cell r="J22" t="str">
            <v>S. MASSU</v>
          </cell>
          <cell r="N22">
            <v>228.05429864253418</v>
          </cell>
          <cell r="O22">
            <v>24000</v>
          </cell>
          <cell r="P22">
            <v>9.5022624434389236E-3</v>
          </cell>
          <cell r="Q22">
            <v>0.29457013574660662</v>
          </cell>
          <cell r="R22">
            <v>7.0696832579185589</v>
          </cell>
          <cell r="T22" t="str">
            <v>MOD</v>
          </cell>
          <cell r="Y22" t="str">
            <v>PSA</v>
          </cell>
          <cell r="Z22" t="str">
            <v>DTU10</v>
          </cell>
          <cell r="AO22" t="str">
            <v>Analyse</v>
          </cell>
          <cell r="AQ22" t="str">
            <v>A8</v>
          </cell>
          <cell r="AZ22">
            <v>228.05429864253418</v>
          </cell>
          <cell r="BA22">
            <v>228.05429864253418</v>
          </cell>
          <cell r="BB22">
            <v>228.05429864253418</v>
          </cell>
          <cell r="BI22">
            <v>684.16289592760256</v>
          </cell>
        </row>
        <row r="23">
          <cell r="C23" t="str">
            <v>MES</v>
          </cell>
          <cell r="D23">
            <v>220</v>
          </cell>
          <cell r="E23" t="str">
            <v>A86</v>
          </cell>
          <cell r="G23" t="str">
            <v>Travail à 2 outils sur diam 45</v>
          </cell>
          <cell r="J23" t="str">
            <v>Poupion D</v>
          </cell>
          <cell r="T23" t="str">
            <v>MOD</v>
          </cell>
          <cell r="AO23" t="str">
            <v>Applique</v>
          </cell>
          <cell r="BC23">
            <v>60</v>
          </cell>
          <cell r="BD23">
            <v>40</v>
          </cell>
          <cell r="BE23">
            <v>80</v>
          </cell>
          <cell r="BF23">
            <v>80</v>
          </cell>
          <cell r="BG23">
            <v>80</v>
          </cell>
          <cell r="BH23">
            <v>60</v>
          </cell>
          <cell r="BM23">
            <v>87</v>
          </cell>
          <cell r="BN23">
            <v>145.01</v>
          </cell>
        </row>
        <row r="24">
          <cell r="C24" t="str">
            <v>MES</v>
          </cell>
          <cell r="E24" t="str">
            <v>A86</v>
          </cell>
          <cell r="G24" t="str">
            <v>FOURNITURE DU S/ ENS SANGLE + ECROU SOUDE ( SIL A8 )</v>
          </cell>
          <cell r="J24" t="str">
            <v>S. MASSU</v>
          </cell>
          <cell r="R24">
            <v>0</v>
          </cell>
          <cell r="T24" t="str">
            <v>MOD</v>
          </cell>
          <cell r="Y24" t="str">
            <v>PSA</v>
          </cell>
          <cell r="Z24" t="str">
            <v>DTU10</v>
          </cell>
          <cell r="AO24" t="str">
            <v>Analyse</v>
          </cell>
          <cell r="AQ24" t="str">
            <v>A8</v>
          </cell>
          <cell r="AS24" t="str">
            <v>A VALIDER PAR CLIENT</v>
          </cell>
          <cell r="AT24">
            <v>0.2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</row>
        <row r="25">
          <cell r="B25" t="str">
            <v>ESBG</v>
          </cell>
          <cell r="C25" t="str">
            <v>MES</v>
          </cell>
          <cell r="D25">
            <v>216</v>
          </cell>
          <cell r="E25" t="str">
            <v>X56</v>
          </cell>
          <cell r="G25" t="str">
            <v>Integration des faisceaux en ligne avec la ML</v>
          </cell>
          <cell r="J25" t="str">
            <v>B MARIE</v>
          </cell>
          <cell r="N25">
            <v>1.3</v>
          </cell>
          <cell r="R25">
            <v>4.0299999999999996E-2</v>
          </cell>
          <cell r="T25" t="str">
            <v>MOD</v>
          </cell>
          <cell r="Z25" t="str">
            <v>FFV10</v>
          </cell>
          <cell r="AO25" t="str">
            <v>Applique</v>
          </cell>
          <cell r="AQ25" t="str">
            <v>ESP</v>
          </cell>
          <cell r="BC25">
            <v>1</v>
          </cell>
          <cell r="BE25">
            <v>1</v>
          </cell>
          <cell r="BG25">
            <v>1</v>
          </cell>
          <cell r="BI25">
            <v>3</v>
          </cell>
          <cell r="BL25">
            <v>1.3</v>
          </cell>
          <cell r="BN25">
            <v>1.2524</v>
          </cell>
        </row>
        <row r="26">
          <cell r="B26" t="str">
            <v>ESBG</v>
          </cell>
          <cell r="C26" t="str">
            <v>MES</v>
          </cell>
          <cell r="D26">
            <v>160</v>
          </cell>
          <cell r="E26" t="str">
            <v>DSE</v>
          </cell>
          <cell r="G26" t="str">
            <v>SUPPRESSION DU PREPARATEUR SUR EMMANCHEUSES ( 1 sur 3 )</v>
          </cell>
          <cell r="J26" t="str">
            <v>O Gendry</v>
          </cell>
          <cell r="N26">
            <v>200</v>
          </cell>
          <cell r="R26">
            <v>6.2</v>
          </cell>
          <cell r="T26" t="str">
            <v>MOD</v>
          </cell>
          <cell r="Z26" t="str">
            <v>FFV10</v>
          </cell>
          <cell r="AO26" t="str">
            <v>Analyse</v>
          </cell>
          <cell r="AW26">
            <v>100</v>
          </cell>
          <cell r="AX26">
            <v>150</v>
          </cell>
          <cell r="AY26">
            <v>200</v>
          </cell>
          <cell r="AZ26">
            <v>200</v>
          </cell>
          <cell r="BA26">
            <v>200</v>
          </cell>
          <cell r="BB26">
            <v>200</v>
          </cell>
          <cell r="BC26">
            <v>150</v>
          </cell>
          <cell r="BD26">
            <v>100</v>
          </cell>
          <cell r="BE26">
            <v>200</v>
          </cell>
          <cell r="BF26">
            <v>200</v>
          </cell>
          <cell r="BG26">
            <v>200</v>
          </cell>
          <cell r="BH26">
            <v>150</v>
          </cell>
          <cell r="BI26">
            <v>2050</v>
          </cell>
        </row>
        <row r="27">
          <cell r="B27" t="str">
            <v>ESBG</v>
          </cell>
          <cell r="C27" t="str">
            <v>MES</v>
          </cell>
          <cell r="D27">
            <v>160</v>
          </cell>
          <cell r="E27" t="str">
            <v>X70</v>
          </cell>
          <cell r="G27" t="str">
            <v>SUPPRESSION DE 0,15  OPERATEUR</v>
          </cell>
          <cell r="J27" t="str">
            <v>O Gendry</v>
          </cell>
          <cell r="N27">
            <v>25</v>
          </cell>
          <cell r="O27">
            <v>6000</v>
          </cell>
          <cell r="P27">
            <v>4.1666666666666666E-3</v>
          </cell>
          <cell r="Q27">
            <v>0.12916666666666665</v>
          </cell>
          <cell r="R27">
            <v>0.77500000000000002</v>
          </cell>
          <cell r="T27" t="str">
            <v>MOD</v>
          </cell>
          <cell r="Y27" t="str">
            <v>RENAULT</v>
          </cell>
          <cell r="Z27" t="str">
            <v>FLA10</v>
          </cell>
          <cell r="AO27" t="str">
            <v>Analyse</v>
          </cell>
          <cell r="AW27">
            <v>25</v>
          </cell>
          <cell r="AX27">
            <v>25</v>
          </cell>
          <cell r="AY27">
            <v>25</v>
          </cell>
          <cell r="AZ27">
            <v>25</v>
          </cell>
          <cell r="BA27">
            <v>25</v>
          </cell>
          <cell r="BB27">
            <v>25</v>
          </cell>
          <cell r="BC27">
            <v>18.75</v>
          </cell>
          <cell r="BD27">
            <v>12.5</v>
          </cell>
          <cell r="BE27">
            <v>25</v>
          </cell>
          <cell r="BF27">
            <v>25</v>
          </cell>
          <cell r="BG27">
            <v>25</v>
          </cell>
          <cell r="BH27">
            <v>18.75</v>
          </cell>
          <cell r="BI27">
            <v>275</v>
          </cell>
        </row>
        <row r="28">
          <cell r="B28" t="str">
            <v>ESBG</v>
          </cell>
          <cell r="C28" t="str">
            <v>MES</v>
          </cell>
          <cell r="D28">
            <v>160</v>
          </cell>
          <cell r="E28" t="str">
            <v>Toyota</v>
          </cell>
          <cell r="G28" t="str">
            <v>SUPPRESSION EN GAMMES DES MANUTENTIONNAIRES</v>
          </cell>
          <cell r="J28" t="str">
            <v>O Gendry</v>
          </cell>
          <cell r="N28">
            <v>367.39751806999999</v>
          </cell>
          <cell r="O28">
            <v>17000</v>
          </cell>
          <cell r="P28">
            <v>2.1611618709999999E-2</v>
          </cell>
          <cell r="Q28">
            <v>0.66996018001000002</v>
          </cell>
          <cell r="R28">
            <v>11.38932306017</v>
          </cell>
          <cell r="T28" t="str">
            <v>MOD</v>
          </cell>
          <cell r="Y28" t="str">
            <v>TOYOTA</v>
          </cell>
          <cell r="Z28" t="str">
            <v>FLA10</v>
          </cell>
          <cell r="AO28" t="str">
            <v>Applique</v>
          </cell>
          <cell r="AW28">
            <v>367.39751806999999</v>
          </cell>
          <cell r="AX28">
            <v>367.39751806999999</v>
          </cell>
          <cell r="AY28">
            <v>367.39751806999999</v>
          </cell>
          <cell r="AZ28">
            <v>367.39751806999999</v>
          </cell>
          <cell r="BA28">
            <v>367.39751806999999</v>
          </cell>
          <cell r="BB28">
            <v>367.39751806999999</v>
          </cell>
          <cell r="BC28">
            <v>275.54813855250001</v>
          </cell>
          <cell r="BD28">
            <v>183.69875903499999</v>
          </cell>
          <cell r="BE28">
            <v>367.39751806999999</v>
          </cell>
          <cell r="BF28">
            <v>367.39751806999999</v>
          </cell>
          <cell r="BG28">
            <v>367.39751806999999</v>
          </cell>
          <cell r="BH28">
            <v>275.54813855250001</v>
          </cell>
          <cell r="BI28">
            <v>4041.3726987699997</v>
          </cell>
          <cell r="BL28">
            <v>328</v>
          </cell>
          <cell r="BM28">
            <v>580.52599999999995</v>
          </cell>
          <cell r="BN28">
            <v>636.09</v>
          </cell>
        </row>
        <row r="29">
          <cell r="B29" t="str">
            <v>ESBG</v>
          </cell>
          <cell r="C29" t="str">
            <v>MES</v>
          </cell>
          <cell r="G29" t="str">
            <v>REGROUPEMENT D'OPERATIONS</v>
          </cell>
          <cell r="R29">
            <v>0</v>
          </cell>
          <cell r="T29" t="str">
            <v>MOD</v>
          </cell>
          <cell r="Z29" t="str">
            <v>FLA10</v>
          </cell>
          <cell r="AO29" t="str">
            <v>Analyse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</row>
        <row r="31">
          <cell r="B31" t="str">
            <v>ESBG</v>
          </cell>
          <cell r="C31" t="str">
            <v>MES</v>
          </cell>
          <cell r="D31">
            <v>161</v>
          </cell>
          <cell r="E31" t="str">
            <v>cata iran</v>
          </cell>
          <cell r="G31" t="str">
            <v>CHANTIER ESP</v>
          </cell>
          <cell r="J31" t="str">
            <v>O Gendry</v>
          </cell>
          <cell r="N31">
            <v>100</v>
          </cell>
          <cell r="R31">
            <v>3.1</v>
          </cell>
          <cell r="T31" t="str">
            <v>MOD</v>
          </cell>
          <cell r="Z31" t="str">
            <v>FLA10</v>
          </cell>
          <cell r="AO31" t="str">
            <v>Analyse</v>
          </cell>
          <cell r="AW31">
            <v>50</v>
          </cell>
          <cell r="AX31">
            <v>75</v>
          </cell>
          <cell r="AY31">
            <v>100</v>
          </cell>
          <cell r="AZ31">
            <v>100</v>
          </cell>
          <cell r="BA31">
            <v>100</v>
          </cell>
          <cell r="BB31">
            <v>100</v>
          </cell>
          <cell r="BC31">
            <v>75</v>
          </cell>
          <cell r="BD31">
            <v>50</v>
          </cell>
          <cell r="BE31">
            <v>100</v>
          </cell>
          <cell r="BI31">
            <v>750</v>
          </cell>
        </row>
        <row r="32">
          <cell r="B32" t="str">
            <v>ESBG</v>
          </cell>
          <cell r="C32" t="str">
            <v>MES</v>
          </cell>
          <cell r="D32">
            <v>161</v>
          </cell>
          <cell r="E32" t="str">
            <v>P5</v>
          </cell>
          <cell r="G32" t="str">
            <v>CHANTIER ESP</v>
          </cell>
          <cell r="J32" t="str">
            <v>O Gendry</v>
          </cell>
          <cell r="R32">
            <v>0</v>
          </cell>
          <cell r="T32" t="str">
            <v>MOD</v>
          </cell>
          <cell r="Z32" t="str">
            <v>FLA20</v>
          </cell>
          <cell r="AO32" t="str">
            <v>Analyse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</row>
        <row r="33">
          <cell r="B33" t="str">
            <v>ESBG</v>
          </cell>
          <cell r="C33" t="str">
            <v>MES</v>
          </cell>
          <cell r="D33">
            <v>161</v>
          </cell>
          <cell r="G33" t="str">
            <v>CHANTIER ESP</v>
          </cell>
          <cell r="J33" t="str">
            <v>O Gendry</v>
          </cell>
          <cell r="N33">
            <v>250</v>
          </cell>
          <cell r="R33">
            <v>7.75</v>
          </cell>
          <cell r="T33" t="str">
            <v>MOD</v>
          </cell>
          <cell r="Z33" t="str">
            <v>TOUS SECTEURS</v>
          </cell>
          <cell r="AO33" t="str">
            <v>Analyse</v>
          </cell>
          <cell r="AW33">
            <v>125</v>
          </cell>
          <cell r="AX33">
            <v>187.5</v>
          </cell>
          <cell r="AY33">
            <v>250</v>
          </cell>
          <cell r="AZ33">
            <v>250</v>
          </cell>
          <cell r="BA33">
            <v>250</v>
          </cell>
          <cell r="BB33">
            <v>250</v>
          </cell>
          <cell r="BC33">
            <v>187.5</v>
          </cell>
          <cell r="BD33">
            <v>125</v>
          </cell>
          <cell r="BE33">
            <v>250</v>
          </cell>
          <cell r="BF33">
            <v>250</v>
          </cell>
          <cell r="BG33">
            <v>250</v>
          </cell>
          <cell r="BH33">
            <v>187.5</v>
          </cell>
          <cell r="BI33">
            <v>2562.5</v>
          </cell>
        </row>
        <row r="34">
          <cell r="B34" t="str">
            <v>ESBG</v>
          </cell>
          <cell r="C34" t="str">
            <v>MES</v>
          </cell>
          <cell r="D34">
            <v>161</v>
          </cell>
          <cell r="E34" t="str">
            <v>A86 PC</v>
          </cell>
          <cell r="G34" t="str">
            <v>CHANTIER ESP</v>
          </cell>
          <cell r="J34" t="str">
            <v>O Gendry</v>
          </cell>
          <cell r="N34">
            <v>200</v>
          </cell>
          <cell r="R34">
            <v>6.2</v>
          </cell>
          <cell r="T34" t="str">
            <v>MOD</v>
          </cell>
          <cell r="Z34" t="str">
            <v>TOUS SECTEURS</v>
          </cell>
          <cell r="AO34" t="str">
            <v>Analyse</v>
          </cell>
          <cell r="AW34">
            <v>100</v>
          </cell>
          <cell r="AX34">
            <v>150</v>
          </cell>
          <cell r="AY34">
            <v>200</v>
          </cell>
          <cell r="AZ34">
            <v>200</v>
          </cell>
          <cell r="BA34">
            <v>200</v>
          </cell>
          <cell r="BB34">
            <v>200</v>
          </cell>
          <cell r="BC34">
            <v>450</v>
          </cell>
          <cell r="BD34">
            <v>300</v>
          </cell>
          <cell r="BI34">
            <v>1800</v>
          </cell>
          <cell r="BM34">
            <v>581</v>
          </cell>
          <cell r="BN34">
            <v>614.93740000000003</v>
          </cell>
        </row>
        <row r="35">
          <cell r="B35" t="str">
            <v>ESBG</v>
          </cell>
          <cell r="C35" t="str">
            <v>MES</v>
          </cell>
          <cell r="G35" t="str">
            <v>REMPLACEMENT DE LA SERTISSEUSE SUR L F A</v>
          </cell>
          <cell r="R35">
            <v>0</v>
          </cell>
          <cell r="T35" t="str">
            <v>MOD</v>
          </cell>
          <cell r="AO35" t="str">
            <v>Analyse</v>
          </cell>
          <cell r="AW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</row>
        <row r="36">
          <cell r="C36" t="str">
            <v>MES</v>
          </cell>
          <cell r="D36">
            <v>218</v>
          </cell>
          <cell r="G36" t="str">
            <v>Suppression du lavage</v>
          </cell>
          <cell r="J36" t="str">
            <v>J Planche</v>
          </cell>
          <cell r="N36">
            <v>0.7</v>
          </cell>
          <cell r="R36">
            <v>2.1700000000000001E-2</v>
          </cell>
          <cell r="T36" t="str">
            <v>MOD</v>
          </cell>
          <cell r="Z36" t="str">
            <v>PR117</v>
          </cell>
          <cell r="AO36" t="str">
            <v>Applique</v>
          </cell>
          <cell r="BL36">
            <v>0.7</v>
          </cell>
        </row>
        <row r="37">
          <cell r="B37" t="str">
            <v>ESBG</v>
          </cell>
          <cell r="C37" t="str">
            <v>MES</v>
          </cell>
          <cell r="D37">
            <v>163</v>
          </cell>
          <cell r="E37" t="str">
            <v>T3000</v>
          </cell>
          <cell r="G37" t="str">
            <v>reduction long sur tubes caravan</v>
          </cell>
          <cell r="J37" t="str">
            <v>P. ROUSSEAU</v>
          </cell>
          <cell r="O37">
            <v>16000</v>
          </cell>
          <cell r="Q37">
            <v>0.05</v>
          </cell>
          <cell r="R37">
            <v>0.8</v>
          </cell>
          <cell r="T37" t="str">
            <v>MAT</v>
          </cell>
          <cell r="Y37" t="str">
            <v>OPEL</v>
          </cell>
          <cell r="Z37" t="str">
            <v>DTU10</v>
          </cell>
          <cell r="AO37" t="str">
            <v>Analyse</v>
          </cell>
          <cell r="AW37">
            <v>0.8</v>
          </cell>
          <cell r="AX37">
            <v>0.8</v>
          </cell>
          <cell r="AY37">
            <v>0.8</v>
          </cell>
          <cell r="AZ37">
            <v>0.8</v>
          </cell>
          <cell r="BA37">
            <v>0.8</v>
          </cell>
          <cell r="BB37">
            <v>0.8</v>
          </cell>
          <cell r="BC37">
            <v>0.60000000000000009</v>
          </cell>
          <cell r="BD37">
            <v>0.4</v>
          </cell>
          <cell r="BE37">
            <v>0.8</v>
          </cell>
          <cell r="BF37">
            <v>0.8</v>
          </cell>
          <cell r="BG37">
            <v>0.8</v>
          </cell>
          <cell r="BH37">
            <v>0.60000000000000009</v>
          </cell>
          <cell r="BI37">
            <v>8.8000000000000007</v>
          </cell>
        </row>
        <row r="38">
          <cell r="B38" t="str">
            <v>ESBG</v>
          </cell>
          <cell r="C38" t="str">
            <v>MES</v>
          </cell>
          <cell r="D38">
            <v>164</v>
          </cell>
          <cell r="E38" t="str">
            <v>T3000</v>
          </cell>
          <cell r="G38" t="str">
            <v>SUPPRESSION SOUDURE CUPRO ALU POUR CROCHETS</v>
          </cell>
          <cell r="J38" t="str">
            <v>P. ROUSSEAU</v>
          </cell>
          <cell r="O38">
            <v>40000</v>
          </cell>
          <cell r="Q38">
            <v>8.1000000000000072E-4</v>
          </cell>
          <cell r="R38">
            <v>3.2400000000000026E-2</v>
          </cell>
          <cell r="T38" t="str">
            <v>MAT</v>
          </cell>
          <cell r="Y38" t="str">
            <v>OPEL</v>
          </cell>
          <cell r="Z38" t="str">
            <v>T3000</v>
          </cell>
          <cell r="AO38" t="str">
            <v>Analyse</v>
          </cell>
          <cell r="AW38">
            <v>3.2400000000000026E-2</v>
          </cell>
          <cell r="AX38">
            <v>3.2400000000000026E-2</v>
          </cell>
          <cell r="AY38">
            <v>3.2400000000000026E-2</v>
          </cell>
          <cell r="AZ38">
            <v>3.2400000000000026E-2</v>
          </cell>
          <cell r="BA38">
            <v>3.2400000000000026E-2</v>
          </cell>
          <cell r="BB38">
            <v>3.2400000000000026E-2</v>
          </cell>
          <cell r="BC38">
            <v>2.430000000000002E-2</v>
          </cell>
          <cell r="BD38">
            <v>1.6200000000000013E-2</v>
          </cell>
          <cell r="BE38">
            <v>3.2400000000000026E-2</v>
          </cell>
          <cell r="BF38">
            <v>3.2400000000000026E-2</v>
          </cell>
          <cell r="BG38">
            <v>3.2400000000000026E-2</v>
          </cell>
          <cell r="BH38">
            <v>2.430000000000002E-2</v>
          </cell>
          <cell r="BI38">
            <v>0.35640000000000038</v>
          </cell>
        </row>
        <row r="40">
          <cell r="B40" t="str">
            <v>ESBG</v>
          </cell>
          <cell r="C40" t="str">
            <v>MES</v>
          </cell>
          <cell r="D40">
            <v>105</v>
          </cell>
          <cell r="E40" t="str">
            <v>T3000</v>
          </cell>
          <cell r="G40" t="str">
            <v>MODIF PAS DE PERFO ET OPTIMISATION LONGUEUR SUITE CINTRAGE PAR 2 PIECES</v>
          </cell>
          <cell r="J40" t="str">
            <v>P. ROUSSEAU</v>
          </cell>
          <cell r="O40">
            <v>1181.8181818181818</v>
          </cell>
          <cell r="Q40">
            <v>9.2700000000000005E-2</v>
          </cell>
          <cell r="R40">
            <v>0.10955454545454545</v>
          </cell>
          <cell r="T40" t="str">
            <v>MAT</v>
          </cell>
          <cell r="Y40" t="str">
            <v>OPEL</v>
          </cell>
          <cell r="Z40" t="str">
            <v>DTU10</v>
          </cell>
          <cell r="AO40" t="str">
            <v>Analyse</v>
          </cell>
          <cell r="AW40">
            <v>0</v>
          </cell>
          <cell r="AX40">
            <v>0</v>
          </cell>
          <cell r="AY40">
            <v>0.10955454545454545</v>
          </cell>
          <cell r="AZ40">
            <v>0.10955454545454545</v>
          </cell>
          <cell r="BA40">
            <v>0.10955454545454545</v>
          </cell>
          <cell r="BB40">
            <v>0.10955454545454545</v>
          </cell>
          <cell r="BC40">
            <v>8.2165909090909081E-2</v>
          </cell>
          <cell r="BD40">
            <v>5.4777272727272723E-2</v>
          </cell>
          <cell r="BE40">
            <v>0.10955454545454545</v>
          </cell>
          <cell r="BF40">
            <v>0.10955454545454545</v>
          </cell>
          <cell r="BG40">
            <v>0.10955454545454545</v>
          </cell>
          <cell r="BH40">
            <v>8.2165909090909081E-2</v>
          </cell>
          <cell r="BI40">
            <v>0.98599090909090903</v>
          </cell>
        </row>
        <row r="41">
          <cell r="B41" t="str">
            <v>ESBG</v>
          </cell>
        </row>
        <row r="42">
          <cell r="B42" t="str">
            <v>ESBG</v>
          </cell>
        </row>
        <row r="43">
          <cell r="B43" t="str">
            <v>ESBG</v>
          </cell>
        </row>
        <row r="44">
          <cell r="B44" t="str">
            <v>ESBG</v>
          </cell>
        </row>
        <row r="46">
          <cell r="B46" t="str">
            <v>ESBG</v>
          </cell>
        </row>
        <row r="47">
          <cell r="B47" t="str">
            <v>ESBG</v>
          </cell>
        </row>
        <row r="48">
          <cell r="B48" t="str">
            <v>ESBG</v>
          </cell>
          <cell r="C48" t="str">
            <v>MES</v>
          </cell>
          <cell r="D48">
            <v>257</v>
          </cell>
          <cell r="E48" t="str">
            <v>S8 / S20</v>
          </cell>
          <cell r="G48" t="str">
            <v>Remplacement As120 par 1,4512, plus de fournisseur</v>
          </cell>
          <cell r="J48" t="str">
            <v>Planche J</v>
          </cell>
          <cell r="AO48" t="str">
            <v>Applique</v>
          </cell>
          <cell r="BC48">
            <v>-0.2</v>
          </cell>
          <cell r="BD48">
            <v>-0.1</v>
          </cell>
          <cell r="BE48">
            <v>-0.2</v>
          </cell>
          <cell r="BF48">
            <v>-0.2</v>
          </cell>
          <cell r="BG48">
            <v>-0.2</v>
          </cell>
          <cell r="BH48">
            <v>-0.1</v>
          </cell>
          <cell r="BM48">
            <v>-0.14000000000000001</v>
          </cell>
          <cell r="BN48">
            <v>-0.25148999999999999</v>
          </cell>
        </row>
        <row r="49">
          <cell r="B49" t="str">
            <v>ESBG</v>
          </cell>
          <cell r="C49" t="str">
            <v>MES</v>
          </cell>
        </row>
        <row r="50">
          <cell r="C50" t="str">
            <v>MES</v>
          </cell>
          <cell r="G50" t="str">
            <v>FOURNITURE DU S/ ENS SANGLE + ECROU SOUDE ( pot detente TGD ) ( perte matiere )</v>
          </cell>
          <cell r="R50">
            <v>0</v>
          </cell>
          <cell r="T50" t="str">
            <v>MAT</v>
          </cell>
          <cell r="Y50" t="str">
            <v>RENAULT</v>
          </cell>
          <cell r="Z50" t="str">
            <v>FFV10</v>
          </cell>
          <cell r="AO50" t="str">
            <v>Analyse</v>
          </cell>
          <cell r="AQ50" t="str">
            <v>X70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</row>
        <row r="51">
          <cell r="B51" t="str">
            <v>ESBG</v>
          </cell>
        </row>
        <row r="52">
          <cell r="B52" t="str">
            <v>ESBG</v>
          </cell>
          <cell r="C52" t="str">
            <v>BES</v>
          </cell>
          <cell r="D52">
            <v>462</v>
          </cell>
          <cell r="G52" t="str">
            <v>RATIONALISATION CATAS CERAMIQUES 86 CM²</v>
          </cell>
          <cell r="J52" t="str">
            <v>T.  WEBER</v>
          </cell>
          <cell r="O52">
            <v>2134.181818181818</v>
          </cell>
          <cell r="Q52">
            <v>1</v>
          </cell>
          <cell r="R52">
            <v>25.610181818181815</v>
          </cell>
          <cell r="T52" t="str">
            <v>MAT</v>
          </cell>
          <cell r="Y52" t="str">
            <v>PSA</v>
          </cell>
          <cell r="Z52" t="str">
            <v>FFV51</v>
          </cell>
          <cell r="AO52" t="str">
            <v>Analyse</v>
          </cell>
          <cell r="AQ52" t="str">
            <v>40 % des gains en 2003 et 60 % en 2004 =&gt; repartir sur 8 mois en 2004</v>
          </cell>
          <cell r="AW52">
            <v>0.88035000000000008</v>
          </cell>
          <cell r="AX52">
            <v>1.2324900000000001</v>
          </cell>
          <cell r="AY52">
            <v>1.7607000000000002</v>
          </cell>
          <cell r="AZ52">
            <v>1.7607000000000002</v>
          </cell>
          <cell r="BA52">
            <v>1.7607000000000002</v>
          </cell>
          <cell r="BB52">
            <v>1.7607000000000002</v>
          </cell>
          <cell r="BC52">
            <v>19.207636363636361</v>
          </cell>
          <cell r="BD52">
            <v>12.805090909090907</v>
          </cell>
          <cell r="BE52">
            <v>25.610181818181815</v>
          </cell>
          <cell r="BF52">
            <v>25.610181818181815</v>
          </cell>
          <cell r="BG52">
            <v>25.610181818181815</v>
          </cell>
          <cell r="BH52">
            <v>19.207636363636361</v>
          </cell>
          <cell r="BI52">
            <v>137.20654909090908</v>
          </cell>
        </row>
        <row r="53">
          <cell r="B53" t="str">
            <v>ESBG</v>
          </cell>
          <cell r="C53" t="str">
            <v>BES</v>
          </cell>
          <cell r="D53">
            <v>463</v>
          </cell>
          <cell r="G53" t="str">
            <v>RATIONALISATION CATAS CERAMIQUES  100 CM²</v>
          </cell>
          <cell r="J53" t="str">
            <v>T.  WEBER</v>
          </cell>
          <cell r="O53">
            <v>378</v>
          </cell>
          <cell r="Q53">
            <v>1</v>
          </cell>
          <cell r="R53">
            <v>1.512</v>
          </cell>
          <cell r="T53" t="str">
            <v>MAT</v>
          </cell>
          <cell r="Y53" t="str">
            <v>PSA</v>
          </cell>
          <cell r="Z53" t="str">
            <v>FFV51</v>
          </cell>
          <cell r="AO53" t="str">
            <v>Analyse</v>
          </cell>
          <cell r="AW53">
            <v>0</v>
          </cell>
          <cell r="AX53">
            <v>0</v>
          </cell>
          <cell r="AY53">
            <v>0</v>
          </cell>
          <cell r="AZ53">
            <v>0.31184999999999996</v>
          </cell>
          <cell r="BA53">
            <v>0.31184999999999996</v>
          </cell>
          <cell r="BB53">
            <v>0.31184999999999996</v>
          </cell>
          <cell r="BC53">
            <v>1.1339999999999999</v>
          </cell>
          <cell r="BD53">
            <v>0.75600000000000001</v>
          </cell>
          <cell r="BE53">
            <v>1.512</v>
          </cell>
          <cell r="BF53">
            <v>1.512</v>
          </cell>
          <cell r="BG53">
            <v>1.512</v>
          </cell>
          <cell r="BH53">
            <v>1.1339999999999999</v>
          </cell>
          <cell r="BI53">
            <v>8.4955500000000015</v>
          </cell>
        </row>
        <row r="54">
          <cell r="C54" t="str">
            <v>BES</v>
          </cell>
          <cell r="D54">
            <v>464</v>
          </cell>
          <cell r="G54" t="str">
            <v>RATIONALISATION CATAS CERAMIQUES 118 CM²</v>
          </cell>
          <cell r="J54" t="str">
            <v>T.  WEBER</v>
          </cell>
          <cell r="O54">
            <v>468.90909090909093</v>
          </cell>
          <cell r="Q54">
            <v>1</v>
          </cell>
          <cell r="R54">
            <v>7.0336363636363641</v>
          </cell>
          <cell r="T54" t="str">
            <v>MAT</v>
          </cell>
          <cell r="Y54" t="str">
            <v>PSA</v>
          </cell>
          <cell r="Z54" t="str">
            <v>FFV51</v>
          </cell>
          <cell r="AO54" t="str">
            <v>Analyse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0.19342499999999999</v>
          </cell>
          <cell r="BE54">
            <v>7.0336363636363641</v>
          </cell>
          <cell r="BF54">
            <v>7.0336363636363641</v>
          </cell>
          <cell r="BG54">
            <v>7.0336363636363641</v>
          </cell>
          <cell r="BH54">
            <v>5.2752272727272729</v>
          </cell>
          <cell r="BI54">
            <v>26.569561363636367</v>
          </cell>
        </row>
        <row r="55">
          <cell r="B55" t="str">
            <v>ESBG</v>
          </cell>
        </row>
        <row r="56">
          <cell r="C56" t="str">
            <v>MES</v>
          </cell>
          <cell r="G56" t="str">
            <v>Suppression des presses RASKIN /</v>
          </cell>
          <cell r="J56" t="str">
            <v>C. DESERT</v>
          </cell>
          <cell r="T56" t="str">
            <v>MOD</v>
          </cell>
          <cell r="AO56" t="str">
            <v>Analyse</v>
          </cell>
        </row>
        <row r="57">
          <cell r="B57" t="str">
            <v>ESBG</v>
          </cell>
          <cell r="C57" t="str">
            <v>MES</v>
          </cell>
          <cell r="G57" t="str">
            <v>Suppression des presses RASKIN /</v>
          </cell>
          <cell r="J57" t="str">
            <v>C. DESERT</v>
          </cell>
          <cell r="T57" t="str">
            <v>MAT</v>
          </cell>
          <cell r="AO57" t="str">
            <v>Analyse</v>
          </cell>
        </row>
        <row r="58">
          <cell r="C58" t="str">
            <v>MES</v>
          </cell>
          <cell r="D58">
            <v>217</v>
          </cell>
          <cell r="E58" t="str">
            <v>A86</v>
          </cell>
          <cell r="G58" t="str">
            <v>Sippression du bouchon + …</v>
          </cell>
          <cell r="J58" t="str">
            <v>Jplanche</v>
          </cell>
          <cell r="O58">
            <v>20000</v>
          </cell>
          <cell r="Q58">
            <v>0.08</v>
          </cell>
          <cell r="R58">
            <v>1.6</v>
          </cell>
          <cell r="T58" t="str">
            <v>MAT</v>
          </cell>
          <cell r="Y58" t="str">
            <v>PSA</v>
          </cell>
          <cell r="AO58" t="str">
            <v>Applique</v>
          </cell>
          <cell r="AQ58" t="str">
            <v>REALISE EN 2003</v>
          </cell>
          <cell r="BC58">
            <v>1.5</v>
          </cell>
          <cell r="BD58">
            <v>1</v>
          </cell>
          <cell r="BE58">
            <v>1</v>
          </cell>
          <cell r="BL58">
            <v>1.7</v>
          </cell>
          <cell r="BM58">
            <v>2.0641700000000003</v>
          </cell>
          <cell r="BN58">
            <v>2.37365</v>
          </cell>
        </row>
        <row r="59">
          <cell r="C59" t="str">
            <v>BES</v>
          </cell>
          <cell r="E59" t="str">
            <v>A8</v>
          </cell>
          <cell r="G59" t="str">
            <v>SILENCIEUX AR 9L ALD 10.9 / CANULE D50 ALD 55</v>
          </cell>
          <cell r="J59" t="str">
            <v>M. BERTRAND</v>
          </cell>
          <cell r="R59" t="str">
            <v>9.12</v>
          </cell>
          <cell r="T59" t="str">
            <v>MAT</v>
          </cell>
          <cell r="Y59" t="str">
            <v>PSA</v>
          </cell>
          <cell r="AO59" t="str">
            <v>Analyse</v>
          </cell>
          <cell r="AQ59" t="str">
            <v>REALISE EN 2003</v>
          </cell>
        </row>
        <row r="60">
          <cell r="B60" t="str">
            <v>ESBG</v>
          </cell>
          <cell r="C60" t="str">
            <v>BES</v>
          </cell>
          <cell r="E60" t="str">
            <v>A8</v>
          </cell>
          <cell r="G60" t="str">
            <v>TUBE DE SORTIE CATAS EP 1,2</v>
          </cell>
          <cell r="J60" t="str">
            <v>Massu S</v>
          </cell>
          <cell r="R60">
            <v>2.7</v>
          </cell>
          <cell r="T60" t="str">
            <v>MAT</v>
          </cell>
          <cell r="Y60" t="str">
            <v>PSA</v>
          </cell>
          <cell r="AO60" t="str">
            <v>Analyse</v>
          </cell>
          <cell r="AQ60" t="str">
            <v>REALISE EN 2003</v>
          </cell>
        </row>
        <row r="61">
          <cell r="B61" t="str">
            <v>ESBG</v>
          </cell>
          <cell r="C61" t="str">
            <v>ME</v>
          </cell>
          <cell r="D61">
            <v>75</v>
          </cell>
          <cell r="E61" t="str">
            <v>X65 V3 RS</v>
          </cell>
          <cell r="G61" t="str">
            <v>diminution des ep de 0,5 à 0,4 sur les 2 enveloppes</v>
          </cell>
          <cell r="J61" t="str">
            <v>Lefebvre J</v>
          </cell>
          <cell r="O61">
            <v>60000</v>
          </cell>
          <cell r="Q61">
            <v>0.97</v>
          </cell>
          <cell r="R61">
            <v>58.2</v>
          </cell>
          <cell r="T61" t="str">
            <v>MAT</v>
          </cell>
          <cell r="Y61" t="str">
            <v>RENAULT</v>
          </cell>
          <cell r="Z61" t="str">
            <v>FFV10</v>
          </cell>
          <cell r="AO61" t="str">
            <v>Analyse</v>
          </cell>
          <cell r="AW61">
            <v>0</v>
          </cell>
          <cell r="AX61">
            <v>0</v>
          </cell>
          <cell r="AY61">
            <v>58.2</v>
          </cell>
          <cell r="AZ61">
            <v>58.2</v>
          </cell>
          <cell r="BA61">
            <v>58.2</v>
          </cell>
          <cell r="BB61">
            <v>58.2</v>
          </cell>
          <cell r="BC61">
            <v>20</v>
          </cell>
          <cell r="BD61">
            <v>15</v>
          </cell>
          <cell r="BE61">
            <v>30</v>
          </cell>
          <cell r="BF61">
            <v>30</v>
          </cell>
          <cell r="BG61">
            <v>30</v>
          </cell>
          <cell r="BH61">
            <v>30</v>
          </cell>
          <cell r="BI61">
            <v>387.8</v>
          </cell>
        </row>
        <row r="62">
          <cell r="B62" t="str">
            <v>ESBG</v>
          </cell>
          <cell r="C62" t="str">
            <v>ME</v>
          </cell>
          <cell r="D62">
            <v>77</v>
          </cell>
          <cell r="E62" t="str">
            <v>X65 V3 RS</v>
          </cell>
          <cell r="G62" t="str">
            <v>Passage en simple epaisseur cou exterieures</v>
          </cell>
          <cell r="J62" t="str">
            <v>Lefebvre J</v>
          </cell>
          <cell r="O62">
            <v>30000</v>
          </cell>
          <cell r="Q62">
            <v>0.47</v>
          </cell>
          <cell r="R62">
            <v>14.1</v>
          </cell>
          <cell r="T62" t="str">
            <v>MAT</v>
          </cell>
          <cell r="Y62" t="str">
            <v>RENAULT</v>
          </cell>
          <cell r="Z62" t="str">
            <v>FFV10</v>
          </cell>
          <cell r="AO62" t="str">
            <v>Analyse</v>
          </cell>
          <cell r="AW62">
            <v>14.1</v>
          </cell>
          <cell r="AX62">
            <v>14.1</v>
          </cell>
          <cell r="AY62">
            <v>14.1</v>
          </cell>
          <cell r="AZ62">
            <v>14.1</v>
          </cell>
          <cell r="BA62">
            <v>14.1</v>
          </cell>
          <cell r="BB62">
            <v>14.1</v>
          </cell>
          <cell r="BC62">
            <v>10.574999999999999</v>
          </cell>
          <cell r="BD62">
            <v>7.05</v>
          </cell>
          <cell r="BE62">
            <v>14.1</v>
          </cell>
          <cell r="BF62">
            <v>14.1</v>
          </cell>
          <cell r="BG62">
            <v>14.1</v>
          </cell>
          <cell r="BH62">
            <v>10.574999999999999</v>
          </cell>
          <cell r="BI62">
            <v>155.09999999999997</v>
          </cell>
        </row>
        <row r="63">
          <cell r="B63" t="str">
            <v>ESBG</v>
          </cell>
          <cell r="C63" t="str">
            <v>ME</v>
          </cell>
          <cell r="D63">
            <v>71</v>
          </cell>
          <cell r="E63" t="str">
            <v>X70</v>
          </cell>
          <cell r="G63" t="str">
            <v>REMPLACEMENT COUPELLE DOUBLE PAR MONO EPAISSEUR</v>
          </cell>
          <cell r="J63" t="str">
            <v>E. GAUTIER</v>
          </cell>
          <cell r="R63">
            <v>5.33</v>
          </cell>
          <cell r="T63" t="str">
            <v>MAT</v>
          </cell>
          <cell r="Y63" t="str">
            <v>RENAULT</v>
          </cell>
          <cell r="Z63" t="str">
            <v>FFV10</v>
          </cell>
          <cell r="AO63" t="str">
            <v>Abandonné</v>
          </cell>
          <cell r="AW63">
            <v>0</v>
          </cell>
          <cell r="AX63">
            <v>0</v>
          </cell>
          <cell r="AY63">
            <v>0</v>
          </cell>
          <cell r="AZ63">
            <v>5.33</v>
          </cell>
          <cell r="BA63">
            <v>5.33</v>
          </cell>
          <cell r="BB63">
            <v>5.33</v>
          </cell>
          <cell r="BI63">
            <v>15.99</v>
          </cell>
        </row>
        <row r="64">
          <cell r="B64" t="str">
            <v>ESBG</v>
          </cell>
          <cell r="C64" t="str">
            <v>BES</v>
          </cell>
          <cell r="E64" t="str">
            <v>X70</v>
          </cell>
          <cell r="G64" t="str">
            <v>SUPPRESSION REFERENCE 18G5605 REMPLACE PAR PHASE 2</v>
          </cell>
          <cell r="J64" t="str">
            <v>E. GAUTIER</v>
          </cell>
          <cell r="T64" t="str">
            <v>MAT</v>
          </cell>
          <cell r="AO64" t="str">
            <v>Analyse</v>
          </cell>
          <cell r="BI64">
            <v>0</v>
          </cell>
        </row>
        <row r="65">
          <cell r="B65" t="str">
            <v>ESBG</v>
          </cell>
          <cell r="C65" t="str">
            <v>BES</v>
          </cell>
          <cell r="E65" t="str">
            <v>X70</v>
          </cell>
          <cell r="G65" t="str">
            <v>CONDITIONNEMENT FLEXIBLES EN PETITS CARTONS</v>
          </cell>
          <cell r="J65" t="str">
            <v>E. GAUTIER</v>
          </cell>
          <cell r="T65" t="str">
            <v>MAT</v>
          </cell>
          <cell r="AO65" t="str">
            <v>Analyse</v>
          </cell>
          <cell r="BI65">
            <v>0</v>
          </cell>
        </row>
        <row r="66">
          <cell r="B66" t="str">
            <v>ESBG</v>
          </cell>
          <cell r="C66" t="str">
            <v>BES</v>
          </cell>
          <cell r="D66">
            <v>66</v>
          </cell>
          <cell r="E66" t="str">
            <v>X70</v>
          </cell>
          <cell r="G66" t="str">
            <v>CHANGEMENT DE MATIERE SUR CANULES 1,4301 par 1,4510</v>
          </cell>
          <cell r="J66" t="str">
            <v>E. GAUTIER</v>
          </cell>
          <cell r="R66">
            <v>6</v>
          </cell>
          <cell r="T66" t="str">
            <v>MAT</v>
          </cell>
          <cell r="Y66" t="str">
            <v>RENAULT</v>
          </cell>
          <cell r="Z66" t="str">
            <v>FLA10</v>
          </cell>
          <cell r="AO66" t="str">
            <v>Abandonné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6</v>
          </cell>
          <cell r="BI66">
            <v>6</v>
          </cell>
        </row>
        <row r="67">
          <cell r="B67" t="str">
            <v>ESBG</v>
          </cell>
          <cell r="C67" t="str">
            <v>BES</v>
          </cell>
          <cell r="E67" t="str">
            <v>X70</v>
          </cell>
          <cell r="G67" t="str">
            <v>SUPPRESSION D'UN FLEXIBLE ( SORTIE ) sur descente catas</v>
          </cell>
          <cell r="J67" t="str">
            <v>E. GAUTIER</v>
          </cell>
          <cell r="T67" t="str">
            <v>MAT</v>
          </cell>
          <cell r="AO67" t="str">
            <v>Analyse</v>
          </cell>
          <cell r="BI67">
            <v>0</v>
          </cell>
        </row>
        <row r="68">
          <cell r="C68" t="str">
            <v>BES</v>
          </cell>
          <cell r="D68">
            <v>64</v>
          </cell>
          <cell r="E68" t="str">
            <v>X70</v>
          </cell>
          <cell r="G68" t="str">
            <v>COUPELLE INTER SIL AR EN EPAIS 1</v>
          </cell>
          <cell r="J68" t="str">
            <v>E. GAUTIER</v>
          </cell>
          <cell r="R68">
            <v>10.67</v>
          </cell>
          <cell r="T68" t="str">
            <v>MAT</v>
          </cell>
          <cell r="Y68" t="str">
            <v>RENAULT</v>
          </cell>
          <cell r="Z68" t="str">
            <v>FFV10</v>
          </cell>
          <cell r="AO68" t="str">
            <v>Abandonné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10.67</v>
          </cell>
          <cell r="BB68">
            <v>10.67</v>
          </cell>
          <cell r="BI68">
            <v>21.34</v>
          </cell>
        </row>
        <row r="69">
          <cell r="C69" t="str">
            <v>BES</v>
          </cell>
          <cell r="D69">
            <v>63</v>
          </cell>
          <cell r="E69" t="str">
            <v>X70</v>
          </cell>
          <cell r="G69" t="str">
            <v>TUBE ENTREE SIL ARD 1.2 ALD 1.8</v>
          </cell>
          <cell r="J69" t="str">
            <v>E. GAUTIER</v>
          </cell>
          <cell r="R69">
            <v>10.67</v>
          </cell>
          <cell r="T69" t="str">
            <v>MAT</v>
          </cell>
          <cell r="Y69" t="str">
            <v>RENAULT</v>
          </cell>
          <cell r="Z69" t="str">
            <v>FLA10</v>
          </cell>
          <cell r="AO69" t="str">
            <v>Analyse</v>
          </cell>
          <cell r="AQ69" t="str">
            <v>A PARTIR DE JUIN 2004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F69">
            <v>10.67</v>
          </cell>
          <cell r="BG69">
            <v>10.67</v>
          </cell>
          <cell r="BH69">
            <v>8.0024999999999995</v>
          </cell>
          <cell r="BI69">
            <v>29.342500000000001</v>
          </cell>
        </row>
        <row r="70">
          <cell r="B70" t="str">
            <v>ESBG</v>
          </cell>
          <cell r="C70" t="str">
            <v>BES</v>
          </cell>
          <cell r="E70" t="str">
            <v>X70</v>
          </cell>
          <cell r="G70" t="str">
            <v>RECHERCHE FOURNISSEUR MOINS CHER POUR BRIDE ENTREE PHASE 2</v>
          </cell>
          <cell r="J70" t="str">
            <v>E. GAUTIER</v>
          </cell>
          <cell r="T70" t="str">
            <v>MAT</v>
          </cell>
          <cell r="AO70" t="str">
            <v>Analyse</v>
          </cell>
          <cell r="BI70">
            <v>0</v>
          </cell>
        </row>
        <row r="71">
          <cell r="B71" t="str">
            <v>ESBG</v>
          </cell>
          <cell r="C71" t="str">
            <v>BES</v>
          </cell>
          <cell r="E71" t="str">
            <v>X70</v>
          </cell>
          <cell r="G71" t="str">
            <v>rationalisation des pot detente G2860 et TGD</v>
          </cell>
          <cell r="J71" t="str">
            <v>E. GAUTIER</v>
          </cell>
          <cell r="T71" t="str">
            <v>MAT</v>
          </cell>
          <cell r="AO71" t="str">
            <v>Analyse</v>
          </cell>
          <cell r="BI71">
            <v>0</v>
          </cell>
        </row>
        <row r="72">
          <cell r="B72" t="str">
            <v>ESBG</v>
          </cell>
          <cell r="C72" t="str">
            <v>BES</v>
          </cell>
          <cell r="D72">
            <v>159</v>
          </cell>
          <cell r="E72" t="str">
            <v>X70</v>
          </cell>
          <cell r="G72" t="str">
            <v>ALES SUR SILENCIEUX X70</v>
          </cell>
          <cell r="J72" t="str">
            <v>E. GAUTIER</v>
          </cell>
          <cell r="O72">
            <v>6000</v>
          </cell>
          <cell r="Q72">
            <v>0.88833333333333331</v>
          </cell>
          <cell r="R72">
            <v>5.33</v>
          </cell>
          <cell r="T72" t="str">
            <v>MAT</v>
          </cell>
          <cell r="Y72" t="str">
            <v>RENAULT</v>
          </cell>
          <cell r="Z72" t="str">
            <v>FFV10</v>
          </cell>
          <cell r="AO72" t="str">
            <v>Analyse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5.33</v>
          </cell>
          <cell r="BE72">
            <v>5.33</v>
          </cell>
          <cell r="BF72">
            <v>5.33</v>
          </cell>
          <cell r="BG72">
            <v>5.33</v>
          </cell>
          <cell r="BH72">
            <v>3.9975000000000001</v>
          </cell>
          <cell r="BI72">
            <v>25.317499999999999</v>
          </cell>
        </row>
        <row r="73">
          <cell r="C73" t="str">
            <v>BES</v>
          </cell>
          <cell r="E73" t="str">
            <v>X70</v>
          </cell>
          <cell r="G73" t="str">
            <v>SUPPRESSION REFERENCE V2</v>
          </cell>
          <cell r="J73" t="str">
            <v>E. GAUTIER</v>
          </cell>
          <cell r="R73">
            <v>0</v>
          </cell>
          <cell r="T73" t="str">
            <v>MAT</v>
          </cell>
          <cell r="Y73" t="str">
            <v>RENAULT</v>
          </cell>
          <cell r="Z73" t="str">
            <v>FFV10</v>
          </cell>
          <cell r="AO73" t="str">
            <v>Abandonné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</row>
        <row r="74">
          <cell r="B74" t="str">
            <v>ESBG</v>
          </cell>
          <cell r="C74" t="str">
            <v>BES</v>
          </cell>
          <cell r="E74" t="str">
            <v>X70</v>
          </cell>
          <cell r="G74" t="str">
            <v>ALES SUR POT DETENTE X70</v>
          </cell>
          <cell r="J74" t="str">
            <v>E. GAUTIER</v>
          </cell>
          <cell r="O74">
            <v>6000</v>
          </cell>
          <cell r="Q74">
            <v>0</v>
          </cell>
          <cell r="T74" t="str">
            <v>MAT</v>
          </cell>
          <cell r="Y74" t="str">
            <v>RENAULT</v>
          </cell>
          <cell r="Z74" t="str">
            <v>FFV10</v>
          </cell>
          <cell r="AO74" t="str">
            <v>Analyse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</row>
        <row r="75">
          <cell r="C75" t="str">
            <v>MES</v>
          </cell>
          <cell r="D75">
            <v>180</v>
          </cell>
          <cell r="E75" t="str">
            <v>X70</v>
          </cell>
          <cell r="G75" t="str">
            <v>Optimiser Lg barres X70 (tube entree sil arr)</v>
          </cell>
          <cell r="J75" t="str">
            <v>V Gosatti</v>
          </cell>
          <cell r="T75" t="str">
            <v>MAT</v>
          </cell>
          <cell r="Z75" t="str">
            <v>DTU10</v>
          </cell>
          <cell r="AO75" t="str">
            <v>Applique</v>
          </cell>
          <cell r="BC75">
            <v>0.3</v>
          </cell>
          <cell r="BD75">
            <v>0.2</v>
          </cell>
          <cell r="BE75">
            <v>0.5</v>
          </cell>
          <cell r="BF75">
            <v>0.5</v>
          </cell>
          <cell r="BG75">
            <v>0.5</v>
          </cell>
          <cell r="BH75">
            <v>0.3</v>
          </cell>
          <cell r="BI75">
            <v>2.2999999999999998</v>
          </cell>
          <cell r="BM75">
            <v>0.72831800000000002</v>
          </cell>
          <cell r="BN75">
            <v>0.77336400000000005</v>
          </cell>
        </row>
        <row r="76">
          <cell r="B76" t="str">
            <v>ESBG</v>
          </cell>
          <cell r="C76" t="str">
            <v>MES</v>
          </cell>
          <cell r="D76">
            <v>162</v>
          </cell>
          <cell r="E76" t="str">
            <v>X70</v>
          </cell>
          <cell r="G76" t="str">
            <v>Reduction lgr de barre sur X70 diam64 pour canules</v>
          </cell>
          <cell r="J76" t="str">
            <v>A. LEBASSARD</v>
          </cell>
          <cell r="O76">
            <v>5000</v>
          </cell>
          <cell r="Q76">
            <v>0.2</v>
          </cell>
          <cell r="R76">
            <v>1</v>
          </cell>
          <cell r="T76" t="str">
            <v>MAT</v>
          </cell>
          <cell r="Y76" t="str">
            <v>RENAULT</v>
          </cell>
          <cell r="Z76" t="str">
            <v>DTU10</v>
          </cell>
          <cell r="AO76" t="str">
            <v>Applique</v>
          </cell>
          <cell r="AW76">
            <v>1</v>
          </cell>
          <cell r="AX76">
            <v>1</v>
          </cell>
          <cell r="AY76">
            <v>1</v>
          </cell>
          <cell r="AZ76">
            <v>1</v>
          </cell>
          <cell r="BA76">
            <v>1</v>
          </cell>
          <cell r="BB76">
            <v>1</v>
          </cell>
          <cell r="BC76">
            <v>1.5</v>
          </cell>
          <cell r="BD76">
            <v>1</v>
          </cell>
          <cell r="BE76">
            <v>2</v>
          </cell>
          <cell r="BF76">
            <v>2</v>
          </cell>
          <cell r="BG76">
            <v>2</v>
          </cell>
          <cell r="BH76">
            <v>1.5</v>
          </cell>
          <cell r="BI76">
            <v>16</v>
          </cell>
          <cell r="BL76">
            <v>0.7</v>
          </cell>
          <cell r="BM76">
            <v>1.3284</v>
          </cell>
          <cell r="BN76">
            <v>1.9661597</v>
          </cell>
        </row>
        <row r="78">
          <cell r="B78" t="str">
            <v>ESBG</v>
          </cell>
          <cell r="C78" t="str">
            <v>ME</v>
          </cell>
          <cell r="E78" t="str">
            <v>X81</v>
          </cell>
          <cell r="G78" t="str">
            <v>actuellement 5 volumes ( 3 + 2 )</v>
          </cell>
          <cell r="J78" t="str">
            <v>F Gaurrand</v>
          </cell>
          <cell r="T78" t="str">
            <v>MAT</v>
          </cell>
          <cell r="AO78" t="str">
            <v>Analyse</v>
          </cell>
          <cell r="BI78">
            <v>0</v>
          </cell>
        </row>
        <row r="79">
          <cell r="B79" t="str">
            <v>ESBG</v>
          </cell>
          <cell r="C79" t="str">
            <v>ME</v>
          </cell>
          <cell r="E79" t="str">
            <v>Toyota</v>
          </cell>
          <cell r="G79" t="str">
            <v>étude par Toyota d'une solution plus industrielle</v>
          </cell>
          <cell r="J79" t="str">
            <v>F Gaurrand</v>
          </cell>
          <cell r="T79" t="str">
            <v>MAT</v>
          </cell>
          <cell r="AO79" t="str">
            <v>Analyse</v>
          </cell>
          <cell r="BI79">
            <v>0</v>
          </cell>
        </row>
        <row r="80">
          <cell r="B80" t="str">
            <v>ESBG</v>
          </cell>
          <cell r="C80" t="str">
            <v>ME</v>
          </cell>
          <cell r="E80" t="str">
            <v>X56</v>
          </cell>
          <cell r="G80" t="str">
            <v>SUPPRESSION MACHINE DE FIBRE DE VERRE SUR E TOOL ( projet champion )</v>
          </cell>
          <cell r="J80" t="str">
            <v>A.  HIESSE</v>
          </cell>
          <cell r="O80">
            <v>4090.909090909091</v>
          </cell>
          <cell r="Q80">
            <v>-0.7732</v>
          </cell>
          <cell r="R80">
            <v>-3.1630909090909092</v>
          </cell>
          <cell r="T80" t="str">
            <v>MAT</v>
          </cell>
          <cell r="Y80" t="str">
            <v>RENAULT</v>
          </cell>
          <cell r="Z80" t="str">
            <v>FFV10</v>
          </cell>
          <cell r="AO80" t="str">
            <v>Analyse</v>
          </cell>
          <cell r="AQ80" t="str">
            <v>PERTE</v>
          </cell>
          <cell r="AW80">
            <v>-3.1630909090909092</v>
          </cell>
          <cell r="AX80">
            <v>-3.1630909090909092</v>
          </cell>
          <cell r="AY80">
            <v>-3.1630909090909092</v>
          </cell>
          <cell r="AZ80">
            <v>-3.1630909090909092</v>
          </cell>
          <cell r="BA80">
            <v>-3.1630909090909092</v>
          </cell>
          <cell r="BB80">
            <v>-3.1630909090909092</v>
          </cell>
          <cell r="BC80">
            <v>-2.3723181818181818</v>
          </cell>
          <cell r="BD80">
            <v>-1.5815454545454546</v>
          </cell>
          <cell r="BE80">
            <v>-3.1630909090909092</v>
          </cell>
          <cell r="BF80">
            <v>-3.1630909090909092</v>
          </cell>
          <cell r="BG80">
            <v>-3.1630909090909092</v>
          </cell>
          <cell r="BH80">
            <v>-1.5815454545454546</v>
          </cell>
          <cell r="BI80">
            <v>-34.003227272727273</v>
          </cell>
        </row>
        <row r="81">
          <cell r="B81" t="str">
            <v>ESBG</v>
          </cell>
          <cell r="C81" t="str">
            <v>ME</v>
          </cell>
          <cell r="E81" t="str">
            <v>T3000</v>
          </cell>
          <cell r="BI81">
            <v>0</v>
          </cell>
        </row>
        <row r="82">
          <cell r="B82" t="str">
            <v>ESBG</v>
          </cell>
          <cell r="C82" t="str">
            <v>ME</v>
          </cell>
          <cell r="E82" t="str">
            <v>T3000</v>
          </cell>
          <cell r="G82" t="str">
            <v>Remplacement par un tube non perforé</v>
          </cell>
          <cell r="J82" t="str">
            <v>Glock G</v>
          </cell>
          <cell r="T82" t="str">
            <v>MAT</v>
          </cell>
          <cell r="AO82" t="str">
            <v>Analyse</v>
          </cell>
          <cell r="BI82">
            <v>0</v>
          </cell>
        </row>
        <row r="83">
          <cell r="B83" t="str">
            <v>ESBG</v>
          </cell>
          <cell r="C83" t="str">
            <v>ME</v>
          </cell>
          <cell r="E83" t="str">
            <v>T3000</v>
          </cell>
          <cell r="G83" t="str">
            <v>passage coupelle de matière 1,4301  en 1,4510</v>
          </cell>
          <cell r="J83" t="str">
            <v>Glock G</v>
          </cell>
          <cell r="T83" t="str">
            <v>MAT</v>
          </cell>
          <cell r="AO83" t="str">
            <v>Analyse</v>
          </cell>
          <cell r="AQ83" t="str">
            <v>REALISE EN 2003</v>
          </cell>
          <cell r="BI83">
            <v>0</v>
          </cell>
        </row>
        <row r="84">
          <cell r="B84" t="str">
            <v>ESBG</v>
          </cell>
          <cell r="C84" t="str">
            <v>BES</v>
          </cell>
          <cell r="D84">
            <v>146</v>
          </cell>
          <cell r="E84" t="str">
            <v>Tous secteurs</v>
          </cell>
          <cell r="G84" t="str">
            <v>fil de soudure de austenitique en ferritique</v>
          </cell>
          <cell r="J84" t="str">
            <v>D. LEFEVRE</v>
          </cell>
          <cell r="R84">
            <v>2.33</v>
          </cell>
          <cell r="T84" t="str">
            <v>MAT</v>
          </cell>
          <cell r="Z84" t="str">
            <v>TOUS SECTEURS</v>
          </cell>
          <cell r="AO84" t="str">
            <v>Analyse</v>
          </cell>
          <cell r="AW84">
            <v>2.33</v>
          </cell>
          <cell r="AX84">
            <v>2.33</v>
          </cell>
          <cell r="AY84">
            <v>2.33</v>
          </cell>
          <cell r="AZ84">
            <v>2.33</v>
          </cell>
          <cell r="BA84">
            <v>2.33</v>
          </cell>
          <cell r="BB84">
            <v>2.33</v>
          </cell>
          <cell r="BE84">
            <v>2.33</v>
          </cell>
          <cell r="BF84">
            <v>2.33</v>
          </cell>
          <cell r="BG84">
            <v>2.33</v>
          </cell>
          <cell r="BH84">
            <v>1.7475000000000001</v>
          </cell>
          <cell r="BI84">
            <v>22.717499999999998</v>
          </cell>
        </row>
        <row r="85">
          <cell r="B85" t="str">
            <v>ESBG</v>
          </cell>
          <cell r="C85" t="str">
            <v>ME</v>
          </cell>
          <cell r="E85" t="str">
            <v>DIMECO</v>
          </cell>
          <cell r="G85" t="str">
            <v>SOUDAGE ELECTRIQUE ENVELOPPES SUR DIMECO</v>
          </cell>
          <cell r="R85">
            <v>3.33</v>
          </cell>
          <cell r="Z85" t="str">
            <v>FFV 10</v>
          </cell>
          <cell r="AO85" t="str">
            <v>Analyse</v>
          </cell>
          <cell r="BI85">
            <v>0</v>
          </cell>
        </row>
        <row r="86">
          <cell r="B86" t="str">
            <v>ESBG</v>
          </cell>
          <cell r="C86" t="str">
            <v>ME</v>
          </cell>
        </row>
        <row r="87">
          <cell r="B87" t="str">
            <v>ESBG</v>
          </cell>
          <cell r="C87" t="str">
            <v>ME</v>
          </cell>
          <cell r="D87">
            <v>263</v>
          </cell>
          <cell r="E87" t="str">
            <v>Cata Iran</v>
          </cell>
          <cell r="G87" t="str">
            <v>Regroupement d'opération sur cone AR 1821338000</v>
          </cell>
          <cell r="J87" t="str">
            <v>J. PLANCHE</v>
          </cell>
          <cell r="O87">
            <v>19000</v>
          </cell>
          <cell r="R87">
            <v>4.5</v>
          </cell>
          <cell r="T87" t="str">
            <v>MAT</v>
          </cell>
          <cell r="Z87" t="str">
            <v>FLA10</v>
          </cell>
          <cell r="AO87" t="str">
            <v>Applique</v>
          </cell>
          <cell r="BC87">
            <v>2.5</v>
          </cell>
          <cell r="BD87">
            <v>2</v>
          </cell>
          <cell r="BE87">
            <v>4</v>
          </cell>
          <cell r="BN87">
            <v>2.0442200000000001</v>
          </cell>
        </row>
        <row r="88">
          <cell r="B88" t="str">
            <v>ESBG</v>
          </cell>
          <cell r="C88" t="str">
            <v>ME</v>
          </cell>
        </row>
        <row r="89">
          <cell r="B89" t="str">
            <v>ESBG</v>
          </cell>
          <cell r="C89" t="str">
            <v>ME</v>
          </cell>
        </row>
        <row r="90">
          <cell r="B90" t="str">
            <v>ESBG</v>
          </cell>
          <cell r="C90" t="str">
            <v>ME</v>
          </cell>
        </row>
        <row r="91">
          <cell r="B91" t="str">
            <v>ESBG</v>
          </cell>
          <cell r="C91" t="str">
            <v>ME</v>
          </cell>
        </row>
        <row r="92">
          <cell r="B92" t="str">
            <v>ESBG</v>
          </cell>
          <cell r="C92" t="str">
            <v>ME</v>
          </cell>
        </row>
        <row r="93">
          <cell r="B93" t="str">
            <v>ESBG</v>
          </cell>
          <cell r="C93" t="str">
            <v>ME</v>
          </cell>
        </row>
        <row r="94">
          <cell r="C94" t="str">
            <v>ME</v>
          </cell>
        </row>
        <row r="105">
          <cell r="R105">
            <v>31</v>
          </cell>
        </row>
        <row r="106">
          <cell r="R106" t="str">
            <v>TAUX MOD APPLIQUE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0">
    <sheetNames>
      <sheetName val="P&amp;L"/>
      <sheetName val="Hypotheses"/>
      <sheetName val="données par client"/>
      <sheetName val="Tableaux croisés"/>
      <sheetName val="données par vehicule"/>
      <sheetName val="données par usine"/>
      <sheetName val="mix"/>
      <sheetName val="veh status"/>
      <sheetName val="Formules"/>
    </sheetNames>
    <sheetDataSet>
      <sheetData sheetId="0" refreshError="1"/>
      <sheetData sheetId="1" refreshError="1">
        <row r="14">
          <cell r="E14" t="str">
            <v>BU02 Seating - Division Foam</v>
          </cell>
        </row>
        <row r="15">
          <cell r="A15" t="str">
            <v>Seating - Division Foam</v>
          </cell>
          <cell r="C15" t="str">
            <v>Life prod</v>
          </cell>
          <cell r="E15" t="str">
            <v>BU03 Seating - Division Cut &amp; Sew</v>
          </cell>
        </row>
        <row r="16">
          <cell r="A16" t="str">
            <v>Seating - Division Cut &amp; Sew</v>
          </cell>
          <cell r="C16" t="str">
            <v>Awarded</v>
          </cell>
          <cell r="E16" t="str">
            <v>BU04 Seating - Division Mechanisms</v>
          </cell>
        </row>
        <row r="17">
          <cell r="A17" t="str">
            <v>Seating - Division Mechanisms</v>
          </cell>
          <cell r="C17" t="str">
            <v>In acquisition</v>
          </cell>
          <cell r="E17" t="str">
            <v>BU05 Seating - Division Structures</v>
          </cell>
        </row>
        <row r="18">
          <cell r="A18" t="str">
            <v>Seating - Division Structures</v>
          </cell>
          <cell r="C18" t="str">
            <v>Targeted</v>
          </cell>
          <cell r="E18" t="str">
            <v>BU06 Seating - Division PSA</v>
          </cell>
        </row>
        <row r="19">
          <cell r="A19" t="str">
            <v>Seating - Division PSA</v>
          </cell>
          <cell r="E19" t="str">
            <v>BU07 Seating - Division RSA</v>
          </cell>
        </row>
        <row r="20">
          <cell r="A20" t="str">
            <v>Seating - Division RSA</v>
          </cell>
          <cell r="E20" t="str">
            <v>BU08 Seating - Division VAG</v>
          </cell>
        </row>
        <row r="21">
          <cell r="A21" t="str">
            <v>Seating - Division VAG</v>
          </cell>
          <cell r="E21" t="str">
            <v>BU09 Seating - Division GM / Ford / Fiat</v>
          </cell>
        </row>
        <row r="22">
          <cell r="A22" t="str">
            <v>Seating - Division GM / Ford / Fiat</v>
          </cell>
          <cell r="E22" t="str">
            <v>BU10 Seating - Division BMW / DC / Rover</v>
          </cell>
        </row>
        <row r="23">
          <cell r="A23" t="str">
            <v>Seating - Division BMW / DC / Rover</v>
          </cell>
          <cell r="E23" t="str">
            <v>BU11 Seating - Division Asia</v>
          </cell>
        </row>
        <row r="24">
          <cell r="A24" t="str">
            <v>Seating - Division Asia</v>
          </cell>
          <cell r="E24" t="str">
            <v>BU12 Seating - Division North America</v>
          </cell>
        </row>
        <row r="25">
          <cell r="A25" t="str">
            <v>Seating - Division North America</v>
          </cell>
          <cell r="E25" t="str">
            <v>BU13 Seating - Division MERCOSUR</v>
          </cell>
        </row>
        <row r="26">
          <cell r="A26" t="str">
            <v>Seating - Division MERCOSUR</v>
          </cell>
          <cell r="E26" t="str">
            <v>BUBG Seating - Others</v>
          </cell>
        </row>
        <row r="27">
          <cell r="A27" t="str">
            <v>Seating - Others</v>
          </cell>
          <cell r="E27" t="str">
            <v>OBG Seating Other BG</v>
          </cell>
        </row>
        <row r="28">
          <cell r="E28" t="str">
            <v>External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:r="http://schemas.openxmlformats.org/officeDocument/2006/relationships" xmlns="http://schemas.openxmlformats.org/spreadsheetml/2006/main">
  <externalBook r:id="rId0">
    <sheetNames>
      <sheetName val="(B+L)65 F8Q ar"/>
      <sheetName val="sil F8Q"/>
      <sheetName val="VG tuy ent sil F8Q"/>
      <sheetName val="prix_mat_feuillard_brésil"/>
      <sheetName val="base"/>
      <sheetName val="prix_mat_tube_brésil"/>
      <sheetName val="taux_1997"/>
      <sheetName val="taux_1998"/>
      <sheetName val="mat_1998"/>
      <sheetName val="constante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1">
          <cell r="B11">
            <v>1.5792314999999999</v>
          </cell>
        </row>
        <row r="12">
          <cell r="B12">
            <v>1.331</v>
          </cell>
        </row>
        <row r="13">
          <cell r="B13">
            <v>6.1</v>
          </cell>
        </row>
        <row r="14">
          <cell r="B14">
            <v>1.26</v>
          </cell>
        </row>
      </sheetData>
      <sheetData sheetId="10" refreshError="1"/>
    </sheetDataSet>
  </externalBook>
</externalLink>
</file>

<file path=xl/externalLinks/externalLink24.xml><?xml version="1.0" encoding="utf-8"?>
<externalLink xmlns:r="http://schemas.openxmlformats.org/officeDocument/2006/relationships" xmlns="http://schemas.openxmlformats.org/spreadsheetml/2006/main">
  <externalBook r:id="rId0">
    <sheetNames>
      <sheetName val="Entity"/>
      <sheetName val="summary"/>
      <sheetName val="strategy"/>
      <sheetName val="strong-weak"/>
      <sheetName val="SA system"/>
      <sheetName val="Evol.Sales"/>
      <sheetName val="Evol.parts "/>
      <sheetName val="Vehic. Parts "/>
      <sheetName val="Startup BUDGINI"/>
      <sheetName val="Startup"/>
      <sheetName val="Analysis"/>
      <sheetName val="P&amp;L"/>
      <sheetName val="Sum P&amp;L"/>
      <sheetName val="Op.Margin per prod "/>
      <sheetName val="RCU"/>
      <sheetName val="OP CASH "/>
      <sheetName val="PSE"/>
      <sheetName val="SUPPLIERS"/>
      <sheetName val="COSTSBUDGINI"/>
      <sheetName val="COSTS"/>
      <sheetName val="Cost red"/>
      <sheetName val="Sales index"/>
      <sheetName val="Purch. index"/>
      <sheetName val="Purchase savings"/>
      <sheetName val="Headcounts"/>
      <sheetName val="Projects"/>
      <sheetName val="INVEST"/>
      <sheetName val="Indicateurs"/>
      <sheetName val="EFFECT. 99"/>
      <sheetName val="EFFECT.Initial BG"/>
      <sheetName val="EFFECT. BG"/>
      <sheetName val="FI-25A1 Inc Statement"/>
      <sheetName val="FI-06-15F5B Forecast"/>
      <sheetName val="FI-61A3 Fes"/>
      <sheetName val="FI-51A1 headcount"/>
      <sheetName val="Sourcing bis"/>
      <sheetName val="Temp"/>
    </sheetNames>
    <sheetDataSet>
      <sheetData sheetId="0" refreshError="1">
        <row r="4">
          <cell r="A4" t="str">
            <v>I449PPVL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25.xml><?xml version="1.0" encoding="utf-8"?>
<externalLink xmlns:r="http://schemas.openxmlformats.org/officeDocument/2006/relationships" xmlns="http://schemas.openxmlformats.org/spreadsheetml/2006/main">
  <externalBook r:id="rId0">
    <sheetNames>
      <sheetName val="Bnd D peint"/>
      <sheetName val="Bnd D peint ABSPC"/>
      <sheetName val="Bnd D peint ABS"/>
      <sheetName val="Bnd G peint"/>
      <sheetName val="Bnd G peint ABS"/>
      <sheetName val="Base"/>
      <sheetName val="Port D PRZZ"/>
      <sheetName val="Port D PV"/>
      <sheetName val="Port G PRZZ"/>
      <sheetName val="Port G PV"/>
      <sheetName val="PdR"/>
      <sheetName val="PdR PV"/>
      <sheetName val="Méd PRZZ"/>
      <sheetName val="Méd PV"/>
      <sheetName val="VP D PRZZ"/>
      <sheetName val="VP D PV"/>
      <sheetName val="VP G PRZZ"/>
      <sheetName val="VP G PV"/>
      <sheetName val="Assemblage D PRZZ"/>
      <sheetName val="Assemblage D PV"/>
      <sheetName val="Assemblage G PRZZ"/>
      <sheetName val="Assemblage G PV"/>
      <sheetName val="Synthèse PRZZ"/>
      <sheetName val="Synthèse PV"/>
      <sheetName val="Synthèse PU PRZZ"/>
      <sheetName val="Synthèse PU PV"/>
      <sheetName val="Synthèse A42 PV"/>
      <sheetName val="Variantes"/>
      <sheetName val="Logistique"/>
      <sheetName val="Textile"/>
      <sheetName val="Etudes"/>
      <sheetName val="Md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7">
          <cell r="B17">
            <v>42.8</v>
          </cell>
        </row>
      </sheetData>
      <sheetData sheetId="31"/>
    </sheetDataSet>
  </externalBook>
</externalLink>
</file>

<file path=xl/externalLinks/externalLink26.xml><?xml version="1.0" encoding="utf-8"?>
<externalLink xmlns:r="http://schemas.openxmlformats.org/officeDocument/2006/relationships" xmlns="http://schemas.openxmlformats.org/spreadsheetml/2006/main">
  <externalBook r:id="rId0">
    <sheetNames>
      <sheetName val="FIB"/>
      <sheetName val="#REF"/>
      <sheetName val="General"/>
      <sheetName val="PRESENTATION"/>
      <sheetName val="preço"/>
      <sheetName val="IOP"/>
      <sheetName val="Rates"/>
      <sheetName val="Page 30"/>
      <sheetName val="Page 39"/>
      <sheetName val="Page 23"/>
      <sheetName val="Page 37"/>
      <sheetName val="Page 25"/>
      <sheetName val="Page 26"/>
      <sheetName val="Page 31"/>
      <sheetName val="Page 24"/>
      <sheetName val="Non quality costs"/>
      <sheetName val="Page 42"/>
      <sheetName val="Page 21"/>
      <sheetName val="Page 20"/>
      <sheetName val="Page 8"/>
      <sheetName val="Page 14-A"/>
      <sheetName val="Feuil2"/>
      <sheetName val="Master"/>
      <sheetName val="Temp"/>
      <sheetName val="Blad1"/>
      <sheetName val="IFRS Act maj 07-11"/>
      <sheetName val="IFRS"/>
      <sheetName val="Spec"/>
      <sheetName val="US"/>
      <sheetName val="BR (2)"/>
      <sheetName val="BR"/>
      <sheetName val="CN10"/>
      <sheetName val="CN12"/>
      <sheetName val="CN01"/>
      <sheetName val="KR"/>
      <sheetName val="FR."/>
      <sheetName val="CZ03"/>
      <sheetName val="CZ01"/>
      <sheetName val="DE_C1"/>
      <sheetName val="DE_MB"/>
      <sheetName val="DE_VW"/>
      <sheetName val="DE_GM"/>
      <sheetName val="Fakt"/>
      <sheetName val="CZ01_h"/>
      <sheetName val="CZ03 (2)"/>
      <sheetName val="K4"/>
      <sheetName val="CZ03 Fas"/>
      <sheetName val="CZ03 Fas (2)"/>
      <sheetName val="C394"/>
      <sheetName val="PSA DV6"/>
      <sheetName val="BUD"/>
      <sheetName val="BUD 2"/>
      <sheetName val="Prog"/>
      <sheetName val="Proj_Info"/>
      <sheetName val="Proj"/>
      <sheetName val="Året"/>
      <sheetName val="Acc Sep"/>
      <sheetName val="Sep"/>
      <sheetName val="Acc Aug (2)"/>
      <sheetName val="Acc Aug"/>
      <sheetName val="Aug"/>
      <sheetName val="IFRS Prel"/>
      <sheetName val="IFRS utf"/>
      <sheetName val="Aug FAS Utf"/>
      <sheetName val="Aug FAS Prel"/>
      <sheetName val="Jul FAS Utf"/>
      <sheetName val="Jul FAS Prel"/>
      <sheetName val="Jun FAS Utf"/>
      <sheetName val="Jun FAS Prel"/>
      <sheetName val="Maj FAS Utf"/>
      <sheetName val="Maj FAS Prel"/>
      <sheetName val="Apr FAS Utf"/>
      <sheetName val="Apr FAS Prel"/>
      <sheetName val="Mar FAS Utf"/>
      <sheetName val="Mar FAS Prel"/>
      <sheetName val="Feb FAS Utf"/>
      <sheetName val="Feb FAS Prel"/>
      <sheetName val="Jan FAS Utf"/>
      <sheetName val="Jan FAS Prel"/>
      <sheetName val="Dec FAS Utf"/>
      <sheetName val="Dec FAS Prel"/>
      <sheetName val="K4M_M9R (2)"/>
      <sheetName val="K4M_M9R"/>
      <sheetName val="VINOVA_07"/>
      <sheetName val="VINOVA_06"/>
      <sheetName val="VINOVA_05"/>
      <sheetName val="Fak TOT 2006"/>
      <sheetName val="Fakt per proj 0609"/>
      <sheetName val="ACQ"/>
      <sheetName val="UTV Fakt_Bud (2)"/>
      <sheetName val="Fakt CZ03 2006 månad"/>
      <sheetName val="Launch Bakov"/>
      <sheetName val="T5031_B53"/>
      <sheetName val="T5077 CN01"/>
      <sheetName val="T6965"/>
      <sheetName val="T6919_I5 CZ01"/>
      <sheetName val="C394_HLX (2)"/>
      <sheetName val="C394 (2)"/>
      <sheetName val="BR169"/>
      <sheetName val="EUCD_REN"/>
      <sheetName val="C1"/>
      <sheetName val="C1_Fakt"/>
      <sheetName val="Fr Proj"/>
      <sheetName val="Page 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27.xml><?xml version="1.0" encoding="utf-8"?>
<externalLink xmlns:r="http://schemas.openxmlformats.org/officeDocument/2006/relationships" xmlns="http://schemas.openxmlformats.org/spreadsheetml/2006/main">
  <externalBook r:id="rId0">
    <sheetNames>
      <sheetName val="param"/>
    </sheetNames>
    <sheetDataSet>
      <sheetData sheetId="0" refreshError="1">
        <row r="2">
          <cell r="A2" t="str">
            <v>P:\Ctrlgest\CGP\REPORTIN\0012\PSA\T5\BT500201.xls</v>
          </cell>
        </row>
      </sheetData>
    </sheetDataSet>
  </externalBook>
</externalLink>
</file>

<file path=xl/externalLinks/externalLink28.xml><?xml version="1.0" encoding="utf-8"?>
<externalLink xmlns:r="http://schemas.openxmlformats.org/officeDocument/2006/relationships" xmlns="http://schemas.openxmlformats.org/spreadsheetml/2006/main">
  <externalBook r:id="rId0">
    <sheetNames>
      <sheetName val="Master"/>
      <sheetName val="Sales By Customer (YTD)"/>
      <sheetName val="Feuil2"/>
      <sheetName val="Feuil3"/>
    </sheetNames>
    <sheetDataSet>
      <sheetData sheetId="0" refreshError="1">
        <row r="24">
          <cell r="B24" t="str">
            <v>FL=FPER</v>
          </cell>
        </row>
      </sheetData>
      <sheetData sheetId="1"/>
      <sheetData sheetId="2" refreshError="1">
        <row r="1">
          <cell r="A1" t="str">
            <v>N°</v>
          </cell>
          <cell r="B1" t="str">
            <v>Nom RU</v>
          </cell>
          <cell r="C1" t="str">
            <v>Dimension RU</v>
          </cell>
          <cell r="D1" t="str">
            <v>SCOPE</v>
          </cell>
          <cell r="E1" t="str">
            <v>AUDIT ID</v>
          </cell>
        </row>
        <row r="2">
          <cell r="A2">
            <v>1</v>
          </cell>
          <cell r="B2" t="str">
            <v>ESBG</v>
          </cell>
          <cell r="C2" t="str">
            <v>RU=WK02-ESB-WKF</v>
          </cell>
          <cell r="D2" t="str">
            <v>SC=GRP-MGT</v>
          </cell>
          <cell r="E2" t="str">
            <v>AU=0R2-BG</v>
          </cell>
        </row>
        <row r="3">
          <cell r="A3">
            <v>2</v>
          </cell>
          <cell r="B3" t="str">
            <v>FIB</v>
          </cell>
          <cell r="C3" t="str">
            <v>RU=WK13-EFI-WKF</v>
          </cell>
          <cell r="D3" t="str">
            <v>SC=GRP-MGT</v>
          </cell>
          <cell r="E3" t="str">
            <v>AU=0R3-DIV</v>
          </cell>
        </row>
        <row r="4">
          <cell r="A4">
            <v>3</v>
          </cell>
          <cell r="B4" t="str">
            <v>NEU</v>
          </cell>
          <cell r="C4" t="str">
            <v>RU=WK16-ENE-WKF</v>
          </cell>
          <cell r="D4" t="str">
            <v>SC=GRP-MGT</v>
          </cell>
          <cell r="E4" t="str">
            <v>AU=0R3-DIV</v>
          </cell>
        </row>
        <row r="5">
          <cell r="A5">
            <v>4</v>
          </cell>
          <cell r="B5" t="str">
            <v>NAO</v>
          </cell>
          <cell r="C5" t="str">
            <v>RU=WK15-ENA-WKF</v>
          </cell>
          <cell r="D5" t="str">
            <v>SC=GRP-MGT</v>
          </cell>
          <cell r="E5" t="str">
            <v>AU=0R3-DIV</v>
          </cell>
        </row>
        <row r="6">
          <cell r="A6">
            <v>5</v>
          </cell>
          <cell r="B6" t="str">
            <v>IOP</v>
          </cell>
          <cell r="C6" t="str">
            <v>RU=WK14-EIO-WKF</v>
          </cell>
          <cell r="D6" t="str">
            <v>SC=GRP-MGT</v>
          </cell>
          <cell r="E6" t="str">
            <v>AU=0R3-DIV</v>
          </cell>
        </row>
        <row r="7">
          <cell r="A7">
            <v>6</v>
          </cell>
          <cell r="B7" t="str">
            <v>ASIA</v>
          </cell>
          <cell r="C7" t="str">
            <v>RU=WK10-EAS-WKF</v>
          </cell>
          <cell r="D7" t="str">
            <v>SC=GRP-MGT</v>
          </cell>
          <cell r="E7" t="str">
            <v>AU=0R3-DIV</v>
          </cell>
        </row>
        <row r="8">
          <cell r="A8">
            <v>7</v>
          </cell>
          <cell r="B8" t="str">
            <v>MEE</v>
          </cell>
          <cell r="C8" t="str">
            <v>RU=WK12-EEE-WKF</v>
          </cell>
          <cell r="D8" t="str">
            <v>SC=GRP-MGT</v>
          </cell>
          <cell r="E8" t="str">
            <v>AU=0R3-DIV</v>
          </cell>
        </row>
        <row r="9">
          <cell r="A9">
            <v>8</v>
          </cell>
          <cell r="B9" t="str">
            <v>BG trans functions</v>
          </cell>
          <cell r="C9" t="str">
            <v>RU=WK11-EBG-WKF</v>
          </cell>
          <cell r="D9" t="str">
            <v>SC=GRP-MGT</v>
          </cell>
          <cell r="E9" t="str">
            <v>AU=0R3-DIV</v>
          </cell>
        </row>
        <row r="10">
          <cell r="A10">
            <v>9</v>
          </cell>
          <cell r="B10" t="str">
            <v>FIB</v>
          </cell>
          <cell r="C10" t="str">
            <v>RU=WK13-EFI-WKF</v>
          </cell>
          <cell r="D10" t="str">
            <v>SC=GRP-MGT</v>
          </cell>
          <cell r="E10" t="str">
            <v>AU=0R3-DIV</v>
          </cell>
        </row>
        <row r="11">
          <cell r="A11">
            <v>10</v>
          </cell>
          <cell r="B11" t="str">
            <v>France</v>
          </cell>
          <cell r="C11" t="str">
            <v>RU=FR29-EFI-BEA</v>
          </cell>
          <cell r="D11" t="str">
            <v>SC=GRP-MGT</v>
          </cell>
          <cell r="E11" t="str">
            <v>AU=0LIA01</v>
          </cell>
        </row>
        <row r="12">
          <cell r="A12">
            <v>11</v>
          </cell>
          <cell r="B12" t="str">
            <v>Espagne</v>
          </cell>
          <cell r="C12" t="str">
            <v>RU=ES07-EFI-VGO</v>
          </cell>
          <cell r="D12" t="str">
            <v>SC=GRP-MGT</v>
          </cell>
          <cell r="E12" t="str">
            <v>AU=0LIA01</v>
          </cell>
        </row>
        <row r="13">
          <cell r="A13">
            <v>12</v>
          </cell>
          <cell r="B13" t="str">
            <v>Portugal</v>
          </cell>
          <cell r="C13" t="str">
            <v>RU=PT05-EFI-BRG</v>
          </cell>
          <cell r="D13" t="str">
            <v>SC=GRP-MGT</v>
          </cell>
          <cell r="E13" t="str">
            <v>AU=0LIA01</v>
          </cell>
        </row>
        <row r="14">
          <cell r="A14">
            <v>13</v>
          </cell>
          <cell r="B14" t="str">
            <v>NEU</v>
          </cell>
          <cell r="C14" t="str">
            <v>RU=WK16-ENE-WKF</v>
          </cell>
          <cell r="D14" t="str">
            <v>SC=GRP-MGT</v>
          </cell>
          <cell r="E14" t="str">
            <v>AU=0R3-DIV</v>
          </cell>
        </row>
        <row r="15">
          <cell r="A15">
            <v>14</v>
          </cell>
          <cell r="B15" t="str">
            <v>Allemagne</v>
          </cell>
          <cell r="C15" t="str">
            <v>RU=DE05-ENE-STN</v>
          </cell>
          <cell r="D15" t="str">
            <v>SC=GRP-MGT</v>
          </cell>
          <cell r="E15" t="str">
            <v>AU=0LIA01</v>
          </cell>
        </row>
        <row r="16">
          <cell r="A16">
            <v>15</v>
          </cell>
          <cell r="B16" t="str">
            <v>Suede</v>
          </cell>
          <cell r="C16" t="str">
            <v>RU=SE01-ENE-TOR</v>
          </cell>
          <cell r="D16" t="str">
            <v>SC=GRP-MGT</v>
          </cell>
          <cell r="E16" t="str">
            <v>AU=0LIA01</v>
          </cell>
        </row>
        <row r="17">
          <cell r="A17">
            <v>16</v>
          </cell>
          <cell r="B17" t="str">
            <v>Suede Apas</v>
          </cell>
          <cell r="C17" t="str">
            <v>RU=US02-ENE-TOL</v>
          </cell>
          <cell r="D17" t="str">
            <v>SC=GRP-MGT</v>
          </cell>
          <cell r="E17" t="str">
            <v>AU=0LIA01</v>
          </cell>
        </row>
        <row r="18">
          <cell r="A18">
            <v>17</v>
          </cell>
          <cell r="B18" t="str">
            <v>Rep tcheque</v>
          </cell>
          <cell r="C18" t="str">
            <v>RU=CZ01-ENE-BAK</v>
          </cell>
          <cell r="D18" t="str">
            <v>SC=GRP-MGT</v>
          </cell>
          <cell r="E18" t="str">
            <v>AU=0LIA01</v>
          </cell>
        </row>
        <row r="19">
          <cell r="A19">
            <v>18</v>
          </cell>
          <cell r="B19" t="str">
            <v>Aftermarket</v>
          </cell>
          <cell r="C19" t="str">
            <v>RU=DE08-ENE-PFA</v>
          </cell>
          <cell r="D19" t="str">
            <v>SC=GRP-MGT</v>
          </cell>
          <cell r="E19" t="str">
            <v>AU=0LIA01</v>
          </cell>
        </row>
        <row r="20">
          <cell r="A20">
            <v>19</v>
          </cell>
          <cell r="B20" t="str">
            <v>NAO</v>
          </cell>
          <cell r="C20" t="str">
            <v>RU=WK15-ENA-WKF</v>
          </cell>
          <cell r="D20" t="str">
            <v>SC=GRP-MGT</v>
          </cell>
          <cell r="E20" t="str">
            <v>AU=0R3-DIV</v>
          </cell>
        </row>
        <row r="21">
          <cell r="A21">
            <v>20</v>
          </cell>
          <cell r="B21" t="str">
            <v>Franklin</v>
          </cell>
          <cell r="C21" t="str">
            <v>RU=US02-ENA-FRA</v>
          </cell>
          <cell r="D21" t="str">
            <v>SC=BAU-OPU</v>
          </cell>
          <cell r="E21" t="str">
            <v>AU=0LIA01</v>
          </cell>
        </row>
        <row r="22">
          <cell r="A22">
            <v>21</v>
          </cell>
          <cell r="B22" t="str">
            <v>Granger</v>
          </cell>
          <cell r="C22" t="str">
            <v>RU=US02-ENA-GRA</v>
          </cell>
          <cell r="D22" t="str">
            <v>SC=BAU-OPU</v>
          </cell>
          <cell r="E22" t="str">
            <v>AU=0LIA01</v>
          </cell>
        </row>
        <row r="23">
          <cell r="A23">
            <v>22</v>
          </cell>
          <cell r="B23" t="str">
            <v>Louisville</v>
          </cell>
          <cell r="C23" t="str">
            <v>RU=US02-ENA-LOU</v>
          </cell>
          <cell r="D23" t="str">
            <v>SC=BAU-OPU</v>
          </cell>
          <cell r="E23" t="str">
            <v>AU=0LIA01</v>
          </cell>
        </row>
        <row r="24">
          <cell r="A24">
            <v>23</v>
          </cell>
          <cell r="B24" t="str">
            <v>Toledo</v>
          </cell>
          <cell r="C24" t="str">
            <v>RU=US02-ENA-TO1</v>
          </cell>
          <cell r="D24" t="str">
            <v>SC=BAU-OPU</v>
          </cell>
          <cell r="E24" t="str">
            <v>AU=0LIA01</v>
          </cell>
        </row>
        <row r="25">
          <cell r="A25">
            <v>24</v>
          </cell>
          <cell r="B25" t="str">
            <v>Troy</v>
          </cell>
          <cell r="C25" t="str">
            <v>RU=US02-ENA-TRO</v>
          </cell>
          <cell r="D25" t="str">
            <v>SC=BAU-OPU</v>
          </cell>
          <cell r="E25" t="str">
            <v>AU=0LIA01</v>
          </cell>
        </row>
        <row r="26">
          <cell r="A26">
            <v>25</v>
          </cell>
          <cell r="B26" t="str">
            <v>IOP</v>
          </cell>
          <cell r="C26" t="str">
            <v>RU=WK14-EIO-WKF</v>
          </cell>
          <cell r="D26" t="str">
            <v>SC=GRP-MGT</v>
          </cell>
          <cell r="E26" t="str">
            <v>AU=0R3-DIV</v>
          </cell>
        </row>
        <row r="27">
          <cell r="A27">
            <v>26</v>
          </cell>
          <cell r="B27" t="str">
            <v>Argentine</v>
          </cell>
          <cell r="C27" t="str">
            <v>RU=AR02-EIO-BUE</v>
          </cell>
          <cell r="D27" t="str">
            <v>SC=GRP-MGT</v>
          </cell>
          <cell r="E27" t="str">
            <v>AU=0LIA01</v>
          </cell>
        </row>
        <row r="28">
          <cell r="A28">
            <v>27</v>
          </cell>
          <cell r="B28" t="str">
            <v>Afrique du sud</v>
          </cell>
          <cell r="C28" t="str">
            <v>RU=ZA01-EIO-PEL</v>
          </cell>
          <cell r="D28" t="str">
            <v>SC=GRP-MGT</v>
          </cell>
          <cell r="E28" t="str">
            <v>AU=0LIA01</v>
          </cell>
        </row>
        <row r="29">
          <cell r="A29">
            <v>28</v>
          </cell>
          <cell r="B29" t="str">
            <v>Bresil</v>
          </cell>
          <cell r="C29" t="str">
            <v>RU=BR02-EIO-PIN</v>
          </cell>
          <cell r="D29" t="str">
            <v>SC=GRP-MGT</v>
          </cell>
          <cell r="E29" t="str">
            <v>AU=0LIA01</v>
          </cell>
        </row>
        <row r="30">
          <cell r="A30">
            <v>29</v>
          </cell>
          <cell r="B30" t="str">
            <v>IOP central Costs</v>
          </cell>
          <cell r="C30" t="str">
            <v>RU=FR29-EIO-BEA</v>
          </cell>
          <cell r="D30" t="str">
            <v>SC=GRP-MGT</v>
          </cell>
          <cell r="E30" t="str">
            <v>AU=0LIA01</v>
          </cell>
        </row>
        <row r="31">
          <cell r="A31">
            <v>30</v>
          </cell>
          <cell r="B31" t="str">
            <v>ASIA</v>
          </cell>
          <cell r="C31" t="str">
            <v>RU=WK10-EAS-WKF</v>
          </cell>
          <cell r="D31" t="str">
            <v>SC=GRP-MGT</v>
          </cell>
          <cell r="E31" t="str">
            <v>AU=0R3-DIV</v>
          </cell>
        </row>
        <row r="32">
          <cell r="A32">
            <v>31</v>
          </cell>
          <cell r="B32" t="str">
            <v>Chine</v>
          </cell>
          <cell r="C32" t="str">
            <v>RU=WK56-ECN-WKF</v>
          </cell>
          <cell r="D32" t="str">
            <v>SC=GRP-MGT</v>
          </cell>
          <cell r="E32" t="str">
            <v>AU=0R4-SSDIV</v>
          </cell>
        </row>
        <row r="33">
          <cell r="A33">
            <v>32</v>
          </cell>
          <cell r="B33" t="str">
            <v>Corée</v>
          </cell>
          <cell r="C33" t="str">
            <v>RU=WK56-EKR-WKF</v>
          </cell>
          <cell r="D33" t="str">
            <v>SC=GRP-MGT</v>
          </cell>
          <cell r="E33" t="str">
            <v>AU=0R4-SSDIV</v>
          </cell>
        </row>
        <row r="34">
          <cell r="A34">
            <v>33</v>
          </cell>
          <cell r="B34" t="str">
            <v>MEE</v>
          </cell>
          <cell r="C34" t="str">
            <v>RU=WK12-EEE-WKF</v>
          </cell>
          <cell r="D34" t="str">
            <v>SC=GRP-MGT</v>
          </cell>
          <cell r="E34" t="str">
            <v>AU=0R3-DIV</v>
          </cell>
        </row>
        <row r="35">
          <cell r="A35">
            <v>34</v>
          </cell>
          <cell r="B35" t="str">
            <v>BG trans functions</v>
          </cell>
          <cell r="C35" t="str">
            <v>RU=WK11-EBG-WKF</v>
          </cell>
          <cell r="D35" t="str">
            <v>SC=GRP-MGT</v>
          </cell>
          <cell r="E35" t="str">
            <v>AU=0R3-DIV</v>
          </cell>
        </row>
        <row r="36">
          <cell r="A36">
            <v>35</v>
          </cell>
          <cell r="B36" t="str">
            <v>FSE BAVANS</v>
          </cell>
          <cell r="C36" t="str">
            <v>RU=FR29-EBG-BAV</v>
          </cell>
          <cell r="D36" t="str">
            <v>SC=GRP-MGT</v>
          </cell>
          <cell r="E36" t="str">
            <v>AU=0LIA01</v>
          </cell>
        </row>
        <row r="37">
          <cell r="A37">
            <v>36</v>
          </cell>
          <cell r="B37" t="str">
            <v>FSE ESGB</v>
          </cell>
          <cell r="C37" t="str">
            <v>RU=FR29-EBG-NAN</v>
          </cell>
          <cell r="D37" t="str">
            <v>SC=GRP-MGT</v>
          </cell>
          <cell r="E37" t="str">
            <v>AU=0LIA01</v>
          </cell>
        </row>
        <row r="38">
          <cell r="A38">
            <v>37</v>
          </cell>
          <cell r="B38" t="str">
            <v>Beaulieu</v>
          </cell>
          <cell r="C38" t="str">
            <v>RU=FR29-EFI-BE1</v>
          </cell>
          <cell r="D38" t="str">
            <v>SC=BAU-OPU</v>
          </cell>
          <cell r="E38" t="str">
            <v>AU=0LIA01</v>
          </cell>
        </row>
        <row r="39">
          <cell r="A39">
            <v>38</v>
          </cell>
          <cell r="B39" t="str">
            <v>Messei</v>
          </cell>
          <cell r="C39" t="str">
            <v>RU=FR29-EFI-MES</v>
          </cell>
          <cell r="D39" t="str">
            <v>SC=BAU-OPU</v>
          </cell>
          <cell r="E39" t="str">
            <v>AU=0LIA01</v>
          </cell>
        </row>
        <row r="40">
          <cell r="A40">
            <v>39</v>
          </cell>
          <cell r="B40" t="str">
            <v>Crevin</v>
          </cell>
          <cell r="C40" t="str">
            <v>RU=FR29-EFI-CRE</v>
          </cell>
          <cell r="D40" t="str">
            <v>SC=BAU-OPU</v>
          </cell>
          <cell r="E40" t="str">
            <v>AU=0LIA01</v>
          </cell>
        </row>
        <row r="41">
          <cell r="A41">
            <v>40</v>
          </cell>
          <cell r="B41" t="str">
            <v>Poissy</v>
          </cell>
          <cell r="C41" t="str">
            <v>RU=FR29-EFI-POI</v>
          </cell>
          <cell r="D41" t="str">
            <v>SC=BAU-OPU</v>
          </cell>
          <cell r="E41" t="str">
            <v>AU=0LIA01</v>
          </cell>
        </row>
        <row r="42">
          <cell r="A42">
            <v>41</v>
          </cell>
          <cell r="B42" t="str">
            <v>Neckerlasum</v>
          </cell>
          <cell r="C42" t="str">
            <v>RU=DE05-ENE-NSU</v>
          </cell>
          <cell r="D42" t="str">
            <v>SC=BAU-OPU</v>
          </cell>
          <cell r="E42" t="str">
            <v>AU=0LIA01</v>
          </cell>
        </row>
        <row r="43">
          <cell r="A43">
            <v>42</v>
          </cell>
          <cell r="B43" t="str">
            <v>Trabitz</v>
          </cell>
          <cell r="C43" t="str">
            <v>RU=DE05-ENE-TRA</v>
          </cell>
          <cell r="D43" t="str">
            <v>SC=BAU-OPU</v>
          </cell>
          <cell r="E43" t="str">
            <v>AU=0LIA01</v>
          </cell>
        </row>
        <row r="44">
          <cell r="A44">
            <v>43</v>
          </cell>
          <cell r="B44" t="str">
            <v>Aftermarket</v>
          </cell>
          <cell r="C44" t="str">
            <v>RU=DE08-ENE-PFA</v>
          </cell>
          <cell r="D44" t="str">
            <v>SC=BAU-OPU</v>
          </cell>
          <cell r="E44" t="str">
            <v>AU=0LIA01</v>
          </cell>
        </row>
        <row r="45">
          <cell r="A45">
            <v>44</v>
          </cell>
          <cell r="B45" t="str">
            <v>stadeln</v>
          </cell>
          <cell r="C45" t="str">
            <v>RU=DE05-ENE-ST1</v>
          </cell>
          <cell r="D45" t="str">
            <v>SC=BAU-OPU</v>
          </cell>
          <cell r="E45" t="str">
            <v>AU=0LIA01</v>
          </cell>
        </row>
        <row r="46">
          <cell r="A46">
            <v>45</v>
          </cell>
          <cell r="B46" t="str">
            <v>Vigo</v>
          </cell>
          <cell r="C46" t="str">
            <v>RU=ES07-EFI-VG1</v>
          </cell>
          <cell r="D46" t="str">
            <v>SC=BAU-OPU</v>
          </cell>
          <cell r="E46" t="str">
            <v>AU=0LIA01</v>
          </cell>
        </row>
        <row r="47">
          <cell r="A47">
            <v>46</v>
          </cell>
          <cell r="B47" t="str">
            <v>Pampelona</v>
          </cell>
          <cell r="C47" t="str">
            <v>RU=ES07-EFI-PAM</v>
          </cell>
          <cell r="D47" t="str">
            <v>SC=BAU-OPU</v>
          </cell>
          <cell r="E47" t="str">
            <v>AU=0LIA01</v>
          </cell>
        </row>
        <row r="48">
          <cell r="A48">
            <v>47</v>
          </cell>
          <cell r="B48" t="str">
            <v>Barcelona</v>
          </cell>
          <cell r="C48" t="str">
            <v>RU=ES07-EFI-BCL</v>
          </cell>
          <cell r="D48" t="str">
            <v>SC=BAU-OPU</v>
          </cell>
          <cell r="E48" t="str">
            <v>AU=0LIA01</v>
          </cell>
        </row>
        <row r="49">
          <cell r="A49">
            <v>48</v>
          </cell>
          <cell r="B49" t="str">
            <v>Argentine (ARS)</v>
          </cell>
          <cell r="C49" t="str">
            <v>RU=AR02-EIO-BUE</v>
          </cell>
          <cell r="D49" t="str">
            <v>SC=BAU-OPU</v>
          </cell>
          <cell r="E49" t="str">
            <v>AU=0LIA01</v>
          </cell>
        </row>
        <row r="50">
          <cell r="A50">
            <v>49</v>
          </cell>
          <cell r="B50" t="str">
            <v>Afrique du sud (ZAR)</v>
          </cell>
          <cell r="C50" t="str">
            <v>RU=ZA01-EIO-PEL</v>
          </cell>
          <cell r="D50" t="str">
            <v>SC=BAU-OPU</v>
          </cell>
          <cell r="E50" t="str">
            <v>AU=0LIA01</v>
          </cell>
        </row>
        <row r="51">
          <cell r="A51">
            <v>50</v>
          </cell>
          <cell r="B51" t="str">
            <v>Bresil (BRL)</v>
          </cell>
          <cell r="C51" t="str">
            <v>RU=BR02-EIO-PIN</v>
          </cell>
          <cell r="D51" t="str">
            <v>SC=BAU-OPU</v>
          </cell>
          <cell r="E51" t="str">
            <v>AU=0LIA01</v>
          </cell>
        </row>
        <row r="52">
          <cell r="A52">
            <v>51</v>
          </cell>
          <cell r="B52" t="str">
            <v>Chine</v>
          </cell>
          <cell r="C52" t="str">
            <v>RU=WK56-ECN-WKF</v>
          </cell>
          <cell r="D52" t="str">
            <v>SC=GRP-MGT</v>
          </cell>
          <cell r="E52" t="str">
            <v>AU=0R4-SSDIV</v>
          </cell>
        </row>
        <row r="53">
          <cell r="A53">
            <v>52</v>
          </cell>
          <cell r="B53" t="str">
            <v>CLEC</v>
          </cell>
          <cell r="C53" t="str">
            <v>RU=CN01-EAS-del</v>
          </cell>
          <cell r="D53" t="str">
            <v>SC=GRP-MGT</v>
          </cell>
          <cell r="E53" t="str">
            <v>AU=0LIA01</v>
          </cell>
        </row>
        <row r="54">
          <cell r="A54">
            <v>53</v>
          </cell>
          <cell r="B54" t="str">
            <v>TEEC</v>
          </cell>
          <cell r="C54" t="str">
            <v>RU=CN09-EAS-WUH</v>
          </cell>
          <cell r="D54" t="str">
            <v>SC=GRP-MGT</v>
          </cell>
          <cell r="E54" t="str">
            <v>AU=0LIA01</v>
          </cell>
        </row>
        <row r="55">
          <cell r="A55">
            <v>54</v>
          </cell>
          <cell r="B55" t="str">
            <v>SHEESC</v>
          </cell>
          <cell r="C55" t="str">
            <v>RU=CN10-EAS-SHA</v>
          </cell>
          <cell r="D55" t="str">
            <v>SC=GRP-MGT</v>
          </cell>
          <cell r="E55" t="str">
            <v>AU=0LIA01</v>
          </cell>
        </row>
        <row r="56">
          <cell r="A56">
            <v>55</v>
          </cell>
          <cell r="B56" t="str">
            <v>Corée</v>
          </cell>
          <cell r="C56" t="str">
            <v>RU=WK56-EKR-WKF</v>
          </cell>
          <cell r="D56" t="str">
            <v>SC=GRP-MGT</v>
          </cell>
          <cell r="E56" t="str">
            <v>AU=0R4-SSDIV</v>
          </cell>
        </row>
        <row r="57">
          <cell r="A57">
            <v>56</v>
          </cell>
          <cell r="B57" t="str">
            <v>DAEKI</v>
          </cell>
          <cell r="C57" t="str">
            <v>RU=KR01-EAS-DKF</v>
          </cell>
          <cell r="D57" t="str">
            <v>SC=GRP-MGT</v>
          </cell>
          <cell r="E57" t="str">
            <v>AU=0LIA01</v>
          </cell>
        </row>
        <row r="58">
          <cell r="A58">
            <v>57</v>
          </cell>
          <cell r="B58" t="str">
            <v>FESK</v>
          </cell>
          <cell r="C58" t="str">
            <v>RU=KR02-EAS-SHW</v>
          </cell>
          <cell r="D58" t="str">
            <v>SC=GRP-MGT</v>
          </cell>
          <cell r="E58" t="str">
            <v>AU=0LIA01</v>
          </cell>
        </row>
      </sheetData>
      <sheetData sheetId="3"/>
    </sheetDataSet>
  </externalBook>
</externalLink>
</file>

<file path=xl/externalLinks/externalLink29.xml><?xml version="1.0" encoding="utf-8"?>
<externalLink xmlns:r="http://schemas.openxmlformats.org/officeDocument/2006/relationships" xmlns="http://schemas.openxmlformats.org/spreadsheetml/2006/main">
  <externalBook r:id="rId0">
    <sheetNames>
      <sheetName val="IOP"/>
      <sheetName val="#REF"/>
      <sheetName val="results monthly"/>
      <sheetName val="New parts, suppliers, etc."/>
      <sheetName val="Consolidation File (2)"/>
      <sheetName val="2004 Brazil New Mother File"/>
      <sheetName val="Mother file Argentina 2004"/>
      <sheetName val="Page 24"/>
      <sheetName val="Non quality costs"/>
      <sheetName val="Page 42"/>
      <sheetName val="Page 21"/>
      <sheetName val="Page 20"/>
      <sheetName val="Page 8"/>
      <sheetName val="Page 15"/>
      <sheetName val="Page 14-A"/>
      <sheetName val="Page 35"/>
      <sheetName val="PRESENTATION"/>
      <sheetName val="preço"/>
      <sheetName val="RESUMEN"/>
      <sheetName val="Rates"/>
      <sheetName val="Page 30"/>
      <sheetName val="Page 39"/>
      <sheetName val="Page 23"/>
      <sheetName val="Page 37"/>
      <sheetName val="Page 25"/>
      <sheetName val="Page 26"/>
      <sheetName val="Page 31"/>
      <sheetName val="2005 Brazil Mother File"/>
      <sheetName val="Para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0.xml><?xml version="1.0" encoding="utf-8"?>
<externalLink xmlns:r="http://schemas.openxmlformats.org/officeDocument/2006/relationships" xmlns="http://schemas.openxmlformats.org/spreadsheetml/2006/main">
  <externalBook r:id="rId0">
    <sheetNames>
      <sheetName val="Dash"/>
      <sheetName val="vierge"/>
      <sheetName val="Feuil2"/>
      <sheetName val="Feuil3"/>
      <sheetName val="FI-25A1 Inc Statement"/>
      <sheetName val="FI-06-15F5B Forecast"/>
      <sheetName val="FI-61A3 Fes"/>
      <sheetName val="FI-51A1 headcount"/>
      <sheetName val="Sourcing b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1.xml><?xml version="1.0" encoding="utf-8"?>
<externalLink xmlns:r="http://schemas.openxmlformats.org/officeDocument/2006/relationships" xmlns="http://schemas.openxmlformats.org/spreadsheetml/2006/main">
  <externalBook r:id="rId0">
    <sheetNames>
      <sheetName val="Divisions"/>
      <sheetName val="Fonctions"/>
      <sheetName val="Niveau"/>
      <sheetName val="P&amp;L"/>
      <sheetName val="Nature"/>
      <sheetName val="Contrat"/>
      <sheetName val="Situation"/>
      <sheetName val="Centres de Gestion"/>
      <sheetName val="Export"/>
      <sheetName val="Param"/>
      <sheetName val="ex12m"/>
      <sheetName val="Ma base"/>
      <sheetName val="2003"/>
      <sheetName val="HEADCOUNT1"/>
      <sheetName val="HEADCOUNT3"/>
      <sheetName val="Support"/>
      <sheetName val="Base division"/>
    </sheetNames>
    <sheetDataSet>
      <sheetData sheetId="0" refreshError="1">
        <row r="3">
          <cell r="B3" t="str">
            <v>Asie</v>
          </cell>
        </row>
        <row r="4">
          <cell r="B4" t="str">
            <v>Covers</v>
          </cell>
        </row>
        <row r="5">
          <cell r="B5" t="str">
            <v>Foam</v>
          </cell>
        </row>
        <row r="6">
          <cell r="B6" t="str">
            <v>Frames</v>
          </cell>
        </row>
        <row r="7">
          <cell r="B7" t="str">
            <v>Mecanismes</v>
          </cell>
        </row>
        <row r="8">
          <cell r="B8" t="str">
            <v>PSA</v>
          </cell>
        </row>
        <row r="9">
          <cell r="B9" t="str">
            <v>RSA</v>
          </cell>
        </row>
        <row r="10">
          <cell r="B10" t="str">
            <v>BG</v>
          </cell>
        </row>
        <row r="11">
          <cell r="B11" t="str">
            <v>COUNTRY</v>
          </cell>
        </row>
        <row r="12">
          <cell r="B12" t="str">
            <v>GP</v>
          </cell>
        </row>
        <row r="13">
          <cell r="B13" t="str">
            <v>Mercosur</v>
          </cell>
        </row>
      </sheetData>
      <sheetData sheetId="1" refreshError="1">
        <row r="3">
          <cell r="B3" t="str">
            <v>Achat</v>
          </cell>
        </row>
        <row r="4">
          <cell r="B4" t="str">
            <v>Admin</v>
          </cell>
        </row>
        <row r="5">
          <cell r="B5" t="str">
            <v>Commerce</v>
          </cell>
        </row>
        <row r="6">
          <cell r="B6" t="str">
            <v>Etudes</v>
          </cell>
        </row>
        <row r="7">
          <cell r="B7" t="str">
            <v>Finances</v>
          </cell>
        </row>
        <row r="8">
          <cell r="B8" t="str">
            <v>Informatique</v>
          </cell>
        </row>
        <row r="9">
          <cell r="B9" t="str">
            <v>Logistique</v>
          </cell>
        </row>
        <row r="10">
          <cell r="B10" t="str">
            <v>Méthodes</v>
          </cell>
        </row>
        <row r="11">
          <cell r="B11" t="str">
            <v>Qualité</v>
          </cell>
        </row>
        <row r="12">
          <cell r="B12" t="str">
            <v>RH</v>
          </cell>
        </row>
        <row r="13">
          <cell r="B13" t="str">
            <v>SG</v>
          </cell>
        </row>
      </sheetData>
      <sheetData sheetId="2"/>
      <sheetData sheetId="3" refreshError="1">
        <row r="3">
          <cell r="B3" t="str">
            <v>PROD</v>
          </cell>
        </row>
        <row r="4">
          <cell r="B4" t="str">
            <v>RD</v>
          </cell>
        </row>
        <row r="5">
          <cell r="B5" t="str">
            <v>SGA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:r="http://schemas.openxmlformats.org/officeDocument/2006/relationships" xmlns="http://schemas.openxmlformats.org/spreadsheetml/2006/main">
  <externalBook r:id="rId0">
    <sheetNames>
      <sheetName val="Param"/>
      <sheetName val="Turnover by customer"/>
      <sheetName val="Turnover by vehicle"/>
      <sheetName val="Non Prod Sales"/>
      <sheetName val="Headcount analysis"/>
      <sheetName val="Operational result mois"/>
      <sheetName val="Operational result cumul"/>
      <sheetName val="Working Capital"/>
      <sheetName val="Other Element of Work.C"/>
      <sheetName val="Variance analysis"/>
      <sheetName val=".csv]export03012005[1]"/>
      <sheetName val=".csv_export03012005_1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3.xml><?xml version="1.0" encoding="utf-8"?>
<externalLink xmlns:r="http://schemas.openxmlformats.org/officeDocument/2006/relationships" xmlns="http://schemas.openxmlformats.org/spreadsheetml/2006/main">
  <externalBook r:id="rId0">
    <sheetNames>
      <sheetName val="Inhalt"/>
      <sheetName val="DECKBLATT"/>
      <sheetName val="THESE"/>
      <sheetName val="KALK"/>
      <sheetName val="P&amp;L Account"/>
      <sheetName val="P&amp;L Account for all Variants"/>
      <sheetName val="MAT"/>
      <sheetName val="ZK"/>
      <sheetName val="LOG"/>
      <sheetName val="TARIF"/>
      <sheetName val="EVO"/>
      <sheetName val="MSS"/>
      <sheetName val="Layout"/>
      <sheetName val="Bauteiluebersicht"/>
      <sheetName val="FRE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0">
          <cell r="A30" t="str">
            <v>60 T</v>
          </cell>
        </row>
        <row r="31">
          <cell r="A31" t="str">
            <v>75 T</v>
          </cell>
        </row>
        <row r="32">
          <cell r="A32" t="str">
            <v>100 T</v>
          </cell>
        </row>
        <row r="33">
          <cell r="A33" t="str">
            <v>120 T</v>
          </cell>
        </row>
        <row r="34">
          <cell r="A34" t="str">
            <v>140 T</v>
          </cell>
        </row>
        <row r="35">
          <cell r="A35" t="str">
            <v>150 T</v>
          </cell>
        </row>
        <row r="36">
          <cell r="A36" t="str">
            <v>200 T</v>
          </cell>
        </row>
        <row r="37">
          <cell r="A37" t="str">
            <v>275 T</v>
          </cell>
        </row>
        <row r="38">
          <cell r="A38" t="str">
            <v>300 T</v>
          </cell>
        </row>
        <row r="39">
          <cell r="A39" t="str">
            <v>350 T</v>
          </cell>
        </row>
        <row r="40">
          <cell r="A40" t="str">
            <v>400 T</v>
          </cell>
        </row>
        <row r="41">
          <cell r="A41" t="str">
            <v>420 T</v>
          </cell>
        </row>
        <row r="42">
          <cell r="A42" t="str">
            <v>500 T</v>
          </cell>
        </row>
        <row r="43">
          <cell r="A43" t="str">
            <v>600 T</v>
          </cell>
        </row>
        <row r="44">
          <cell r="A44" t="str">
            <v>650 T</v>
          </cell>
        </row>
        <row r="45">
          <cell r="A45" t="str">
            <v>700 T</v>
          </cell>
        </row>
        <row r="46">
          <cell r="A46" t="str">
            <v>800 T</v>
          </cell>
        </row>
        <row r="47">
          <cell r="A47" t="str">
            <v>850 T</v>
          </cell>
        </row>
        <row r="48">
          <cell r="A48" t="str">
            <v>900 T</v>
          </cell>
        </row>
        <row r="49">
          <cell r="A49" t="str">
            <v>1000 T</v>
          </cell>
        </row>
        <row r="50">
          <cell r="A50" t="str">
            <v>1100 T</v>
          </cell>
        </row>
        <row r="51">
          <cell r="A51" t="str">
            <v>1150 T</v>
          </cell>
        </row>
        <row r="52">
          <cell r="A52" t="str">
            <v>1200 T</v>
          </cell>
        </row>
        <row r="53">
          <cell r="A53" t="str">
            <v>1300 T</v>
          </cell>
        </row>
        <row r="54">
          <cell r="A54" t="str">
            <v>1600 T</v>
          </cell>
        </row>
        <row r="55">
          <cell r="A55" t="str">
            <v>1800 T</v>
          </cell>
        </row>
        <row r="56">
          <cell r="A56" t="str">
            <v>2000 T</v>
          </cell>
        </row>
        <row r="57">
          <cell r="A57" t="str">
            <v>2200 T</v>
          </cell>
        </row>
        <row r="58">
          <cell r="A58" t="str">
            <v>2300 T</v>
          </cell>
        </row>
        <row r="59">
          <cell r="A59" t="str">
            <v>2600 T</v>
          </cell>
        </row>
        <row r="60">
          <cell r="A60" t="str">
            <v>2700 T</v>
          </cell>
        </row>
        <row r="61">
          <cell r="A61" t="str">
            <v>3000 T</v>
          </cell>
        </row>
        <row r="62">
          <cell r="A62" t="str">
            <v>3200 T</v>
          </cell>
        </row>
        <row r="63">
          <cell r="A63" t="str">
            <v>3500 T</v>
          </cell>
        </row>
        <row r="64">
          <cell r="A64" t="str">
            <v>3700 T</v>
          </cell>
        </row>
        <row r="65">
          <cell r="A65" t="str">
            <v>4000 T</v>
          </cell>
        </row>
        <row r="66">
          <cell r="A66" t="str">
            <v>60 T Gas</v>
          </cell>
        </row>
        <row r="67">
          <cell r="A67" t="str">
            <v>75 T Gas</v>
          </cell>
        </row>
        <row r="68">
          <cell r="A68" t="str">
            <v>100 T Gas</v>
          </cell>
        </row>
        <row r="69">
          <cell r="A69" t="str">
            <v>120 T Gas</v>
          </cell>
        </row>
        <row r="70">
          <cell r="A70" t="str">
            <v>140 T Gas</v>
          </cell>
        </row>
        <row r="71">
          <cell r="A71" t="str">
            <v>150 T Gas</v>
          </cell>
        </row>
        <row r="72">
          <cell r="A72" t="str">
            <v>200 T Gas</v>
          </cell>
        </row>
        <row r="73">
          <cell r="A73" t="str">
            <v>275 T Gas</v>
          </cell>
        </row>
        <row r="74">
          <cell r="A74" t="str">
            <v>300 T Gas</v>
          </cell>
        </row>
        <row r="75">
          <cell r="A75" t="str">
            <v>350 T Gas</v>
          </cell>
        </row>
        <row r="76">
          <cell r="A76" t="str">
            <v>400 T Gas</v>
          </cell>
        </row>
        <row r="77">
          <cell r="A77" t="str">
            <v>420 T Gas</v>
          </cell>
        </row>
        <row r="78">
          <cell r="A78" t="str">
            <v>500 T Gas</v>
          </cell>
        </row>
        <row r="79">
          <cell r="A79" t="str">
            <v>600 T Gas</v>
          </cell>
        </row>
        <row r="80">
          <cell r="A80" t="str">
            <v>650 T Gas</v>
          </cell>
        </row>
        <row r="81">
          <cell r="A81" t="str">
            <v>700 T Gas</v>
          </cell>
        </row>
        <row r="82">
          <cell r="A82" t="str">
            <v>800 T Gas</v>
          </cell>
        </row>
        <row r="83">
          <cell r="A83" t="str">
            <v>850 T Gas</v>
          </cell>
        </row>
        <row r="84">
          <cell r="A84" t="str">
            <v>900 T Gas</v>
          </cell>
        </row>
        <row r="85">
          <cell r="A85" t="str">
            <v>1000 T Gas</v>
          </cell>
        </row>
        <row r="86">
          <cell r="A86" t="str">
            <v>1100 T Gas</v>
          </cell>
        </row>
        <row r="87">
          <cell r="A87" t="str">
            <v>1150 T Gas</v>
          </cell>
        </row>
        <row r="88">
          <cell r="A88" t="str">
            <v>1200 T Gas</v>
          </cell>
        </row>
        <row r="89">
          <cell r="A89" t="str">
            <v>1300 T Gas</v>
          </cell>
        </row>
        <row r="90">
          <cell r="A90" t="str">
            <v>1600 T Gas</v>
          </cell>
        </row>
        <row r="91">
          <cell r="A91" t="str">
            <v>1800 T Gas</v>
          </cell>
        </row>
        <row r="92">
          <cell r="A92" t="str">
            <v>2000 T Gas</v>
          </cell>
        </row>
        <row r="93">
          <cell r="A93" t="str">
            <v>2200 T Gas</v>
          </cell>
        </row>
        <row r="94">
          <cell r="A94" t="str">
            <v>2300 T Gas</v>
          </cell>
        </row>
        <row r="95">
          <cell r="A95" t="str">
            <v>2600 T Gas</v>
          </cell>
        </row>
        <row r="96">
          <cell r="A96" t="str">
            <v>2700 T Gas</v>
          </cell>
        </row>
        <row r="97">
          <cell r="A97" t="str">
            <v>3000 T Gas</v>
          </cell>
        </row>
        <row r="98">
          <cell r="A98" t="str">
            <v>3200 T Gas</v>
          </cell>
        </row>
        <row r="99">
          <cell r="A99" t="str">
            <v>3500 T Gas</v>
          </cell>
        </row>
        <row r="100">
          <cell r="A100" t="str">
            <v>3700 T Gas</v>
          </cell>
        </row>
        <row r="101">
          <cell r="A101" t="str">
            <v>4000 T Gas</v>
          </cell>
        </row>
        <row r="102">
          <cell r="A102" t="str">
            <v>Foaming IP</v>
          </cell>
        </row>
        <row r="103">
          <cell r="A103" t="str">
            <v>Foaming lid</v>
          </cell>
        </row>
        <row r="104">
          <cell r="A104" t="str">
            <v>Foaming armrest</v>
          </cell>
        </row>
        <row r="105">
          <cell r="A105" t="str">
            <v>Foaming fix</v>
          </cell>
        </row>
        <row r="106">
          <cell r="A106" t="str">
            <v>Auto 1200*2200</v>
          </cell>
        </row>
        <row r="107">
          <cell r="A107" t="str">
            <v>Auto 700*2250</v>
          </cell>
        </row>
        <row r="108">
          <cell r="A108" t="str">
            <v>Auto 860*1800</v>
          </cell>
        </row>
        <row r="109">
          <cell r="A109" t="str">
            <v>Auto 700*1900</v>
          </cell>
        </row>
        <row r="110">
          <cell r="A110" t="str">
            <v>Auto 750*1250</v>
          </cell>
        </row>
        <row r="111">
          <cell r="A111" t="str">
            <v>Semiauto 1200*2200</v>
          </cell>
        </row>
        <row r="112">
          <cell r="A112" t="str">
            <v>Semiauto 860*1800</v>
          </cell>
        </row>
        <row r="113">
          <cell r="A113" t="str">
            <v>Semiauto 660*1000</v>
          </cell>
        </row>
        <row r="114">
          <cell r="A114" t="str">
            <v>Rotation forming</v>
          </cell>
        </row>
        <row r="115">
          <cell r="A115" t="str">
            <v>Slush 6 moulds</v>
          </cell>
        </row>
        <row r="116">
          <cell r="A116" t="str">
            <v>Flaming robot turntable</v>
          </cell>
        </row>
        <row r="117">
          <cell r="A117" t="str">
            <v>Flaming robot fix</v>
          </cell>
        </row>
        <row r="118">
          <cell r="A118" t="str">
            <v>Flaming manual</v>
          </cell>
        </row>
        <row r="119">
          <cell r="A119" t="str">
            <v>Precutting fabrics sandt</v>
          </cell>
        </row>
        <row r="120">
          <cell r="A120" t="str">
            <v>Precutting fabrics lectra</v>
          </cell>
        </row>
        <row r="121">
          <cell r="A121" t="str">
            <v>Bumper painting</v>
          </cell>
        </row>
        <row r="122">
          <cell r="A122" t="str">
            <v>Gluing robot IP</v>
          </cell>
        </row>
        <row r="123">
          <cell r="A123" t="str">
            <v>Gluing robot door panel</v>
          </cell>
        </row>
        <row r="124">
          <cell r="A124" t="str">
            <v>Gluing manual</v>
          </cell>
        </row>
        <row r="125">
          <cell r="A125" t="str">
            <v>Acrylic 1 layer</v>
          </cell>
        </row>
        <row r="126">
          <cell r="A126" t="str">
            <v>Acrylic 1 layer+conveyer</v>
          </cell>
        </row>
        <row r="127">
          <cell r="A127" t="str">
            <v>Acrylic 2 layers</v>
          </cell>
        </row>
        <row r="128">
          <cell r="A128" t="str">
            <v>Soft 1 layer</v>
          </cell>
        </row>
        <row r="129">
          <cell r="A129" t="str">
            <v>Soft 2 layers</v>
          </cell>
        </row>
        <row r="130">
          <cell r="A130" t="str">
            <v>Gluing via extrusion</v>
          </cell>
        </row>
        <row r="131">
          <cell r="A131" t="str">
            <v>Vib welding 1</v>
          </cell>
        </row>
        <row r="132">
          <cell r="A132" t="str">
            <v>Vib welding 2</v>
          </cell>
        </row>
        <row r="133">
          <cell r="A133" t="str">
            <v>Vib welding 3</v>
          </cell>
        </row>
        <row r="134">
          <cell r="A134" t="str">
            <v>Vib welding 4</v>
          </cell>
        </row>
        <row r="135">
          <cell r="A135" t="str">
            <v>Vib welding 5</v>
          </cell>
        </row>
        <row r="136">
          <cell r="A136" t="str">
            <v>Vib welding 6</v>
          </cell>
        </row>
        <row r="137">
          <cell r="A137" t="str">
            <v>High freq weld turntable</v>
          </cell>
        </row>
        <row r="138">
          <cell r="A138" t="str">
            <v>Tampography</v>
          </cell>
        </row>
        <row r="139">
          <cell r="A139" t="str">
            <v>Hot stamping 1</v>
          </cell>
        </row>
        <row r="140">
          <cell r="A140" t="str">
            <v>Hot stamping 2</v>
          </cell>
        </row>
        <row r="141">
          <cell r="A141" t="str">
            <v>Cleaning armrests</v>
          </cell>
        </row>
        <row r="142">
          <cell r="A142" t="str">
            <v>Preheating slush skin</v>
          </cell>
        </row>
        <row r="143">
          <cell r="A143" t="str">
            <v>Flocking</v>
          </cell>
        </row>
        <row r="144">
          <cell r="A144" t="str">
            <v>Punching IP tr</v>
          </cell>
        </row>
        <row r="145">
          <cell r="A145" t="str">
            <v>Punching cover IP tr</v>
          </cell>
        </row>
        <row r="146">
          <cell r="A146" t="str">
            <v>Punching lid tr</v>
          </cell>
        </row>
        <row r="147">
          <cell r="A147" t="str">
            <v>Mirror welding 1 tr</v>
          </cell>
        </row>
        <row r="148">
          <cell r="A148" t="str">
            <v>Mirror welding 2 tr</v>
          </cell>
        </row>
        <row r="149">
          <cell r="A149" t="str">
            <v>Mirror welding 3 tr</v>
          </cell>
        </row>
        <row r="150">
          <cell r="A150" t="str">
            <v>US welding 1 tr</v>
          </cell>
        </row>
        <row r="151">
          <cell r="A151" t="str">
            <v>US welding 2 tr</v>
          </cell>
        </row>
        <row r="152">
          <cell r="A152" t="str">
            <v>US welding 3 tr</v>
          </cell>
        </row>
        <row r="153">
          <cell r="A153" t="str">
            <v>Manual operation</v>
          </cell>
        </row>
        <row r="154">
          <cell r="A154" t="str">
            <v>Milling 1 robot</v>
          </cell>
        </row>
        <row r="155">
          <cell r="A155" t="str">
            <v>Milling 2 robot</v>
          </cell>
        </row>
        <row r="156">
          <cell r="A156" t="str">
            <v>Weakening skin-cold knife</v>
          </cell>
        </row>
        <row r="157">
          <cell r="A157" t="str">
            <v>Weakening skin-hot knife</v>
          </cell>
        </row>
        <row r="158">
          <cell r="A158" t="str">
            <v>Weakening skin-US knife</v>
          </cell>
        </row>
        <row r="159">
          <cell r="A159" t="str">
            <v>Laser weakening</v>
          </cell>
        </row>
        <row r="160">
          <cell r="A160" t="str">
            <v>Vib welding tc 1</v>
          </cell>
        </row>
        <row r="161">
          <cell r="A161" t="str">
            <v>Vib welding tc 2</v>
          </cell>
        </row>
        <row r="162">
          <cell r="A162" t="str">
            <v>Vib welding tc 3</v>
          </cell>
        </row>
        <row r="163">
          <cell r="A163" t="str">
            <v>Vib welding tc 4</v>
          </cell>
        </row>
        <row r="164">
          <cell r="A164" t="str">
            <v>US welding tc 1</v>
          </cell>
        </row>
        <row r="165">
          <cell r="A165" t="str">
            <v>US welding tc 2</v>
          </cell>
        </row>
        <row r="166">
          <cell r="A166" t="str">
            <v>US welding tc 3</v>
          </cell>
        </row>
        <row r="167">
          <cell r="A167" t="str">
            <v>Mirror welding tc 3</v>
          </cell>
        </row>
        <row r="168">
          <cell r="A168" t="str">
            <v>US welding tc 1 tr</v>
          </cell>
        </row>
        <row r="169">
          <cell r="A169" t="str">
            <v>US welding tc 2 tr</v>
          </cell>
        </row>
        <row r="170">
          <cell r="A170" t="str">
            <v>US welding tc 3 tr</v>
          </cell>
        </row>
        <row r="171">
          <cell r="A171" t="str">
            <v>Mirror welding tc 3 tr</v>
          </cell>
        </row>
        <row r="172">
          <cell r="A172" t="str">
            <v>Assembly table</v>
          </cell>
        </row>
        <row r="173">
          <cell r="A173" t="str">
            <v>Foaming IP 3S</v>
          </cell>
        </row>
        <row r="174">
          <cell r="A174" t="str">
            <v>Foaming Lid 3S</v>
          </cell>
        </row>
        <row r="175">
          <cell r="A175" t="str">
            <v>Foaming Armrest 3S</v>
          </cell>
        </row>
        <row r="176">
          <cell r="A176" t="str">
            <v>Foaming Fix 3S</v>
          </cell>
        </row>
        <row r="177">
          <cell r="A177" t="str">
            <v>Auto 1200*2200 3S</v>
          </cell>
        </row>
        <row r="178">
          <cell r="A178" t="str">
            <v>Auto 700*2250 3S</v>
          </cell>
        </row>
        <row r="179">
          <cell r="A179" t="str">
            <v>Auto 860*1800 3S</v>
          </cell>
        </row>
        <row r="180">
          <cell r="A180" t="str">
            <v>Auto 700*1900 3S</v>
          </cell>
        </row>
        <row r="181">
          <cell r="A181" t="str">
            <v>Auto 750*1250 3S</v>
          </cell>
        </row>
        <row r="182">
          <cell r="A182" t="str">
            <v>Semiauto 1200*2200 3S</v>
          </cell>
        </row>
        <row r="183">
          <cell r="A183" t="str">
            <v>Semiauto 860*1800 3S</v>
          </cell>
        </row>
        <row r="184">
          <cell r="A184" t="str">
            <v>Semiauto 660*1000 3S</v>
          </cell>
        </row>
        <row r="185">
          <cell r="A185" t="str">
            <v>Flaming robot turntable 3S</v>
          </cell>
        </row>
        <row r="186">
          <cell r="A186" t="str">
            <v>Flaming Robot Fix 3S</v>
          </cell>
        </row>
        <row r="187">
          <cell r="A187" t="str">
            <v>Flaming Manual 3S</v>
          </cell>
        </row>
        <row r="188">
          <cell r="A188" t="str">
            <v>Precutting Fabrics Sandt 3S</v>
          </cell>
        </row>
        <row r="189">
          <cell r="A189" t="str">
            <v>Precutting Fabrics Lectra 3S</v>
          </cell>
        </row>
        <row r="190">
          <cell r="A190" t="str">
            <v>Gluing robot IP 3S</v>
          </cell>
        </row>
        <row r="191">
          <cell r="A191" t="str">
            <v>Gluing robot door panel 3S</v>
          </cell>
        </row>
        <row r="192">
          <cell r="A192" t="str">
            <v>Gluing Manual 3S</v>
          </cell>
        </row>
        <row r="193">
          <cell r="A193" t="str">
            <v>Gluing via Extrusion 3S</v>
          </cell>
        </row>
        <row r="194">
          <cell r="A194" t="str">
            <v>Vib Welding 1 3S</v>
          </cell>
        </row>
        <row r="195">
          <cell r="A195" t="str">
            <v>Vib Welding 2 3S</v>
          </cell>
        </row>
        <row r="196">
          <cell r="A196" t="str">
            <v>Vib Welding 3 3S</v>
          </cell>
        </row>
        <row r="197">
          <cell r="A197" t="str">
            <v>Vib Welding 4 3S</v>
          </cell>
        </row>
        <row r="198">
          <cell r="A198" t="str">
            <v>Vib Welding 5 3S</v>
          </cell>
        </row>
        <row r="199">
          <cell r="A199" t="str">
            <v>Vib Welding 6 3S</v>
          </cell>
        </row>
        <row r="200">
          <cell r="A200" t="str">
            <v>High freq weld turntable 3S</v>
          </cell>
        </row>
        <row r="201">
          <cell r="A201" t="str">
            <v>Tampography 3S</v>
          </cell>
        </row>
        <row r="202">
          <cell r="A202" t="str">
            <v>Hot stamping 1 3S</v>
          </cell>
        </row>
        <row r="203">
          <cell r="A203" t="str">
            <v>Hot stamping 2 3S</v>
          </cell>
        </row>
        <row r="204">
          <cell r="A204" t="str">
            <v>Cleaning armrests 3S</v>
          </cell>
        </row>
        <row r="205">
          <cell r="A205" t="str">
            <v>Preheating slush skin 3S</v>
          </cell>
        </row>
        <row r="206">
          <cell r="A206" t="str">
            <v>Flocking 3S</v>
          </cell>
        </row>
        <row r="207">
          <cell r="A207" t="str">
            <v>Punching IP TR 3S</v>
          </cell>
        </row>
        <row r="208">
          <cell r="A208" t="str">
            <v>Punching cover IP TR 3S</v>
          </cell>
        </row>
        <row r="209">
          <cell r="A209" t="str">
            <v>Punching lid TR</v>
          </cell>
        </row>
        <row r="210">
          <cell r="A210" t="str">
            <v>Mirror welding 1 tr 3S</v>
          </cell>
        </row>
        <row r="211">
          <cell r="A211" t="str">
            <v>Mirror welding 2 tr 3S</v>
          </cell>
        </row>
        <row r="212">
          <cell r="A212" t="str">
            <v>Mirror welding 3 tr 3S</v>
          </cell>
        </row>
        <row r="213">
          <cell r="A213" t="str">
            <v>US welding 1 tr 3S</v>
          </cell>
        </row>
        <row r="214">
          <cell r="A214" t="str">
            <v>US welding 2 tr 3S</v>
          </cell>
        </row>
        <row r="215">
          <cell r="A215" t="str">
            <v>US welding 3 tr 3S</v>
          </cell>
        </row>
        <row r="216">
          <cell r="A216" t="str">
            <v>Milling 1 robot 3S</v>
          </cell>
        </row>
        <row r="217">
          <cell r="A217" t="str">
            <v>Milling 2 robot 3S</v>
          </cell>
        </row>
        <row r="218">
          <cell r="A218" t="str">
            <v>Weakening skin-cold knife 3S</v>
          </cell>
        </row>
        <row r="219">
          <cell r="A219" t="str">
            <v>Weakening skin-hot knife 3S</v>
          </cell>
        </row>
        <row r="220">
          <cell r="A220" t="str">
            <v>Weakening skin-US knife 3S</v>
          </cell>
        </row>
        <row r="221">
          <cell r="A221" t="str">
            <v>Laser weakening 3S</v>
          </cell>
        </row>
        <row r="222">
          <cell r="A222" t="str">
            <v>Vib welding tc 1 3S</v>
          </cell>
        </row>
        <row r="223">
          <cell r="A223" t="str">
            <v>Vib welding tc 2 3S</v>
          </cell>
        </row>
        <row r="224">
          <cell r="A224" t="str">
            <v>Vib welding tc 3 3S</v>
          </cell>
        </row>
        <row r="225">
          <cell r="A225" t="str">
            <v>Vib welding tc 4 3S</v>
          </cell>
        </row>
        <row r="226">
          <cell r="A226" t="str">
            <v>US welding tc 1 3S</v>
          </cell>
        </row>
        <row r="227">
          <cell r="A227" t="str">
            <v>US welding tc 2 3S</v>
          </cell>
        </row>
        <row r="228">
          <cell r="A228" t="str">
            <v>US welding tc 3 3S</v>
          </cell>
        </row>
        <row r="229">
          <cell r="A229" t="str">
            <v>Mirror welding tc 3</v>
          </cell>
        </row>
        <row r="230">
          <cell r="A230" t="str">
            <v>US welding tc 1 tr 3S</v>
          </cell>
        </row>
        <row r="231">
          <cell r="A231" t="str">
            <v>US welding tc 2 tr 3S</v>
          </cell>
        </row>
        <row r="232">
          <cell r="A232" t="str">
            <v>US welding tc 3 tr 3S</v>
          </cell>
        </row>
        <row r="233">
          <cell r="A233" t="str">
            <v>Mirror welding tc 3 tr 3S</v>
          </cell>
        </row>
        <row r="234">
          <cell r="A234" t="str">
            <v>Assembly table 3S</v>
          </cell>
        </row>
        <row r="235">
          <cell r="A235" t="str">
            <v>800 T 2K</v>
          </cell>
        </row>
        <row r="236">
          <cell r="A236" t="str">
            <v>Laser Weakening PVC 3S</v>
          </cell>
        </row>
        <row r="237">
          <cell r="A237" t="str">
            <v>Punching incl. Weakening TR 3S</v>
          </cell>
        </row>
        <row r="238">
          <cell r="A238" t="str">
            <v>Painting 1 Layer Mexico</v>
          </cell>
        </row>
        <row r="239">
          <cell r="A239" t="str">
            <v>Painting 2 Layers Mexico</v>
          </cell>
        </row>
        <row r="240">
          <cell r="A240" t="str">
            <v>Assembly Line IP 3S</v>
          </cell>
        </row>
        <row r="241">
          <cell r="A241" t="str">
            <v>Fluorination 3S</v>
          </cell>
        </row>
        <row r="242">
          <cell r="A242" t="str">
            <v>Linear Foaming 6 Stations 3S</v>
          </cell>
        </row>
        <row r="243">
          <cell r="A243" t="str">
            <v>Linear Foaming 4 Stations 3S</v>
          </cell>
        </row>
        <row r="244">
          <cell r="A244" t="str">
            <v>Semiautomatic Riveting TR 3S</v>
          </cell>
        </row>
        <row r="245">
          <cell r="A245" t="str">
            <v>Automatic Riveting TR 3S</v>
          </cell>
        </row>
        <row r="246">
          <cell r="A246" t="str">
            <v>Pitching Frame 2 FD 3S</v>
          </cell>
        </row>
        <row r="247">
          <cell r="A247" t="str">
            <v>Pitching Frame 4 FD 3S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externalLinks/externalLink34.xml><?xml version="1.0" encoding="utf-8"?>
<externalLink xmlns:r="http://schemas.openxmlformats.org/officeDocument/2006/relationships" xmlns="http://schemas.openxmlformats.org/spreadsheetml/2006/main">
  <externalBook r:id="rId0">
    <sheetNames>
      <sheetName val="PRESENTATION"/>
      <sheetName val="CA activité (Bud)"/>
      <sheetName val="CA activité (N-1)"/>
      <sheetName val="Makro1"/>
      <sheetName val="Param"/>
      <sheetName val="Ma base"/>
      <sheetName val="P&amp;L"/>
      <sheetName val="Divisions"/>
      <sheetName val="Fonctions"/>
      <sheetName val="TARIF"/>
      <sheetName val="Dash"/>
      <sheetName val="Layout"/>
      <sheetName val="Sheet1"/>
      <sheetName val="IST_ACTUAL EUR"/>
      <sheetName val="Asia analysis"/>
      <sheetName val="IOP"/>
      <sheetName val="Instrument"/>
      <sheetName val="Page 31"/>
      <sheetName val="Page 8"/>
      <sheetName val="MASTER"/>
      <sheetName val="D"/>
      <sheetName val="CA_activité_(Bud)"/>
      <sheetName val="CA_activité_(N-1)"/>
      <sheetName val="Page_31"/>
      <sheetName val="Page_8"/>
      <sheetName val="차종별"/>
      <sheetName val="var"/>
      <sheetName val="Zusatzinfo"/>
      <sheetName val="Parametres"/>
      <sheetName val="Costed BOM 2ndR 40%"/>
      <sheetName val="MS - CA Activité Prév 1002"/>
      <sheetName val="Dashboard Database"/>
      <sheetName val="Page 14-A"/>
      <sheetName val="损益表（按单位)01"/>
      <sheetName val="SG_Maschinenuebersicht_2"/>
      <sheetName val="Listes"/>
      <sheetName val="CSM with CKD"/>
      <sheetName val="Hypotheses"/>
      <sheetName val="constante"/>
      <sheetName val="#REF!"/>
      <sheetName val="Tables"/>
      <sheetName val="Eng. Headcount"/>
      <sheetName val="XBase"/>
      <sheetName val="FEP Lookup"/>
      <sheetName val="Stammdaten"/>
      <sheetName val="Donnees"/>
      <sheetName val="QuoteReview"/>
      <sheetName val="Bnd D peint"/>
      <sheetName val="Bnd D peint ABSPC"/>
      <sheetName val="SA"/>
      <sheetName val="Summary"/>
      <sheetName val="基準ｲﾝﾌﾟｯﾄ"/>
      <sheetName val="parameters"/>
      <sheetName val="volumes"/>
      <sheetName val="prices"/>
      <sheetName val="(B+L)65 F8Q ar"/>
      <sheetName val="variable 1"/>
      <sheetName val="INTRO"/>
      <sheetName val="FTR MACRo"/>
      <sheetName val="List_data"/>
      <sheetName val="W-현원가"/>
      <sheetName val="graph SOP"/>
      <sheetName val="Reference data"/>
      <sheetName val="Cata"/>
      <sheetName val="Thin"/>
      <sheetName val="ｶﾞﾗｽ円環 直材 (2)"/>
      <sheetName val="液圧拡張ｺｽﾄ比較"/>
      <sheetName val="calculations"/>
      <sheetName val="development"/>
      <sheetName val="investment"/>
      <sheetName val="Etudes"/>
      <sheetName val="Macro1"/>
      <sheetName val="Roll Out - Limit"/>
      <sheetName val="国产工装"/>
      <sheetName val="Mold Detail Cost breakdowns"/>
      <sheetName val="Datenbasis"/>
      <sheetName val="STANDVAR_b3CTY"/>
      <sheetName val="DB-基础数据"/>
      <sheetName val="1-RFQ&amp;SUM销售信息表+汇总"/>
      <sheetName val="2-BOM工程评估BOM+成本"/>
      <sheetName val="0399"/>
      <sheetName val="Act. Bud. FIB 2004"/>
      <sheetName val="Parametres 04"/>
      <sheetName val="LOV"/>
      <sheetName val="협조전"/>
      <sheetName val="progress points"/>
      <sheetName val="Entity"/>
      <sheetName val="PRF"/>
      <sheetName val="Daten Drop Down"/>
      <sheetName val="Daten"/>
      <sheetName val="Name reference"/>
      <sheetName val="Gesamt 13"/>
      <sheetName val="Temp"/>
      <sheetName val="Zierleiste FS o.chrom LL"/>
      <sheetName val="Dashboard"/>
      <sheetName val="Sheet1 (3)"/>
      <sheetName val="31.12.03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Lookup"/>
      <sheetName val="&lt;Criteria&gt;"/>
      <sheetName val="Input Sheet"/>
      <sheetName val="Plants"/>
      <sheetName val="Ma_base"/>
      <sheetName val="Asia_analysis"/>
      <sheetName val="IST_ACTUAL_EUR"/>
      <sheetName val="Eng__Headcount"/>
      <sheetName val="Bnd_D_peint"/>
      <sheetName val="Bnd_D_peint_ABSPC"/>
      <sheetName val="(B+L)65_F8Q_ar"/>
      <sheetName val="销售收入A4"/>
      <sheetName val="Headlamp Housing Load"/>
      <sheetName val="All"/>
      <sheetName val="Headlamp Lens Load"/>
      <sheetName val="Headlamp Reflector Load"/>
      <sheetName val="Rates"/>
      <sheetName val="财务评价"/>
      <sheetName val="CA_activité_(Bud)1"/>
      <sheetName val="CA_activité_(N-1)1"/>
      <sheetName val="Page_311"/>
      <sheetName val="Page_81"/>
      <sheetName val="MS_-_CA_Activité_Prév_1002"/>
      <sheetName val="CA_activité_(Bud)2"/>
      <sheetName val="CA_activité_(N-1)2"/>
      <sheetName val="Page_312"/>
      <sheetName val="Page_82"/>
      <sheetName val="SAV COND"/>
      <sheetName val="Feuil2"/>
      <sheetName val="CA_activité_(Bud)3"/>
      <sheetName val="CA_activité_(N-1)3"/>
      <sheetName val="Page_313"/>
      <sheetName val="Page_83"/>
      <sheetName val="MS_-_CA_Activité_Prév_10021"/>
      <sheetName val="Costed_BOM_2ndR_40%"/>
      <sheetName val="Modeles_Auto"/>
      <sheetName val="Pieces_Auto"/>
      <sheetName val="Bridge Estimate"/>
      <sheetName val="Premium Fr in"/>
      <sheetName val="Inventory"/>
      <sheetName val="Variables"/>
      <sheetName val="CA_activité_(Bud)4"/>
      <sheetName val="CA_activité_(N-1)4"/>
      <sheetName val="Page_314"/>
      <sheetName val="Page_84"/>
      <sheetName val="MS_-_CA_Activité_Prév_10022"/>
      <sheetName val="Costed_BOM_2ndR_40%1"/>
      <sheetName val="SAV_COND"/>
      <sheetName val="Bridge_Estimate"/>
      <sheetName val="Page 35"/>
      <sheetName val="Page 39"/>
      <sheetName val="FOREC1"/>
      <sheetName val="HEADC"/>
      <sheetName val="INVENT"/>
      <sheetName val="INVEST"/>
      <sheetName val="AIS"/>
      <sheetName val="Analysis"/>
      <sheetName val="CA_activité_(Bud)5"/>
      <sheetName val="CA_activité_(N-1)5"/>
      <sheetName val="Page_315"/>
      <sheetName val="Page_85"/>
      <sheetName val="MS_-_CA_Activité_Prév_10023"/>
      <sheetName val="Costed_BOM_2ndR_40%2"/>
      <sheetName val="SAV_COND1"/>
      <sheetName val="Bridge_Estimate1"/>
      <sheetName val="Premium_Fr_in1"/>
      <sheetName val="Premium_Fr_in"/>
      <sheetName val="Orig"/>
      <sheetName val="WORK"/>
      <sheetName val="Sheet2"/>
      <sheetName val="Sheet3"/>
      <sheetName val="BASE"/>
    </sheetNames>
    <sheetDataSet>
      <sheetData sheetId="0" refreshError="1">
        <row r="15">
          <cell r="E1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</sheetDataSet>
  </externalBook>
</externalLink>
</file>

<file path=xl/externalLinks/externalLink35.xml><?xml version="1.0" encoding="utf-8"?>
<externalLink xmlns:r="http://schemas.openxmlformats.org/officeDocument/2006/relationships" xmlns="http://schemas.openxmlformats.org/spreadsheetml/2006/main">
  <externalBook r:id="rId0">
    <sheetNames>
      <sheetName val="MOI List"/>
      <sheetName val="December 02"/>
      <sheetName val="January 03"/>
      <sheetName val="February 03"/>
      <sheetName val="March 03"/>
      <sheetName val="April 03"/>
      <sheetName val="May 03"/>
      <sheetName val="June 03"/>
      <sheetName val="Hyperion control"/>
      <sheetName val="Listes"/>
      <sheetName val="Functions Transl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December 02</v>
          </cell>
        </row>
        <row r="2">
          <cell r="A2" t="str">
            <v>January 03</v>
          </cell>
        </row>
        <row r="3">
          <cell r="A3" t="str">
            <v>February 03</v>
          </cell>
        </row>
        <row r="4">
          <cell r="A4" t="str">
            <v>March 03</v>
          </cell>
        </row>
        <row r="5">
          <cell r="A5" t="str">
            <v>April 03</v>
          </cell>
        </row>
        <row r="6">
          <cell r="A6" t="str">
            <v>May 03</v>
          </cell>
        </row>
        <row r="7">
          <cell r="A7" t="str">
            <v>June 03</v>
          </cell>
        </row>
      </sheetData>
      <sheetData sheetId="10" refreshError="1"/>
    </sheetDataSet>
  </externalBook>
</externalLink>
</file>

<file path=xl/externalLinks/externalLink36.xml><?xml version="1.0" encoding="utf-8"?>
<externalLink xmlns:r="http://schemas.openxmlformats.org/officeDocument/2006/relationships" xmlns="http://schemas.openxmlformats.org/spreadsheetml/2006/main">
  <externalBook r:id="rId0">
    <sheetNames>
      <sheetName val="INPUT"/>
      <sheetName val="Param"/>
      <sheetName val="DataBase"/>
      <sheetName val="TCD"/>
      <sheetName val="CA"/>
      <sheetName val="MATIERE"/>
      <sheetName val="MOD"/>
      <sheetName val="MOD Minut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7.xml><?xml version="1.0" encoding="utf-8"?>
<externalLink xmlns:r="http://schemas.openxmlformats.org/officeDocument/2006/relationships" xmlns="http://schemas.openxmlformats.org/spreadsheetml/2006/main">
  <externalBook r:id="rId0">
    <sheetNames>
      <sheetName val="Instrument"/>
      <sheetName val="Accounting"/>
      <sheetName val="Feuil2"/>
      <sheetName val="Feuil3"/>
    </sheetNames>
    <sheetDataSet>
      <sheetData sheetId="0" refreshError="1">
        <row r="61">
          <cell r="P61">
            <v>30802.865000000362</v>
          </cell>
        </row>
        <row r="66">
          <cell r="E66">
            <v>7000000</v>
          </cell>
          <cell r="O66">
            <v>102199.99999999962</v>
          </cell>
          <cell r="P66">
            <v>31441.708800000371</v>
          </cell>
        </row>
        <row r="71">
          <cell r="E71">
            <v>6000000</v>
          </cell>
          <cell r="O71">
            <v>87599.99999999968</v>
          </cell>
          <cell r="P71">
            <v>27634.419800000374</v>
          </cell>
        </row>
        <row r="76">
          <cell r="E76">
            <v>10000000</v>
          </cell>
          <cell r="O76">
            <v>145999.99999999948</v>
          </cell>
          <cell r="P76">
            <v>-4016.9899999994668</v>
          </cell>
        </row>
        <row r="81">
          <cell r="E81">
            <v>10000000</v>
          </cell>
          <cell r="O81">
            <v>145999.99999999948</v>
          </cell>
          <cell r="P81">
            <v>-8652.1423999994295</v>
          </cell>
        </row>
        <row r="86">
          <cell r="E86">
            <v>10000000</v>
          </cell>
          <cell r="O86">
            <v>145999.99999999948</v>
          </cell>
          <cell r="P86">
            <v>-13698.622799999459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8.xml><?xml version="1.0" encoding="utf-8"?>
<externalLink xmlns:r="http://schemas.openxmlformats.org/officeDocument/2006/relationships" xmlns="http://schemas.openxmlformats.org/spreadsheetml/2006/main">
  <externalBook r:id="rId0">
    <sheetNames>
      <sheetName val="Descente"/>
      <sheetName val="Ligne AR"/>
      <sheetName val="prix_mat_feuillard_brésil"/>
      <sheetName val="base"/>
      <sheetName val="prix_mat_tube_brésil"/>
      <sheetName val="taux_1997"/>
      <sheetName val="constante"/>
      <sheetName val="Dash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B2">
            <v>1</v>
          </cell>
        </row>
      </sheetData>
      <sheetData sheetId="7" refreshError="1"/>
    </sheetDataSet>
  </externalBook>
</externalLink>
</file>

<file path=xl/externalLinks/externalLink39.xml><?xml version="1.0" encoding="utf-8"?>
<externalLink xmlns:r="http://schemas.openxmlformats.org/officeDocument/2006/relationships" xmlns="http://schemas.openxmlformats.org/spreadsheetml/2006/main">
  <externalBook r:id="rId0">
    <sheetNames>
      <sheetName val="Asia analysis"/>
      <sheetName val="CN01"/>
      <sheetName val="CN09"/>
      <sheetName val="CN10"/>
      <sheetName val="CN12M"/>
      <sheetName val="CN12-TC"/>
      <sheetName val="CN13"/>
      <sheetName val="CN18"/>
      <sheetName val="KR01"/>
      <sheetName val="KR02"/>
      <sheetName val="Korea"/>
      <sheetName val="China"/>
      <sheetName val="Asia"/>
      <sheetName val="SUMSCHED"/>
      <sheetName val="SALESCUST"/>
      <sheetName val="FOREC1"/>
      <sheetName val="HEADC"/>
      <sheetName val="INVENT"/>
      <sheetName val="INVEST"/>
      <sheetName val="AIS"/>
      <sheetName val="Analysis"/>
      <sheetName val="GROSSM"/>
    </sheetNames>
    <sheetDataSet>
      <sheetData sheetId="0">
        <row r="99">
          <cell r="A99" t="str">
            <v>dp=2009.01</v>
          </cell>
        </row>
        <row r="100">
          <cell r="A100" t="str">
            <v>dp=2009.02</v>
          </cell>
        </row>
        <row r="101">
          <cell r="A101" t="str">
            <v>dp=2009.03</v>
          </cell>
        </row>
        <row r="102">
          <cell r="A102" t="str">
            <v>dp=2009.04</v>
          </cell>
        </row>
        <row r="103">
          <cell r="A103" t="str">
            <v>dp=2009.05</v>
          </cell>
        </row>
        <row r="104">
          <cell r="A104" t="str">
            <v>dp=2009.06</v>
          </cell>
        </row>
        <row r="105">
          <cell r="A105" t="str">
            <v>dp=2009.07</v>
          </cell>
        </row>
        <row r="106">
          <cell r="A106" t="str">
            <v>dp=2009.08</v>
          </cell>
        </row>
        <row r="107">
          <cell r="A107" t="str">
            <v>dp=2009.09</v>
          </cell>
        </row>
        <row r="108">
          <cell r="A108" t="str">
            <v>dp=2009.10</v>
          </cell>
        </row>
        <row r="109">
          <cell r="A109" t="str">
            <v>dp=2009.11</v>
          </cell>
        </row>
        <row r="110">
          <cell r="A110" t="str">
            <v>dp=2009.12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0.xml><?xml version="1.0" encoding="utf-8"?>
<externalLink xmlns:r="http://schemas.openxmlformats.org/officeDocument/2006/relationships" xmlns="http://schemas.openxmlformats.org/spreadsheetml/2006/main">
  <externalBook r:id="rId0">
    <sheetNames>
      <sheetName val="EtudePrix"/>
      <sheetName val="ANNEXE A"/>
      <sheetName val="constante"/>
    </sheetNames>
    <sheetDataSet>
      <sheetData sheetId="0"/>
      <sheetData sheetId="1"/>
      <sheetData sheetId="2" refreshError="1">
        <row r="1">
          <cell r="B1">
            <v>3.1415926540000001</v>
          </cell>
        </row>
        <row r="3">
          <cell r="B3">
            <v>1</v>
          </cell>
        </row>
      </sheetData>
    </sheetDataSet>
  </externalBook>
</externalLink>
</file>

<file path=xl/externalLinks/externalLink41.xml><?xml version="1.0" encoding="utf-8"?>
<externalLink xmlns:r="http://schemas.openxmlformats.org/officeDocument/2006/relationships" xmlns="http://schemas.openxmlformats.org/spreadsheetml/2006/main">
  <externalBook r:id="rId0">
    <sheetNames>
      <sheetName val="Division_plant"/>
      <sheetName val="Rates"/>
    </sheetNames>
    <sheetDataSet>
      <sheetData sheetId="0" refreshError="1"/>
      <sheetData sheetId="1" refreshError="1">
        <row r="2">
          <cell r="B2">
            <v>2.1072000000000002</v>
          </cell>
        </row>
        <row r="3">
          <cell r="B3">
            <v>1.28</v>
          </cell>
        </row>
      </sheetData>
    </sheetDataSet>
  </externalBook>
</externalLink>
</file>

<file path=xl/externalLinks/externalLink42.xml><?xml version="1.0" encoding="utf-8"?>
<externalLink xmlns:r="http://schemas.openxmlformats.org/officeDocument/2006/relationships" xmlns="http://schemas.openxmlformats.org/spreadsheetml/2006/main">
  <externalBook r:id="rId0">
    <sheetNames>
      <sheetName val="List"/>
      <sheetName val="graph SOP"/>
      <sheetName val="graph cli-sop"/>
      <sheetName val="graph-05&gt;today"/>
      <sheetName val="graph-05"/>
      <sheetName val="test"/>
      <sheetName val="Data OI"/>
    </sheetNames>
    <sheetDataSet>
      <sheetData sheetId="0"/>
      <sheetData sheetId="1" refreshError="1">
        <row r="32">
          <cell r="D32">
            <v>0.32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externalLinks/externalLink43.xml><?xml version="1.0" encoding="utf-8"?>
<externalLink xmlns:r="http://schemas.openxmlformats.org/officeDocument/2006/relationships" xmlns="http://schemas.openxmlformats.org/spreadsheetml/2006/main">
  <externalBook r:id="rId0">
    <sheetNames>
      <sheetName val="Dashboard Database"/>
      <sheetName val="Program Reporting"/>
      <sheetName val="Program Reporting (2)"/>
      <sheetName val="values"/>
      <sheetName val="Asia analysis"/>
      <sheetName val="graph SOP"/>
      <sheetName val="Rates"/>
      <sheetName val="constante"/>
      <sheetName val="Rohrteile"/>
      <sheetName val="System"/>
      <sheetName val="Brands"/>
      <sheetName val="sapactivexlhiddensheet"/>
      <sheetName val="降价节约类别"/>
      <sheetName val="Labor EO"/>
      <sheetName val="Instrument"/>
      <sheetName val="1998 AFP Exchange Rates"/>
      <sheetName val="Dash"/>
      <sheetName val="制造成本预算表A3"/>
      <sheetName val="销售收入A4"/>
      <sheetName val="销售费用预算表(A4)"/>
      <sheetName val="progress points"/>
      <sheetName val="STANDVAR_b3CTY"/>
      <sheetName val="Param"/>
      <sheetName val="PRESENTATION"/>
      <sheetName val="Data"/>
      <sheetName val="QAD"/>
      <sheetName val="Daten"/>
      <sheetName val="汇总"/>
      <sheetName val="Sept BF"/>
      <sheetName val="Ordner_rückenNeu"/>
      <sheetName val="LACDVAR"/>
      <sheetName val="Tables"/>
      <sheetName val="P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4.xml><?xml version="1.0" encoding="utf-8"?>
<externalLink xmlns:r="http://schemas.openxmlformats.org/officeDocument/2006/relationships" xmlns="http://schemas.openxmlformats.org/spreadsheetml/2006/main">
  <externalBook r:id="rId0">
    <sheetNames>
      <sheetName val="F-0002-024A"/>
      <sheetName val="F-0002-024B"/>
      <sheetName val="Change Log"/>
      <sheetName val="LOV"/>
      <sheetName val="实际费用分析"/>
      <sheetName val="Change_Log"/>
      <sheetName val="Dashboard Database"/>
      <sheetName val="Input Sheet"/>
      <sheetName val="Plants"/>
      <sheetName val="FIN5"/>
      <sheetName val="VTooling"/>
      <sheetName val="Summary"/>
      <sheetName val="报价表"/>
      <sheetName val="TARIF"/>
      <sheetName val="Entity"/>
      <sheetName val="Sheet1"/>
      <sheetName val="PRESENTATION"/>
      <sheetName val="graph SOP"/>
      <sheetName val="13 GRR ND"/>
      <sheetName val="710TABLE"/>
      <sheetName val="효율계획(당월)"/>
      <sheetName val="효율계획_당월_"/>
      <sheetName val="전체실적"/>
      <sheetName val="기안"/>
      <sheetName val="OLD"/>
      <sheetName val="Input_Sheet"/>
      <sheetName val="ALL_PARTS_PRICE_LIST"/>
      <sheetName val="T진도"/>
      <sheetName val="CHANGE"/>
      <sheetName val="Tbom-tot"/>
      <sheetName val="Tbom_tot"/>
      <sheetName val="carrier_package_prdctn_smry"/>
      <sheetName val="full__2_"/>
      <sheetName val="Legende"/>
      <sheetName val="Roll_Out___Limit"/>
      <sheetName val="Tables"/>
      <sheetName val="Materialdaten"/>
      <sheetName val="DATA"/>
      <sheetName val="첨부5"/>
      <sheetName val="CAP"/>
      <sheetName val="F7"/>
      <sheetName val="F8"/>
      <sheetName val="L7"/>
      <sheetName val="L8"/>
      <sheetName val="SedanI"/>
      <sheetName val="SedanII"/>
      <sheetName val="SedanIII"/>
      <sheetName val="WagonI"/>
      <sheetName val="WagonII"/>
      <sheetName val="WagonIII"/>
      <sheetName val="price"/>
      <sheetName val="price1"/>
      <sheetName val="TotalBOM"/>
      <sheetName val="매출DATA"/>
      <sheetName val="COST관리"/>
      <sheetName val="동명재고"/>
      <sheetName val="ALL PARTS PRICE LIST"/>
      <sheetName val="Rates"/>
      <sheetName val="Param"/>
      <sheetName val="Sept BF"/>
      <sheetName val="Cata"/>
      <sheetName val="Thin"/>
      <sheetName val="Attendee List"/>
      <sheetName val="JETTA制动管"/>
      <sheetName val="CFLOW"/>
      <sheetName val="_REF"/>
      <sheetName val="CDN"/>
      <sheetName val="Change_Log1"/>
      <sheetName val="Input_Sheet1"/>
      <sheetName val="13_GRR_ND"/>
      <sheetName val="ALL_PARTS_PRICE_LIST1"/>
      <sheetName val="Change_Log2"/>
      <sheetName val="Input_Sheet2"/>
      <sheetName val="13_GRR_ND1"/>
      <sheetName val="ALL_PARTS_PRICE_LIST2"/>
      <sheetName val="A_100전제"/>
      <sheetName val="A-100전제"/>
      <sheetName val="Assumption"/>
      <sheetName val="Instructions"/>
      <sheetName val="General"/>
      <sheetName val="10 Year Forecast"/>
      <sheetName val="USD"/>
      <sheetName val="024 SGM980 GBOX + KBOLSTER"/>
      <sheetName val="Price List"/>
      <sheetName val="Template"/>
      <sheetName val="Ecos(0+12)"/>
      <sheetName val="G.1R-Shou COP Gf"/>
      <sheetName val="Toolbox"/>
      <sheetName val="GIFS Data"/>
      <sheetName val="制造成本预算表A3"/>
      <sheetName val="一覧"/>
      <sheetName val="QuoteReview"/>
      <sheetName val="SA"/>
      <sheetName val="Sheet2"/>
      <sheetName val="Sheet3"/>
      <sheetName val="達成729"/>
      <sheetName val="3-参数"/>
      <sheetName val="Master"/>
      <sheetName val="COVER"/>
      <sheetName val="DG"/>
      <sheetName val="Rohrteile"/>
      <sheetName val="Rates and Tarrifs"/>
      <sheetName val="Page 0"/>
      <sheetName val="Intro"/>
      <sheetName val="Table of contents"/>
      <sheetName val="Guidelines"/>
      <sheetName val="Cal"/>
      <sheetName val="Allocation"/>
      <sheetName val="#REF"/>
      <sheetName val="Map"/>
      <sheetName val="VL PBT"/>
      <sheetName val="Rev"/>
      <sheetName val="Volumes"/>
      <sheetName val="Turnover"/>
      <sheetName val="修订"/>
      <sheetName val="計算書（加）"/>
      <sheetName val="投資(加）"/>
      <sheetName val="parameters"/>
      <sheetName val="prices"/>
      <sheetName val="基準ｲﾝﾌﾟｯﾄ"/>
      <sheetName val="Report"/>
      <sheetName val="项目进度计划"/>
      <sheetName val="Act. Bud. FIB 2004"/>
      <sheetName val="Parametres 04"/>
      <sheetName val="Parametres"/>
      <sheetName val="MPL 技連"/>
      <sheetName val="342E BLOCK"/>
      <sheetName val="段ﾎﾞｰﾙ箱図番･荷姿ｺｰﾄﾞ"/>
      <sheetName val="Temp"/>
      <sheetName val="Definitions"/>
      <sheetName val="BOM"/>
      <sheetName val="RM"/>
      <sheetName val="原材料入库金额"/>
      <sheetName val="FG"/>
      <sheetName val="Holding"/>
      <sheetName val="SUM14ZC1"/>
      <sheetName val="2-BOM工程评估BOM+成本"/>
      <sheetName val="DB-基础数据"/>
      <sheetName val="1-RFQ&amp;SUM销售信息表+汇总"/>
      <sheetName val="Section 1-RFQ"/>
      <sheetName val="1st"/>
      <sheetName val="PA 191"/>
      <sheetName val="Start"/>
      <sheetName val="Der_Titel"/>
      <sheetName val="Status &amp; Aufträge"/>
      <sheetName val="Goodies"/>
      <sheetName val="a-und b-Preise 1"/>
      <sheetName val="heutige Lieferbeziehungen"/>
      <sheetName val="Lieferverteilung"/>
      <sheetName val="COMPARISON SHEET (Audi)"/>
      <sheetName val="LONGTERM SHEET (Audi)"/>
      <sheetName val="RECOMMENDATION SHEET (Audi)"/>
      <sheetName val="a-und b-Preise 2"/>
      <sheetName val="Vorbereitende Eing. (Teil 1)"/>
      <sheetName val="BIDDERS LIST (1)"/>
      <sheetName val="COMPARISON SHEET (1)"/>
      <sheetName val="LONGTERM SHEET (1)"/>
      <sheetName val="RECOMMENDATION SHEET (1)"/>
      <sheetName val="Teilepreise &amp; PT-Kosten (1)"/>
      <sheetName val="Barwertberechnung (1)"/>
      <sheetName val="Vorbereitende Eing. (Teil 2)"/>
      <sheetName val="BIDDERS LIST (2)"/>
      <sheetName val="COMPARISON SHEET (2)"/>
      <sheetName val="LONGTERM SHEET (2)"/>
      <sheetName val="RECOMMENDATION SHEET (2)"/>
      <sheetName val="Teilepreise &amp; PT-Kosten (2)"/>
      <sheetName val="Barwertberechnung (2)"/>
      <sheetName val="Vorbereitende Eing. (Teil 3)"/>
      <sheetName val="BIDDERS LIST (3)"/>
      <sheetName val="COMPARISON SHEET (3)"/>
      <sheetName val="LONGTERM SHEET (3)"/>
      <sheetName val="RECOMMENDATION SHEET (3)"/>
      <sheetName val="Teilepreise &amp; PT-Kosten (3)"/>
      <sheetName val="Barwertberechnung (3)"/>
      <sheetName val="Vorbereitende Eing. (Teil 4)"/>
      <sheetName val="BIDDERS LIST (4)"/>
      <sheetName val="COMPARISON SHEET (4)"/>
      <sheetName val="LONGTERM SHEET (4)"/>
      <sheetName val="RECOMMENDATION SHEET (4)"/>
      <sheetName val="Teilepreise &amp; PT-Kosten (4)"/>
      <sheetName val="Barwertberechnung (4)"/>
      <sheetName val="Vorbereitende Eing. (Teil 5)"/>
      <sheetName val="BIDDERS LIST (5)"/>
      <sheetName val="COMPARISON SHEET (5)"/>
      <sheetName val="LONGTERM SHEET (5)"/>
      <sheetName val="RECOMMENDATION SHEET (5)"/>
      <sheetName val="Teilepreise &amp; PT-Kosten (5)"/>
      <sheetName val="Barwertberechnung (5)"/>
      <sheetName val="v_a-und b-Preise"/>
      <sheetName val="Plausibilität Target"/>
      <sheetName val="v_Vorbereitende Eing. (Teil 1)"/>
      <sheetName val="v_BIDDERS LIST (1)"/>
      <sheetName val="v_COMPARISON SHEET (1)"/>
      <sheetName val="v_LONGTERM SHEET (1)"/>
      <sheetName val="v_RECOMMENDATION SHEET (1)"/>
      <sheetName val="v_Teilepreise &amp; PT-Kosten (1)"/>
      <sheetName val="v_Barwertberechnung (1)"/>
      <sheetName val="Import"/>
      <sheetName val="ImpInfo"/>
      <sheetName val="系统代码翻译"/>
      <sheetName val="curve"/>
      <sheetName val="INFO"/>
      <sheetName val="BOM Compile"/>
      <sheetName val="GI"/>
      <sheetName val="BR"/>
      <sheetName val="CBA Load"/>
      <sheetName val="SG&amp;A, INDL"/>
      <sheetName val="Overview"/>
      <sheetName val="Tool, PC"/>
      <sheetName val="PI"/>
      <sheetName val="Reference data"/>
      <sheetName val="Start Here"/>
      <sheetName val="J100"/>
      <sheetName val="3월종합현황"/>
      <sheetName val="BRAKE"/>
      <sheetName val="Sales Ranking by Manufactures"/>
      <sheetName val="Burden Rates"/>
      <sheetName val="constante"/>
      <sheetName val="31.12.03"/>
      <sheetName val="Hypotheses"/>
      <sheetName val="Constant"/>
      <sheetName val="POWER ASSUMPTIONS"/>
      <sheetName val="Page 39"/>
      <sheetName val="Page 26"/>
      <sheetName val="Page 31"/>
      <sheetName val="Page 8"/>
      <sheetName val="직원신상"/>
      <sheetName val="Macro1"/>
      <sheetName val="N-PES"/>
      <sheetName val="Cost Walk"/>
      <sheetName val="IST_ACTUAL EUR"/>
      <sheetName val="ETRS"/>
      <sheetName val="INVESTMENTS NON AP"/>
      <sheetName val="基础表"/>
      <sheetName val="签到表-机油泵"/>
      <sheetName val="管理表"/>
      <sheetName val="Releases"/>
      <sheetName val="處理計划進度表"/>
      <sheetName val="Plant Data"/>
      <sheetName val="P&amp;L"/>
      <sheetName val="Page 15"/>
      <sheetName val="Non quality costs"/>
      <sheetName val="Page 20"/>
      <sheetName val="Page 42"/>
      <sheetName val="Page 21"/>
      <sheetName val="Page 24"/>
      <sheetName val="Page 25"/>
      <sheetName val="Page 30"/>
      <sheetName val="조립수출"/>
      <sheetName val="내수1_8GL"/>
      <sheetName val="Visteon_May14_Base"/>
      <sheetName val="PM9817A"/>
      <sheetName val="calculations"/>
      <sheetName val="development"/>
      <sheetName val="investment"/>
      <sheetName val="주행"/>
      <sheetName val="CUSTOMER (DETAIL)"/>
      <sheetName val="Input"/>
      <sheetName val="BND"/>
      <sheetName val="BOX"/>
      <sheetName val="SEQ"/>
      <sheetName val="Sheet1 (3)"/>
      <sheetName val="MAIN"/>
      <sheetName val="variable 1"/>
      <sheetName val="Page 14-A"/>
      <sheetName val="Fan_Motor(가공비)"/>
      <sheetName val="Total Mkt"/>
      <sheetName val="b_spec_ph2(batch5)"/>
      <sheetName val="진행 DATA (2)"/>
      <sheetName val="CMMSBRDN"/>
      <sheetName val="Ind Labor Cost"/>
      <sheetName val="Dir Labor Cost"/>
      <sheetName val="1.20"/>
      <sheetName val="machines"/>
      <sheetName val="03 Transportation Quoting"/>
      <sheetName val="オリジナル"/>
      <sheetName val="96totcstsum"/>
      <sheetName val="BASE"/>
      <sheetName val="EN114VEPS"/>
      <sheetName val="Absol"/>
      <sheetName val="BOM簡化"/>
      <sheetName val="总名单"/>
      <sheetName val="Casting"/>
      <sheetName val="HVL Cost Study"/>
      <sheetName val="Rate"/>
      <sheetName val="Inv_RM"/>
      <sheetName val="BF_FG"/>
      <sheetName val="Item_Data"/>
      <sheetName val="Inv S"/>
      <sheetName val="EN114 &amp; SN95"/>
      <sheetName val="Target Cascade"/>
      <sheetName val="Auto Trans Total F&amp;T "/>
      <sheetName val="Manual Trans Total F&amp;T"/>
      <sheetName val="V Engine Mfg Process"/>
      <sheetName val="26-JE"/>
      <sheetName val="11-Material"/>
      <sheetName val="3-Base"/>
      <sheetName val="valid"/>
      <sheetName val="Currency"/>
      <sheetName val="FULL BOM"/>
      <sheetName val="6-22"/>
      <sheetName val="Facility"/>
      <sheetName val="27-AB"/>
      <sheetName val="10-Turnover"/>
      <sheetName val="Stockpile1"/>
      <sheetName val="After Sales Supplier #'s"/>
      <sheetName val="图号"/>
      <sheetName val="BUYERS"/>
      <sheetName val="Status"/>
      <sheetName val="96isstoiss"/>
      <sheetName val="Apr (1) 3 of 3"/>
      <sheetName val="93"/>
      <sheetName val="Titel"/>
      <sheetName val="Hyp"/>
      <sheetName val="Page 1"/>
      <sheetName val="原材料收发存月报表总09"/>
      <sheetName val="东海材料库09"/>
      <sheetName val="24-CAPEX"/>
      <sheetName val="14-Labor Cost"/>
      <sheetName val="ABC別"/>
      <sheetName val="数据库"/>
      <sheetName val="AC2-3"/>
      <sheetName val="AC4-1"/>
      <sheetName val="Parts"/>
      <sheetName val="797T輸入部品リスト"/>
      <sheetName val="月別"/>
      <sheetName val="구동"/>
      <sheetName val="024%20SGM980%20GBOX%20+%20KBOLS"/>
      <sheetName val="变更通知单"/>
      <sheetName val="W-현원가"/>
      <sheetName val="Change_Log3"/>
      <sheetName val="Input_Sheet3"/>
      <sheetName val="Dashboard_Database"/>
      <sheetName val="graph_SOP"/>
      <sheetName val="13_GRR_ND2"/>
      <sheetName val="ALL_PARTS_PRICE_LIST3"/>
      <sheetName val="Sept_BF"/>
      <sheetName val="10_Year_Forecast"/>
      <sheetName val="024_SGM980_GBOX_+_KBOLSTER"/>
      <sheetName val="Price_List"/>
      <sheetName val="G_1R-Shou_COP_Gf"/>
      <sheetName val="GIFS_Data"/>
      <sheetName val="Attendee_List"/>
      <sheetName val="Rates_and_Tarrifs"/>
      <sheetName val="Page_0"/>
      <sheetName val="Table_of_contents"/>
      <sheetName val="VL_PBT"/>
      <sheetName val="Act__Bud__FIB_2004"/>
      <sheetName val="Parametres_04"/>
      <sheetName val="MPL_技連"/>
      <sheetName val="342E_BLOCK"/>
      <sheetName val="Reference_data"/>
      <sheetName val="Section_1-RFQ"/>
      <sheetName val="PA_191"/>
      <sheetName val="Status_&amp;_Aufträge"/>
      <sheetName val="a-und_b-Preise_1"/>
      <sheetName val="heutige_Lieferbeziehungen"/>
      <sheetName val="COMPARISON_SHEET_(Audi)"/>
      <sheetName val="LONGTERM_SHEET_(Audi)"/>
      <sheetName val="RECOMMENDATION_SHEET_(Audi)"/>
      <sheetName val="a-und_b-Preise_2"/>
      <sheetName val="Vorbereitende_Eing__(Teil_1)"/>
      <sheetName val="BIDDERS_LIST_(1)"/>
      <sheetName val="COMPARISON_SHEET_(1)"/>
      <sheetName val="LONGTERM_SHEET_(1)"/>
      <sheetName val="RECOMMENDATION_SHEET_(1)"/>
      <sheetName val="Teilepreise_&amp;_PT-Kosten_(1)"/>
      <sheetName val="Barwertberechnung_(1)"/>
      <sheetName val="Vorbereitende_Eing__(Teil_2)"/>
      <sheetName val="BIDDERS_LIST_(2)"/>
      <sheetName val="COMPARISON_SHEET_(2)"/>
      <sheetName val="LONGTERM_SHEET_(2)"/>
      <sheetName val="RECOMMENDATION_SHEET_(2)"/>
      <sheetName val="Teilepreise_&amp;_PT-Kosten_(2)"/>
      <sheetName val="Barwertberechnung_(2)"/>
      <sheetName val="Vorbereitende_Eing__(Teil_3)"/>
      <sheetName val="BIDDERS_LIST_(3)"/>
      <sheetName val="COMPARISON_SHEET_(3)"/>
      <sheetName val="LONGTERM_SHEET_(3)"/>
      <sheetName val="RECOMMENDATION_SHEET_(3)"/>
      <sheetName val="Teilepreise_&amp;_PT-Kosten_(3)"/>
      <sheetName val="Barwertberechnung_(3)"/>
      <sheetName val="Vorbereitende_Eing__(Teil_4)"/>
      <sheetName val="BIDDERS_LIST_(4)"/>
      <sheetName val="COMPARISON_SHEET_(4)"/>
      <sheetName val="LONGTERM_SHEET_(4)"/>
      <sheetName val="RECOMMENDATION_SHEET_(4)"/>
      <sheetName val="Teilepreise_&amp;_PT-Kosten_(4)"/>
      <sheetName val="Barwertberechnung_(4)"/>
      <sheetName val="Vorbereitende_Eing__(Teil_5)"/>
      <sheetName val="BIDDERS_LIST_(5)"/>
      <sheetName val="COMPARISON_SHEET_(5)"/>
      <sheetName val="LONGTERM_SHEET_(5)"/>
      <sheetName val="RECOMMENDATION_SHEET_(5)"/>
      <sheetName val="Teilepreise_&amp;_PT-Kosten_(5)"/>
      <sheetName val="Barwertberechnung_(5)"/>
      <sheetName val="v_a-und_b-Preise"/>
      <sheetName val="Plausibilität_Target"/>
      <sheetName val="v_Vorbereitende_Eing__(Teil_1)"/>
      <sheetName val="v_BIDDERS_LIST_(1)"/>
      <sheetName val="v_COMPARISON_SHEET_(1)"/>
      <sheetName val="v_LONGTERM_SHEET_(1)"/>
      <sheetName val="v_RECOMMENDATION_SHEET_(1)"/>
      <sheetName val="v_Teilepreise_&amp;_PT-Kosten_(1)"/>
      <sheetName val="v_Barwertberechnung_(1)"/>
      <sheetName val="BOM_Compile"/>
      <sheetName val="CBA_Load"/>
      <sheetName val="SG&amp;A,_INDL"/>
      <sheetName val="Tool,_PC"/>
      <sheetName val="Start_Here"/>
      <sheetName val="31_12_03"/>
      <sheetName val="Burden_Rates"/>
      <sheetName val="POWER_ASSUMPTIONS"/>
      <sheetName val="Page_39"/>
      <sheetName val="Page_26"/>
      <sheetName val="Page_31"/>
      <sheetName val="Page_8"/>
      <sheetName val="Sales_Ranking_by_Manufactures"/>
      <sheetName val="Cost_Walk"/>
      <sheetName val="IST_ACTUAL_EUR"/>
      <sheetName val="INVESTMENTS_NON_AP"/>
      <sheetName val="Plant_Data"/>
      <sheetName val="Page_15"/>
      <sheetName val="Non_quality_costs"/>
      <sheetName val="Page_20"/>
      <sheetName val="Page_42"/>
      <sheetName val="Page_21"/>
      <sheetName val="Page_24"/>
      <sheetName val="Page_25"/>
      <sheetName val="Page_30"/>
      <sheetName val="CUSTOMER_(DETAIL)"/>
      <sheetName val="Sheet1_(3)"/>
      <sheetName val="variable_1"/>
      <sheetName val="Page_14-A"/>
      <sheetName val="Total_Mkt"/>
      <sheetName val="Ind_Labor_Cost"/>
      <sheetName val="Dir_Labor_Cost"/>
      <sheetName val="진행_DATA_(2)"/>
      <sheetName val="1_20"/>
      <sheetName val="03_Transportation_Quoting"/>
      <sheetName val="HVL_Cost_Study"/>
      <sheetName val="Inv_S"/>
      <sheetName val="EN114_&amp;_SN95"/>
      <sheetName val="Target_Cascade"/>
      <sheetName val="Auto_Trans_Total_F&amp;T_"/>
      <sheetName val="Manual_Trans_Total_F&amp;T"/>
      <sheetName val="V_Engine_Mfg_Process"/>
      <sheetName val="FULL_BOM"/>
      <sheetName val="After_Sales_Supplier_#'s"/>
      <sheetName val="Apr_(1)_3_of_3"/>
      <sheetName val="Page_1"/>
      <sheetName val="14-Labor_Cost"/>
      <sheetName val="Change_Log6"/>
      <sheetName val="Input_Sheet6"/>
      <sheetName val="Dashboard_Database3"/>
      <sheetName val="graph_SOP3"/>
      <sheetName val="13_GRR_ND5"/>
      <sheetName val="ALL_PARTS_PRICE_LIST6"/>
      <sheetName val="Sept_BF3"/>
      <sheetName val="10_Year_Forecast3"/>
      <sheetName val="024_SGM980_GBOX_+_KBOLSTER3"/>
      <sheetName val="Price_List3"/>
      <sheetName val="G_1R-Shou_COP_Gf3"/>
      <sheetName val="GIFS_Data3"/>
      <sheetName val="Attendee_List3"/>
      <sheetName val="Rates_and_Tarrifs3"/>
      <sheetName val="Page_03"/>
      <sheetName val="Table_of_contents3"/>
      <sheetName val="VL_PBT3"/>
      <sheetName val="Act__Bud__FIB_20043"/>
      <sheetName val="Parametres_043"/>
      <sheetName val="MPL_技連3"/>
      <sheetName val="342E_BLOCK3"/>
      <sheetName val="Reference_data3"/>
      <sheetName val="31_12_033"/>
      <sheetName val="Section_1-RFQ3"/>
      <sheetName val="PA_1913"/>
      <sheetName val="Status_&amp;_Aufträge3"/>
      <sheetName val="a-und_b-Preise_13"/>
      <sheetName val="heutige_Lieferbeziehungen3"/>
      <sheetName val="COMPARISON_SHEET_(Audi)3"/>
      <sheetName val="LONGTERM_SHEET_(Audi)3"/>
      <sheetName val="RECOMMENDATION_SHEET_(Audi)3"/>
      <sheetName val="a-und_b-Preise_23"/>
      <sheetName val="Vorbereitende_Eing__(Teil_1)3"/>
      <sheetName val="BIDDERS_LIST_(1)3"/>
      <sheetName val="COMPARISON_SHEET_(1)3"/>
      <sheetName val="LONGTERM_SHEET_(1)3"/>
      <sheetName val="RECOMMENDATION_SHEET_(1)3"/>
      <sheetName val="Teilepreise_&amp;_PT-Kosten_(1)3"/>
      <sheetName val="Barwertberechnung_(1)3"/>
      <sheetName val="Vorbereitende_Eing__(Teil_2)3"/>
      <sheetName val="BIDDERS_LIST_(2)3"/>
      <sheetName val="COMPARISON_SHEET_(2)3"/>
      <sheetName val="LONGTERM_SHEET_(2)3"/>
      <sheetName val="RECOMMENDATION_SHEET_(2)3"/>
      <sheetName val="Teilepreise_&amp;_PT-Kosten_(2)3"/>
      <sheetName val="Barwertberechnung_(2)3"/>
      <sheetName val="Vorbereitende_Eing__(Teil_3)3"/>
      <sheetName val="BIDDERS_LIST_(3)3"/>
      <sheetName val="Change_Log4"/>
      <sheetName val="Input_Sheet4"/>
      <sheetName val="Dashboard_Database1"/>
      <sheetName val="graph_SOP1"/>
      <sheetName val="13_GRR_ND3"/>
      <sheetName val="ALL_PARTS_PRICE_LIST4"/>
      <sheetName val="Sept_BF1"/>
      <sheetName val="10_Year_Forecast1"/>
      <sheetName val="024_SGM980_GBOX_+_KBOLSTER1"/>
      <sheetName val="Price_List1"/>
      <sheetName val="G_1R-Shou_COP_Gf1"/>
      <sheetName val="GIFS_Data1"/>
      <sheetName val="Attendee_List1"/>
      <sheetName val="Rates_and_Tarrifs1"/>
      <sheetName val="Page_01"/>
      <sheetName val="Table_of_contents1"/>
      <sheetName val="VL_PBT1"/>
      <sheetName val="Act__Bud__FIB_20041"/>
      <sheetName val="Parametres_041"/>
      <sheetName val="MPL_技連1"/>
      <sheetName val="342E_BLOCK1"/>
      <sheetName val="Reference_data1"/>
      <sheetName val="Section_1-RFQ1"/>
      <sheetName val="PA_1911"/>
      <sheetName val="Status_&amp;_Aufträge1"/>
      <sheetName val="a-und_b-Preise_11"/>
      <sheetName val="heutige_Lieferbeziehungen1"/>
      <sheetName val="COMPARISON_SHEET_(Audi)1"/>
      <sheetName val="LONGTERM_SHEET_(Audi)1"/>
      <sheetName val="RECOMMENDATION_SHEET_(Audi)1"/>
      <sheetName val="a-und_b-Preise_21"/>
      <sheetName val="Vorbereitende_Eing__(Teil_1)1"/>
      <sheetName val="BIDDERS_LIST_(1)1"/>
      <sheetName val="COMPARISON_SHEET_(1)1"/>
      <sheetName val="LONGTERM_SHEET_(1)1"/>
      <sheetName val="RECOMMENDATION_SHEET_(1)1"/>
      <sheetName val="Teilepreise_&amp;_PT-Kosten_(1)1"/>
      <sheetName val="Barwertberechnung_(1)1"/>
      <sheetName val="Vorbereitende_Eing__(Teil_2)1"/>
      <sheetName val="BIDDERS_LIST_(2)1"/>
      <sheetName val="COMPARISON_SHEET_(2)1"/>
      <sheetName val="LONGTERM_SHEET_(2)1"/>
      <sheetName val="RECOMMENDATION_SHEET_(2)1"/>
      <sheetName val="Teilepreise_&amp;_PT-Kosten_(2)1"/>
      <sheetName val="Barwertberechnung_(2)1"/>
      <sheetName val="Vorbereitende_Eing__(Teil_3)1"/>
      <sheetName val="BIDDERS_LIST_(3)1"/>
      <sheetName val="COMPARISON_SHEET_(3)1"/>
      <sheetName val="LONGTERM_SHEET_(3)1"/>
      <sheetName val="RECOMMENDATION_SHEET_(3)1"/>
      <sheetName val="Teilepreise_&amp;_PT-Kosten_(3)1"/>
      <sheetName val="Barwertberechnung_(3)1"/>
      <sheetName val="Vorbereitende_Eing__(Teil_4)1"/>
      <sheetName val="BIDDERS_LIST_(4)1"/>
      <sheetName val="COMPARISON_SHEET_(4)1"/>
      <sheetName val="LONGTERM_SHEET_(4)1"/>
      <sheetName val="RECOMMENDATION_SHEET_(4)1"/>
      <sheetName val="Teilepreise_&amp;_PT-Kosten_(4)1"/>
      <sheetName val="Barwertberechnung_(4)1"/>
      <sheetName val="Vorbereitende_Eing__(Teil_5)1"/>
      <sheetName val="BIDDERS_LIST_(5)1"/>
      <sheetName val="COMPARISON_SHEET_(5)1"/>
      <sheetName val="LONGTERM_SHEET_(5)1"/>
      <sheetName val="RECOMMENDATION_SHEET_(5)1"/>
      <sheetName val="Teilepreise_&amp;_PT-Kosten_(5)1"/>
      <sheetName val="Barwertberechnung_(5)1"/>
      <sheetName val="v_a-und_b-Preise1"/>
      <sheetName val="Plausibilität_Target1"/>
      <sheetName val="v_Vorbereitende_Eing__(Teil_1)1"/>
      <sheetName val="v_BIDDERS_LIST_(1)1"/>
      <sheetName val="v_COMPARISON_SHEET_(1)1"/>
      <sheetName val="v_LONGTERM_SHEET_(1)1"/>
      <sheetName val="v_RECOMMENDATION_SHEET_(1)1"/>
      <sheetName val="v_Teilepreise_&amp;_PT-Kosten_(1)1"/>
      <sheetName val="v_Barwertberechnung_(1)1"/>
      <sheetName val="BOM_Compile1"/>
      <sheetName val="CBA_Load1"/>
      <sheetName val="SG&amp;A,_INDL1"/>
      <sheetName val="Tool,_PC1"/>
      <sheetName val="Start_Here1"/>
      <sheetName val="31_12_031"/>
      <sheetName val="Burden_Rates1"/>
      <sheetName val="POWER_ASSUMPTIONS1"/>
      <sheetName val="Page_391"/>
      <sheetName val="Page_261"/>
      <sheetName val="Page_311"/>
      <sheetName val="Page_81"/>
      <sheetName val="Change_Log5"/>
      <sheetName val="Input_Sheet5"/>
      <sheetName val="Dashboard_Database2"/>
      <sheetName val="graph_SOP2"/>
      <sheetName val="13_GRR_ND4"/>
      <sheetName val="ALL_PARTS_PRICE_LIST5"/>
      <sheetName val="Sept_BF2"/>
      <sheetName val="10_Year_Forecast2"/>
      <sheetName val="024_SGM980_GBOX_+_KBOLSTER2"/>
      <sheetName val="Price_List2"/>
      <sheetName val="G_1R-Shou_COP_Gf2"/>
      <sheetName val="GIFS_Data2"/>
      <sheetName val="Attendee_List2"/>
      <sheetName val="Rates_and_Tarrifs2"/>
      <sheetName val="Page_02"/>
      <sheetName val="Table_of_contents2"/>
      <sheetName val="VL_PBT2"/>
      <sheetName val="Act__Bud__FIB_20042"/>
      <sheetName val="Parametres_042"/>
      <sheetName val="MPL_技連2"/>
      <sheetName val="342E_BLOCK2"/>
      <sheetName val="Reference_data2"/>
      <sheetName val="31_12_032"/>
      <sheetName val="Section_1-RFQ2"/>
      <sheetName val="PA_1912"/>
      <sheetName val="Status_&amp;_Aufträge2"/>
      <sheetName val="a-und_b-Preise_12"/>
      <sheetName val="heutige_Lieferbeziehungen2"/>
      <sheetName val="COMPARISON_SHEET_(Audi)2"/>
      <sheetName val="LONGTERM_SHEET_(Audi)2"/>
      <sheetName val="RECOMMENDATION_SHEET_(Audi)2"/>
      <sheetName val="a-und_b-Preise_22"/>
      <sheetName val="Vorbereitende_Eing__(Teil_1)2"/>
      <sheetName val="BIDDERS_LIST_(1)2"/>
      <sheetName val="COMPARISON_SHEET_(1)2"/>
      <sheetName val="LONGTERM_SHEET_(1)2"/>
      <sheetName val="RECOMMENDATION_SHEET_(1)2"/>
      <sheetName val="Teilepreise_&amp;_PT-Kosten_(1)2"/>
      <sheetName val="Barwertberechnung_(1)2"/>
      <sheetName val="Vorbereitende_Eing__(Teil_2)2"/>
      <sheetName val="BIDDERS_LIST_(2)2"/>
      <sheetName val="COMPARISON_SHEET_(2)2"/>
      <sheetName val="LONGTERM_SHEET_(2)2"/>
      <sheetName val="RECOMMENDATION_SHEET_(2)2"/>
      <sheetName val="Teilepreise_&amp;_PT-Kosten_(2)2"/>
      <sheetName val="Barwertberechnung_(2)2"/>
      <sheetName val="Vorbereitende_Eing__(Teil_3)2"/>
      <sheetName val="BIDDERS_LIST_(3)2"/>
      <sheetName val="COMPARISON_SHEET_(3)2"/>
      <sheetName val="LONGTERM_SHEET_(3)2"/>
      <sheetName val="RECOMMENDATION_SHEET_(3)2"/>
      <sheetName val="Teilepreise_&amp;_PT-Kosten_(3)2"/>
      <sheetName val="Barwertberechnung_(3)2"/>
      <sheetName val="Vorbereitende_Eing__(Teil_4)2"/>
      <sheetName val="BIDDERS_LIST_(4)2"/>
      <sheetName val="COMPARISON_SHEET_(4)2"/>
      <sheetName val="LONGTERM_SHEET_(4)2"/>
      <sheetName val="RECOMMENDATION_SHEET_(4)2"/>
      <sheetName val="Teilepreise_&amp;_PT-Kosten_(4)2"/>
      <sheetName val="Barwertberechnung_(4)2"/>
      <sheetName val="Vorbereitende_Eing__(Teil_5)2"/>
      <sheetName val="BIDDERS_LIST_(5)2"/>
      <sheetName val="COMPARISON_SHEET_(5)2"/>
      <sheetName val="LONGTERM_SHEET_(5)2"/>
      <sheetName val="RECOMMENDATION_SHEET_(5)2"/>
      <sheetName val="Teilepreise_&amp;_PT-Kosten_(5)2"/>
      <sheetName val="Barwertberechnung_(5)2"/>
      <sheetName val="v_a-und_b-Preise2"/>
      <sheetName val="Plausibilität_Target2"/>
      <sheetName val="v_Vorbereitende_Eing__(Teil_1)2"/>
      <sheetName val="v_BIDDERS_LIST_(1)2"/>
      <sheetName val="v_COMPARISON_SHEET_(1)2"/>
      <sheetName val="v_LONGTERM_SHEET_(1)2"/>
      <sheetName val="v_RECOMMENDATION_SHEET_(1)2"/>
      <sheetName val="v_Teilepreise_&amp;_PT-Kosten_(1)2"/>
      <sheetName val="v_Barwertberechnung_(1)2"/>
      <sheetName val="BOM_Compile2"/>
      <sheetName val="CBA_Load2"/>
      <sheetName val="SG&amp;A,_INDL2"/>
      <sheetName val="Tool,_PC2"/>
      <sheetName val="Start_Here2"/>
      <sheetName val="Burden_Rates2"/>
      <sheetName val="POWER_ASSUMPTIONS2"/>
      <sheetName val="Page_392"/>
      <sheetName val="Page_262"/>
      <sheetName val="Page_312"/>
      <sheetName val="Page_82"/>
      <sheetName val="Sales_Ranking_by_Manufactures1"/>
      <sheetName val="Cost_Walk1"/>
      <sheetName val="IST_ACTUAL_EUR1"/>
      <sheetName val="INVESTMENTS_NON_AP1"/>
      <sheetName val="Plant_Data1"/>
      <sheetName val="Page_151"/>
      <sheetName val="Non_quality_costs1"/>
      <sheetName val="Page_201"/>
      <sheetName val="Page_421"/>
      <sheetName val="Page_211"/>
      <sheetName val="Page_241"/>
      <sheetName val="Page_251"/>
      <sheetName val="Page_301"/>
      <sheetName val="CUSTOMER_(DETAIL)1"/>
      <sheetName val="Sheet1_(3)1"/>
      <sheetName val="variable_11"/>
      <sheetName val="Page_14-A1"/>
      <sheetName val="Total_Mkt1"/>
      <sheetName val="1_201"/>
      <sheetName val="03_Transportation_Quoting1"/>
      <sheetName val="진행_DATA_(2)1"/>
      <sheetName val="Ind_Labor_Cost1"/>
      <sheetName val="Dir_Labor_Cost1"/>
      <sheetName val="Change_Log7"/>
      <sheetName val="Input_Sheet7"/>
      <sheetName val="Dashboard_Database4"/>
      <sheetName val="graph_SOP4"/>
      <sheetName val="13_GRR_ND6"/>
      <sheetName val="ALL_PARTS_PRICE_LIST7"/>
      <sheetName val="Sept_BF4"/>
      <sheetName val="10_Year_Forecast4"/>
      <sheetName val="024_SGM980_GBOX_+_KBOLSTER4"/>
      <sheetName val="Price_List4"/>
      <sheetName val="G_1R-Shou_COP_Gf4"/>
      <sheetName val="GIFS_Data4"/>
      <sheetName val="Attendee_List4"/>
      <sheetName val="Rates_and_Tarrifs4"/>
      <sheetName val="Page_04"/>
      <sheetName val="Table_of_contents4"/>
      <sheetName val="VL_PBT4"/>
      <sheetName val="Act__Bud__FIB_20044"/>
      <sheetName val="Parametres_044"/>
      <sheetName val="MPL_技連4"/>
      <sheetName val="342E_BLOCK4"/>
      <sheetName val="Reference_data4"/>
      <sheetName val="31_12_034"/>
      <sheetName val="Section_1-RFQ4"/>
      <sheetName val="PA_1914"/>
      <sheetName val="Status_&amp;_Aufträge4"/>
      <sheetName val="a-und_b-Preise_14"/>
      <sheetName val="heutige_Lieferbeziehungen4"/>
      <sheetName val="COMPARISON_SHEET_(Audi)4"/>
      <sheetName val="LONGTERM_SHEET_(Audi)4"/>
      <sheetName val="RECOMMENDATION_SHEET_(Audi)4"/>
      <sheetName val="a-und_b-Preise_24"/>
      <sheetName val="Vorbereitende_Eing__(Teil_1)4"/>
      <sheetName val="BIDDERS_LIST_(1)4"/>
      <sheetName val="COMPARISON_SHEET_(1)4"/>
      <sheetName val="LONGTERM_SHEET_(1)4"/>
      <sheetName val="RECOMMENDATION_SHEET_(1)4"/>
      <sheetName val="Teilepreise_&amp;_PT-Kosten_(1)4"/>
      <sheetName val="Barwertberechnung_(1)4"/>
      <sheetName val="Vorbereitende_Eing__(Teil_2)4"/>
      <sheetName val="BIDDERS_LIST_(2)4"/>
      <sheetName val="COMPARISON_SHEET_(2)4"/>
      <sheetName val="LONGTERM_SHEET_(2)4"/>
      <sheetName val="RECOMMENDATION_SHEET_(2)4"/>
      <sheetName val="Teilepreise_&amp;_PT-Kosten_(2)4"/>
      <sheetName val="Barwertberechnung_(2)4"/>
      <sheetName val="Vorbereitende_Eing__(Teil_3)4"/>
      <sheetName val="BIDDERS_LIST_(3)4"/>
      <sheetName val="COMPARISON_SHEET_(3)4"/>
      <sheetName val="LONGTERM_SHEET_(3)4"/>
      <sheetName val="RECOMMENDATION_SHEET_(3)4"/>
      <sheetName val="Teilepreise_&amp;_PT-Kosten_(3)4"/>
      <sheetName val="Barwertberechnung_(3)4"/>
      <sheetName val="Vorbereitende_Eing__(Teil_4)4"/>
      <sheetName val="BIDDERS_LIST_(4)4"/>
      <sheetName val="COMPARISON_SHEET_(4)4"/>
      <sheetName val="LONGTERM_SHEET_(4)4"/>
      <sheetName val="RECOMMENDATION_SHEET_(4)4"/>
      <sheetName val="Teilepreise_&amp;_PT-Kosten_(4)4"/>
      <sheetName val="Barwertberechnung_(4)4"/>
      <sheetName val="Vorbereitende_Eing__(Teil_5)4"/>
      <sheetName val="BIDDERS_LIST_(5)4"/>
      <sheetName val="COMPARISON_SHEET_(5)4"/>
      <sheetName val="LONGTERM_SHEET_(5)4"/>
      <sheetName val="RECOMMENDATION_SHEET_(5)4"/>
      <sheetName val="Teilepreise_&amp;_PT-Kosten_(5)4"/>
      <sheetName val="Barwertberechnung_(5)4"/>
      <sheetName val="v_a-und_b-Preise4"/>
      <sheetName val="Plausibilität_Target4"/>
      <sheetName val="v_Vorbereitende_Eing__(Teil_1)4"/>
      <sheetName val="v_BIDDERS_LIST_(1)4"/>
      <sheetName val="v_COMPARISON_SHEET_(1)4"/>
      <sheetName val="v_LONGTERM_SHEET_(1)4"/>
      <sheetName val="v_RECOMMENDATION_SHEET_(1)4"/>
      <sheetName val="v_Teilepreise_&amp;_PT-Kosten_(1)4"/>
      <sheetName val="v_Barwertberechnung_(1)4"/>
      <sheetName val="BOM_Compile4"/>
      <sheetName val="CBA_Load4"/>
      <sheetName val="SG&amp;A,_INDL4"/>
      <sheetName val="Tool,_PC4"/>
      <sheetName val="Start_Here4"/>
      <sheetName val="Burden_Rates4"/>
      <sheetName val="POWER_ASSUMPTIONS4"/>
      <sheetName val="Page_394"/>
      <sheetName val="Page_264"/>
      <sheetName val="Page_314"/>
      <sheetName val="Page_84"/>
      <sheetName val="Cost_Walk3"/>
      <sheetName val="1_203"/>
      <sheetName val="03_Transportation_Quoting3"/>
      <sheetName val="Sales_Ranking_by_Manufactures3"/>
      <sheetName val="Plant_Data3"/>
      <sheetName val="Page_153"/>
      <sheetName val="Non_quality_costs3"/>
      <sheetName val="Page_203"/>
      <sheetName val="Page_423"/>
      <sheetName val="Page_213"/>
      <sheetName val="Page_243"/>
      <sheetName val="Page_253"/>
      <sheetName val="Page_303"/>
      <sheetName val="IST_ACTUAL_EUR3"/>
      <sheetName val="INVESTMENTS_NON_AP3"/>
      <sheetName val="CUSTOMER_(DETAIL)3"/>
      <sheetName val="Sheet1_(3)3"/>
      <sheetName val="variable_13"/>
      <sheetName val="Page_14-A3"/>
      <sheetName val="Total_Mkt3"/>
      <sheetName val="진행_DATA_(2)3"/>
      <sheetName val="Ind_Labor_Cost3"/>
      <sheetName val="Dir_Labor_Cost3"/>
      <sheetName val="HVL_Cost_Study2"/>
      <sheetName val="Inv_S2"/>
      <sheetName val="EN114_&amp;_SN952"/>
      <sheetName val="Target_Cascade2"/>
      <sheetName val="Auto_Trans_Total_F&amp;T_2"/>
      <sheetName val="Manual_Trans_Total_F&amp;T2"/>
      <sheetName val="V_Engine_Mfg_Process2"/>
      <sheetName val="FULL_BOM2"/>
      <sheetName val="After_Sales_Supplier_#'s2"/>
      <sheetName val="Apr_(1)_3_of_32"/>
      <sheetName val="Page_12"/>
      <sheetName val="14-Labor_Cost2"/>
      <sheetName val="COMPARISON_SHEET_(3)3"/>
      <sheetName val="LONGTERM_SHEET_(3)3"/>
      <sheetName val="RECOMMENDATION_SHEET_(3)3"/>
      <sheetName val="Teilepreise_&amp;_PT-Kosten_(3)3"/>
      <sheetName val="Barwertberechnung_(3)3"/>
      <sheetName val="Vorbereitende_Eing__(Teil_4)3"/>
      <sheetName val="BIDDERS_LIST_(4)3"/>
      <sheetName val="COMPARISON_SHEET_(4)3"/>
      <sheetName val="LONGTERM_SHEET_(4)3"/>
      <sheetName val="RECOMMENDATION_SHEET_(4)3"/>
      <sheetName val="Teilepreise_&amp;_PT-Kosten_(4)3"/>
      <sheetName val="Barwertberechnung_(4)3"/>
      <sheetName val="Vorbereitende_Eing__(Teil_5)3"/>
      <sheetName val="BIDDERS_LIST_(5)3"/>
      <sheetName val="COMPARISON_SHEET_(5)3"/>
      <sheetName val="LONGTERM_SHEET_(5)3"/>
      <sheetName val="RECOMMENDATION_SHEET_(5)3"/>
      <sheetName val="Teilepreise_&amp;_PT-Kosten_(5)3"/>
      <sheetName val="Barwertberechnung_(5)3"/>
      <sheetName val="v_a-und_b-Preise3"/>
      <sheetName val="Plausibilität_Target3"/>
      <sheetName val="v_Vorbereitende_Eing__(Teil_1)3"/>
      <sheetName val="v_BIDDERS_LIST_(1)3"/>
      <sheetName val="v_COMPARISON_SHEET_(1)3"/>
      <sheetName val="v_LONGTERM_SHEET_(1)3"/>
      <sheetName val="v_RECOMMENDATION_SHEET_(1)3"/>
      <sheetName val="v_Teilepreise_&amp;_PT-Kosten_(1)3"/>
      <sheetName val="v_Barwertberechnung_(1)3"/>
      <sheetName val="BOM_Compile3"/>
      <sheetName val="CBA_Load3"/>
      <sheetName val="SG&amp;A,_INDL3"/>
      <sheetName val="Tool,_PC3"/>
      <sheetName val="Start_Here3"/>
      <sheetName val="Burden_Rates3"/>
      <sheetName val="POWER_ASSUMPTIONS3"/>
      <sheetName val="Page_393"/>
      <sheetName val="Page_263"/>
      <sheetName val="Page_313"/>
      <sheetName val="Page_83"/>
      <sheetName val="Cost_Walk2"/>
      <sheetName val="1_202"/>
      <sheetName val="03_Transportation_Quoting2"/>
      <sheetName val="Sales_Ranking_by_Manufactures2"/>
      <sheetName val="Plant_Data2"/>
      <sheetName val="Page_152"/>
      <sheetName val="Non_quality_costs2"/>
      <sheetName val="Page_202"/>
      <sheetName val="Page_422"/>
      <sheetName val="Page_212"/>
      <sheetName val="Page_242"/>
      <sheetName val="Page_252"/>
      <sheetName val="Page_302"/>
      <sheetName val="IST_ACTUAL_EUR2"/>
      <sheetName val="INVESTMENTS_NON_AP2"/>
      <sheetName val="CUSTOMER_(DETAIL)2"/>
      <sheetName val="Sheet1_(3)2"/>
      <sheetName val="variable_12"/>
      <sheetName val="Page_14-A2"/>
      <sheetName val="Total_Mkt2"/>
      <sheetName val="진행_DATA_(2)2"/>
      <sheetName val="Ind_Labor_Cost2"/>
      <sheetName val="Dir_Labor_Cost2"/>
      <sheetName val="HVL_Cost_Study1"/>
      <sheetName val="Inv_S1"/>
      <sheetName val="EN114_&amp;_SN951"/>
      <sheetName val="Target_Cascade1"/>
      <sheetName val="Auto_Trans_Total_F&amp;T_1"/>
      <sheetName val="Manual_Trans_Total_F&amp;T1"/>
      <sheetName val="V_Engine_Mfg_Process1"/>
      <sheetName val="FULL_BOM1"/>
      <sheetName val="After_Sales_Supplier_#'s1"/>
      <sheetName val="Apr_(1)_3_of_31"/>
      <sheetName val="Page_11"/>
      <sheetName val="14-Labor_Cost1"/>
      <sheetName val="Change_Log8"/>
      <sheetName val="Input_Sheet8"/>
      <sheetName val="Dashboard_Database5"/>
      <sheetName val="graph_SOP5"/>
      <sheetName val="13_GRR_ND7"/>
      <sheetName val="ALL_PARTS_PRICE_LIST8"/>
      <sheetName val="Sept_BF5"/>
      <sheetName val="10_Year_Forecast5"/>
      <sheetName val="024_SGM980_GBOX_+_KBOLSTER5"/>
      <sheetName val="Price_List5"/>
      <sheetName val="G_1R-Shou_COP_Gf5"/>
      <sheetName val="GIFS_Data5"/>
      <sheetName val="Attendee_List5"/>
      <sheetName val="Rates_and_Tarrifs5"/>
      <sheetName val="Page_05"/>
      <sheetName val="Table_of_contents5"/>
      <sheetName val="VL_PBT5"/>
      <sheetName val="Act__Bud__FIB_20045"/>
      <sheetName val="Parametres_045"/>
      <sheetName val="MPL_技連5"/>
      <sheetName val="342E_BLOCK5"/>
      <sheetName val="Reference_data5"/>
      <sheetName val="31_12_035"/>
      <sheetName val="Section_1-RFQ5"/>
      <sheetName val="PA_1915"/>
      <sheetName val="Status_&amp;_Aufträge5"/>
      <sheetName val="a-und_b-Preise_15"/>
      <sheetName val="heutige_Lieferbeziehungen5"/>
      <sheetName val="COMPARISON_SHEET_(Audi)5"/>
      <sheetName val="LONGTERM_SHEET_(Audi)5"/>
      <sheetName val="RECOMMENDATION_SHEET_(Audi)5"/>
      <sheetName val="a-und_b-Preise_25"/>
      <sheetName val="Vorbereitende_Eing__(Teil_1)5"/>
      <sheetName val="BIDDERS_LIST_(1)5"/>
      <sheetName val="COMPARISON_SHEET_(1)5"/>
      <sheetName val="LONGTERM_SHEET_(1)5"/>
      <sheetName val="RECOMMENDATION_SHEET_(1)5"/>
      <sheetName val="Teilepreise_&amp;_PT-Kosten_(1)5"/>
      <sheetName val="Barwertberechnung_(1)5"/>
      <sheetName val="Vorbereitende_Eing__(Teil_2)5"/>
      <sheetName val="BIDDERS_LIST_(2)5"/>
      <sheetName val="COMPARISON_SHEET_(2)5"/>
      <sheetName val="LONGTERM_SHEET_(2)5"/>
      <sheetName val="RECOMMENDATION_SHEET_(2)5"/>
      <sheetName val="Teilepreise_&amp;_PT-Kosten_(2)5"/>
      <sheetName val="Barwertberechnung_(2)5"/>
      <sheetName val="Vorbereitende_Eing__(Teil_3)5"/>
      <sheetName val="BIDDERS_LIST_(3)5"/>
      <sheetName val="COMPARISON_SHEET_(3)5"/>
      <sheetName val="LONGTERM_SHEET_(3)5"/>
      <sheetName val="RECOMMENDATION_SHEET_(3)5"/>
      <sheetName val="Teilepreise_&amp;_PT-Kosten_(3)5"/>
      <sheetName val="Barwertberechnung_(3)5"/>
      <sheetName val="Vorbereitende_Eing__(Teil_4)5"/>
      <sheetName val="BIDDERS_LIST_(4)5"/>
      <sheetName val="COMPARISON_SHEET_(4)5"/>
      <sheetName val="LONGTERM_SHEET_(4)5"/>
      <sheetName val="RECOMMENDATION_SHEET_(4)5"/>
      <sheetName val="Teilepreise_&amp;_PT-Kosten_(4)5"/>
      <sheetName val="Barwertberechnung_(4)5"/>
      <sheetName val="Vorbereitende_Eing__(Teil_5)5"/>
      <sheetName val="BIDDERS_LIST_(5)5"/>
      <sheetName val="COMPARISON_SHEET_(5)5"/>
      <sheetName val="LONGTERM_SHEET_(5)5"/>
      <sheetName val="RECOMMENDATION_SHEET_(5)5"/>
      <sheetName val="Teilepreise_&amp;_PT-Kosten_(5)5"/>
      <sheetName val="Barwertberechnung_(5)5"/>
      <sheetName val="v_a-und_b-Preise5"/>
      <sheetName val="Plausibilität_Target5"/>
      <sheetName val="v_Vorbereitende_Eing__(Teil_1)5"/>
      <sheetName val="v_BIDDERS_LIST_(1)5"/>
      <sheetName val="v_COMPARISON_SHEET_(1)5"/>
      <sheetName val="v_LONGTERM_SHEET_(1)5"/>
      <sheetName val="v_RECOMMENDATION_SHEET_(1)5"/>
      <sheetName val="v_Teilepreise_&amp;_PT-Kosten_(1)5"/>
      <sheetName val="v_Barwertberechnung_(1)5"/>
      <sheetName val="BOM_Compile5"/>
      <sheetName val="CBA_Load5"/>
      <sheetName val="SG&amp;A,_INDL5"/>
      <sheetName val="Tool,_PC5"/>
      <sheetName val="Start_Here5"/>
      <sheetName val="Burden_Rates5"/>
      <sheetName val="POWER_ASSUMPTIONS5"/>
      <sheetName val="Page_395"/>
      <sheetName val="Page_265"/>
      <sheetName val="Page_315"/>
      <sheetName val="Page_85"/>
      <sheetName val="Cost_Walk4"/>
      <sheetName val="1_204"/>
      <sheetName val="03_Transportation_Quoting4"/>
      <sheetName val="Sales_Ranking_by_Manufactures4"/>
      <sheetName val="Plant_Data4"/>
      <sheetName val="Page_154"/>
      <sheetName val="Non_quality_costs4"/>
      <sheetName val="Page_204"/>
      <sheetName val="Page_424"/>
      <sheetName val="Page_214"/>
      <sheetName val="Page_244"/>
      <sheetName val="Page_254"/>
      <sheetName val="Page_304"/>
      <sheetName val="IST_ACTUAL_EUR4"/>
      <sheetName val="INVESTMENTS_NON_AP4"/>
      <sheetName val="CUSTOMER_(DETAIL)4"/>
      <sheetName val="Sheet1_(3)4"/>
      <sheetName val="variable_14"/>
      <sheetName val="Page_14-A4"/>
      <sheetName val="Total_Mkt4"/>
      <sheetName val="진행_DATA_(2)4"/>
      <sheetName val="Ind_Labor_Cost4"/>
      <sheetName val="Dir_Labor_Cost4"/>
      <sheetName val="HVL_Cost_Study3"/>
      <sheetName val="Inv_S3"/>
      <sheetName val="EN114_&amp;_SN953"/>
      <sheetName val="Target_Cascade3"/>
      <sheetName val="Auto_Trans_Total_F&amp;T_3"/>
      <sheetName val="Manual_Trans_Total_F&amp;T3"/>
      <sheetName val="V_Engine_Mfg_Process3"/>
      <sheetName val="FULL_BOM3"/>
      <sheetName val="After_Sales_Supplier_#'s3"/>
      <sheetName val="Apr_(1)_3_of_33"/>
      <sheetName val="Page_13"/>
      <sheetName val="14-Labor_Cost3"/>
      <sheetName val="Change_Log9"/>
      <sheetName val="Input_Sheet9"/>
      <sheetName val="Dashboard_Database6"/>
      <sheetName val="graph_SOP6"/>
      <sheetName val="13_GRR_ND8"/>
      <sheetName val="ALL_PARTS_PRICE_LIST9"/>
      <sheetName val="Sept_BF6"/>
      <sheetName val="10_Year_Forecast6"/>
      <sheetName val="024_SGM980_GBOX_+_KBOLSTER6"/>
      <sheetName val="Price_List6"/>
      <sheetName val="G_1R-Shou_COP_Gf6"/>
      <sheetName val="GIFS_Data6"/>
      <sheetName val="Attendee_List6"/>
      <sheetName val="Rates_and_Tarrifs6"/>
      <sheetName val="Page_06"/>
      <sheetName val="Table_of_contents6"/>
      <sheetName val="VL_PBT6"/>
      <sheetName val="Act__Bud__FIB_20046"/>
      <sheetName val="Parametres_046"/>
      <sheetName val="MPL_技連6"/>
      <sheetName val="342E_BLOCK6"/>
      <sheetName val="Reference_data6"/>
      <sheetName val="31_12_036"/>
      <sheetName val="Section_1-RFQ6"/>
      <sheetName val="PA_1916"/>
      <sheetName val="Status_&amp;_Aufträge6"/>
      <sheetName val="a-und_b-Preise_16"/>
      <sheetName val="heutige_Lieferbeziehungen6"/>
      <sheetName val="COMPARISON_SHEET_(Audi)6"/>
      <sheetName val="LONGTERM_SHEET_(Audi)6"/>
      <sheetName val="RECOMMENDATION_SHEET_(Audi)6"/>
      <sheetName val="a-und_b-Preise_26"/>
      <sheetName val="Vorbereitende_Eing__(Teil_1)6"/>
      <sheetName val="BIDDERS_LIST_(1)6"/>
      <sheetName val="COMPARISON_SHEET_(1)6"/>
      <sheetName val="LONGTERM_SHEET_(1)6"/>
      <sheetName val="RECOMMENDATION_SHEET_(1)6"/>
      <sheetName val="Teilepreise_&amp;_PT-Kosten_(1)6"/>
      <sheetName val="Barwertberechnung_(1)6"/>
      <sheetName val="Vorbereitende_Eing__(Teil_2)6"/>
      <sheetName val="BIDDERS_LIST_(2)6"/>
      <sheetName val="COMPARISON_SHEET_(2)6"/>
      <sheetName val="LONGTERM_SHEET_(2)6"/>
      <sheetName val="RECOMMENDATION_SHEET_(2)6"/>
      <sheetName val="Teilepreise_&amp;_PT-Kosten_(2)6"/>
      <sheetName val="Barwertberechnung_(2)6"/>
      <sheetName val="Vorbereitende_Eing__(Teil_3)6"/>
      <sheetName val="BIDDERS_LIST_(3)6"/>
      <sheetName val="COMPARISON_SHEET_(3)6"/>
      <sheetName val="LONGTERM_SHEET_(3)6"/>
      <sheetName val="RECOMMENDATION_SHEET_(3)6"/>
      <sheetName val="Teilepreise_&amp;_PT-Kosten_(3)6"/>
      <sheetName val="Barwertberechnung_(3)6"/>
      <sheetName val="Vorbereitende_Eing__(Teil_4)6"/>
      <sheetName val="BIDDERS_LIST_(4)6"/>
      <sheetName val="COMPARISON_SHEET_(4)6"/>
      <sheetName val="LONGTERM_SHEET_(4)6"/>
      <sheetName val="RECOMMENDATION_SHEET_(4)6"/>
      <sheetName val="Teilepreise_&amp;_PT-Kosten_(4)6"/>
      <sheetName val="Barwertberechnung_(4)6"/>
      <sheetName val="Vorbereitende_Eing__(Teil_5)6"/>
      <sheetName val="BIDDERS_LIST_(5)6"/>
      <sheetName val="COMPARISON_SHEET_(5)6"/>
      <sheetName val="LONGTERM_SHEET_(5)6"/>
      <sheetName val="RECOMMENDATION_SHEET_(5)6"/>
      <sheetName val="Teilepreise_&amp;_PT-Kosten_(5)6"/>
      <sheetName val="Barwertberechnung_(5)6"/>
      <sheetName val="v_a-und_b-Preise6"/>
      <sheetName val="Plausibilität_Target6"/>
      <sheetName val="v_Vorbereitende_Eing__(Teil_1)6"/>
      <sheetName val="v_BIDDERS_LIST_(1)6"/>
      <sheetName val="v_COMPARISON_SHEET_(1)6"/>
      <sheetName val="v_LONGTERM_SHEET_(1)6"/>
      <sheetName val="v_RECOMMENDATION_SHEET_(1)6"/>
      <sheetName val="v_Teilepreise_&amp;_PT-Kosten_(1)6"/>
      <sheetName val="v_Barwertberechnung_(1)6"/>
      <sheetName val="BOM_Compile6"/>
      <sheetName val="CBA_Load6"/>
      <sheetName val="SG&amp;A,_INDL6"/>
      <sheetName val="Tool,_PC6"/>
      <sheetName val="Start_Here6"/>
      <sheetName val="Burden_Rates6"/>
      <sheetName val="POWER_ASSUMPTIONS6"/>
      <sheetName val="Page_396"/>
      <sheetName val="Page_266"/>
      <sheetName val="Page_316"/>
      <sheetName val="Page_86"/>
      <sheetName val="Cost_Walk5"/>
      <sheetName val="1_205"/>
      <sheetName val="03_Transportation_Quoting5"/>
      <sheetName val="Sales_Ranking_by_Manufactures5"/>
      <sheetName val="Plant_Data5"/>
      <sheetName val="Page_155"/>
      <sheetName val="Non_quality_costs5"/>
      <sheetName val="Page_205"/>
      <sheetName val="Page_425"/>
      <sheetName val="Page_215"/>
      <sheetName val="Page_245"/>
      <sheetName val="Page_255"/>
      <sheetName val="Page_305"/>
      <sheetName val="IST_ACTUAL_EUR5"/>
      <sheetName val="INVESTMENTS_NON_AP5"/>
      <sheetName val="CUSTOMER_(DETAIL)5"/>
      <sheetName val="Sheet1_(3)5"/>
      <sheetName val="variable_15"/>
      <sheetName val="Page_14-A5"/>
      <sheetName val="Total_Mkt5"/>
      <sheetName val="진행_DATA_(2)5"/>
      <sheetName val="Ind_Labor_Cost5"/>
      <sheetName val="Dir_Labor_Cost5"/>
      <sheetName val="HVL_Cost_Study4"/>
      <sheetName val="Inv_S4"/>
      <sheetName val="EN114_&amp;_SN954"/>
      <sheetName val="Target_Cascade4"/>
      <sheetName val="Auto_Trans_Total_F&amp;T_4"/>
      <sheetName val="Manual_Trans_Total_F&amp;T4"/>
      <sheetName val="V_Engine_Mfg_Process4"/>
      <sheetName val="FULL_BOM4"/>
      <sheetName val="After_Sales_Supplier_#'s4"/>
      <sheetName val="Apr_(1)_3_of_34"/>
      <sheetName val="Page_14"/>
      <sheetName val="14-Labor_Cost4"/>
      <sheetName val="Change_Log10"/>
      <sheetName val="Input_Sheet10"/>
      <sheetName val="Dashboard_Database7"/>
      <sheetName val="graph_SOP7"/>
      <sheetName val="13_GRR_ND9"/>
      <sheetName val="ALL_PARTS_PRICE_LIST10"/>
      <sheetName val="Sept_BF7"/>
      <sheetName val="10_Year_Forecast7"/>
      <sheetName val="024_SGM980_GBOX_+_KBOLSTER7"/>
      <sheetName val="Price_List7"/>
      <sheetName val="G_1R-Shou_COP_Gf7"/>
      <sheetName val="GIFS_Data7"/>
      <sheetName val="Attendee_List7"/>
      <sheetName val="Rates_and_Tarrifs7"/>
      <sheetName val="Page_07"/>
      <sheetName val="Table_of_contents7"/>
      <sheetName val="VL_PBT7"/>
      <sheetName val="Act__Bud__FIB_20047"/>
      <sheetName val="Parametres_047"/>
      <sheetName val="MPL_技連7"/>
      <sheetName val="342E_BLOCK7"/>
      <sheetName val="Reference_data7"/>
      <sheetName val="31_12_037"/>
      <sheetName val="Section_1-RFQ7"/>
      <sheetName val="PA_1917"/>
      <sheetName val="Status_&amp;_Aufträge7"/>
      <sheetName val="a-und_b-Preise_17"/>
      <sheetName val="heutige_Lieferbeziehungen7"/>
      <sheetName val="COMPARISON_SHEET_(Audi)7"/>
      <sheetName val="LONGTERM_SHEET_(Audi)7"/>
      <sheetName val="RECOMMENDATION_SHEET_(Audi)7"/>
      <sheetName val="a-und_b-Preise_27"/>
      <sheetName val="Vorbereitende_Eing__(Teil_1)7"/>
      <sheetName val="BIDDERS_LIST_(1)7"/>
      <sheetName val="COMPARISON_SHEET_(1)7"/>
      <sheetName val="LONGTERM_SHEET_(1)7"/>
      <sheetName val="RECOMMENDATION_SHEET_(1)7"/>
      <sheetName val="Teilepreise_&amp;_PT-Kosten_(1)7"/>
      <sheetName val="Barwertberechnung_(1)7"/>
      <sheetName val="Vorbereitende_Eing__(Teil_2)7"/>
      <sheetName val="BIDDERS_LIST_(2)7"/>
      <sheetName val="COMPARISON_SHEET_(2)7"/>
      <sheetName val="LONGTERM_SHEET_(2)7"/>
      <sheetName val="RECOMMENDATION_SHEET_(2)7"/>
      <sheetName val="Teilepreise_&amp;_PT-Kosten_(2)7"/>
      <sheetName val="Barwertberechnung_(2)7"/>
      <sheetName val="Vorbereitende_Eing__(Teil_3)7"/>
      <sheetName val="BIDDERS_LIST_(3)7"/>
      <sheetName val="COMPARISON_SHEET_(3)7"/>
      <sheetName val="LONGTERM_SHEET_(3)7"/>
      <sheetName val="RECOMMENDATION_SHEET_(3)7"/>
      <sheetName val="Teilepreise_&amp;_PT-Kosten_(3)7"/>
      <sheetName val="Barwertberechnung_(3)7"/>
      <sheetName val="Vorbereitende_Eing__(Teil_4)7"/>
      <sheetName val="BIDDERS_LIST_(4)7"/>
      <sheetName val="COMPARISON_SHEET_(4)7"/>
      <sheetName val="LONGTERM_SHEET_(4)7"/>
      <sheetName val="RECOMMENDATION_SHEET_(4)7"/>
      <sheetName val="Teilepreise_&amp;_PT-Kosten_(4)7"/>
      <sheetName val="Barwertberechnung_(4)7"/>
      <sheetName val="Vorbereitende_Eing__(Teil_5)7"/>
      <sheetName val="BIDDERS_LIST_(5)7"/>
      <sheetName val="COMPARISON_SHEET_(5)7"/>
      <sheetName val="LONGTERM_SHEET_(5)7"/>
      <sheetName val="RECOMMENDATION_SHEET_(5)7"/>
      <sheetName val="Teilepreise_&amp;_PT-Kosten_(5)7"/>
      <sheetName val="Barwertberechnung_(5)7"/>
      <sheetName val="v_a-und_b-Preise7"/>
      <sheetName val="Plausibilität_Target7"/>
      <sheetName val="v_Vorbereitende_Eing__(Teil_1)7"/>
      <sheetName val="v_BIDDERS_LIST_(1)7"/>
      <sheetName val="v_COMPARISON_SHEET_(1)7"/>
      <sheetName val="v_LONGTERM_SHEET_(1)7"/>
      <sheetName val="v_RECOMMENDATION_SHEET_(1)7"/>
      <sheetName val="v_Teilepreise_&amp;_PT-Kosten_(1)7"/>
      <sheetName val="v_Barwertberechnung_(1)7"/>
      <sheetName val="BOM_Compile7"/>
      <sheetName val="CBA_Load7"/>
      <sheetName val="SG&amp;A,_INDL7"/>
      <sheetName val="Tool,_PC7"/>
      <sheetName val="Start_Here7"/>
      <sheetName val="Burden_Rates7"/>
      <sheetName val="POWER_ASSUMPTIONS7"/>
      <sheetName val="Page_397"/>
      <sheetName val="Page_267"/>
      <sheetName val="Page_317"/>
      <sheetName val="Page_87"/>
      <sheetName val="Cost_Walk6"/>
      <sheetName val="1_206"/>
      <sheetName val="03_Transportation_Quoting6"/>
      <sheetName val="Sales_Ranking_by_Manufactures6"/>
      <sheetName val="Plant_Data6"/>
      <sheetName val="Page_156"/>
      <sheetName val="Non_quality_costs6"/>
      <sheetName val="Page_206"/>
      <sheetName val="Page_426"/>
      <sheetName val="Page_216"/>
      <sheetName val="Page_246"/>
      <sheetName val="Page_256"/>
      <sheetName val="Page_306"/>
      <sheetName val="IST_ACTUAL_EUR6"/>
      <sheetName val="INVESTMENTS_NON_AP6"/>
      <sheetName val="CUSTOMER_(DETAIL)6"/>
      <sheetName val="Sheet1_(3)6"/>
      <sheetName val="variable_16"/>
      <sheetName val="Page_14-A6"/>
      <sheetName val="Total_Mkt6"/>
      <sheetName val="진행_DATA_(2)6"/>
      <sheetName val="Ind_Labor_Cost6"/>
      <sheetName val="Dir_Labor_Cost6"/>
      <sheetName val="HVL_Cost_Study5"/>
      <sheetName val="Inv_S5"/>
      <sheetName val="EN114_&amp;_SN955"/>
      <sheetName val="Target_Cascade5"/>
      <sheetName val="Auto_Trans_Total_F&amp;T_5"/>
      <sheetName val="Manual_Trans_Total_F&amp;T5"/>
      <sheetName val="V_Engine_Mfg_Process5"/>
      <sheetName val="FULL_BOM5"/>
      <sheetName val="After_Sales_Supplier_#'s5"/>
      <sheetName val="Apr_(1)_3_of_35"/>
      <sheetName val="Page_16"/>
      <sheetName val="14-Labor_Cost5"/>
      <sheetName val="Change_Log11"/>
      <sheetName val="Input_Sheet11"/>
      <sheetName val="Dashboard_Database8"/>
      <sheetName val="graph_SOP8"/>
      <sheetName val="13_GRR_ND10"/>
      <sheetName val="ALL_PARTS_PRICE_LIST11"/>
      <sheetName val="Sept_BF8"/>
      <sheetName val="10_Year_Forecast8"/>
      <sheetName val="024_SGM980_GBOX_+_KBOLSTER8"/>
      <sheetName val="Price_List8"/>
      <sheetName val="G_1R-Shou_COP_Gf8"/>
      <sheetName val="GIFS_Data8"/>
      <sheetName val="Attendee_List8"/>
      <sheetName val="Rates_and_Tarrifs8"/>
      <sheetName val="Page_08"/>
      <sheetName val="Table_of_contents8"/>
      <sheetName val="VL_PBT8"/>
      <sheetName val="Act__Bud__FIB_20048"/>
      <sheetName val="Parametres_048"/>
      <sheetName val="MPL_技連8"/>
      <sheetName val="342E_BLOCK8"/>
      <sheetName val="Reference_data8"/>
      <sheetName val="31_12_038"/>
      <sheetName val="Section_1-RFQ8"/>
      <sheetName val="PA_1918"/>
      <sheetName val="Status_&amp;_Aufträge8"/>
      <sheetName val="a-und_b-Preise_18"/>
      <sheetName val="heutige_Lieferbeziehungen8"/>
      <sheetName val="COMPARISON_SHEET_(Audi)8"/>
      <sheetName val="LONGTERM_SHEET_(Audi)8"/>
      <sheetName val="RECOMMENDATION_SHEET_(Audi)8"/>
      <sheetName val="a-und_b-Preise_28"/>
      <sheetName val="Vorbereitende_Eing__(Teil_1)8"/>
      <sheetName val="BIDDERS_LIST_(1)8"/>
      <sheetName val="COMPARISON_SHEET_(1)8"/>
      <sheetName val="LONGTERM_SHEET_(1)8"/>
      <sheetName val="RECOMMENDATION_SHEET_(1)8"/>
      <sheetName val="Teilepreise_&amp;_PT-Kosten_(1)8"/>
      <sheetName val="Barwertberechnung_(1)8"/>
      <sheetName val="Vorbereitende_Eing__(Teil_2)8"/>
      <sheetName val="BIDDERS_LIST_(2)8"/>
      <sheetName val="COMPARISON_SHEET_(2)8"/>
      <sheetName val="LONGTERM_SHEET_(2)8"/>
      <sheetName val="RECOMMENDATION_SHEET_(2)8"/>
      <sheetName val="Teilepreise_&amp;_PT-Kosten_(2)8"/>
      <sheetName val="Barwertberechnung_(2)8"/>
      <sheetName val="Vorbereitende_Eing__(Teil_3)8"/>
      <sheetName val="BIDDERS_LIST_(3)8"/>
      <sheetName val="COMPARISON_SHEET_(3)8"/>
      <sheetName val="LONGTERM_SHEET_(3)8"/>
      <sheetName val="RECOMMENDATION_SHEET_(3)8"/>
      <sheetName val="Teilepreise_&amp;_PT-Kosten_(3)8"/>
      <sheetName val="Barwertberechnung_(3)8"/>
      <sheetName val="Vorbereitende_Eing__(Teil_4)8"/>
      <sheetName val="BIDDERS_LIST_(4)8"/>
      <sheetName val="COMPARISON_SHEET_(4)8"/>
      <sheetName val="LONGTERM_SHEET_(4)8"/>
      <sheetName val="RECOMMENDATION_SHEET_(4)8"/>
      <sheetName val="Teilepreise_&amp;_PT-Kosten_(4)8"/>
      <sheetName val="Barwertberechnung_(4)8"/>
      <sheetName val="Vorbereitende_Eing__(Teil_5)8"/>
      <sheetName val="BIDDERS_LIST_(5)8"/>
      <sheetName val="COMPARISON_SHEET_(5)8"/>
      <sheetName val="LONGTERM_SHEET_(5)8"/>
      <sheetName val="RECOMMENDATION_SHEET_(5)8"/>
      <sheetName val="Teilepreise_&amp;_PT-Kosten_(5)8"/>
      <sheetName val="Barwertberechnung_(5)8"/>
      <sheetName val="v_a-und_b-Preise8"/>
      <sheetName val="Plausibilität_Target8"/>
      <sheetName val="v_Vorbereitende_Eing__(Teil_1)8"/>
      <sheetName val="v_BIDDERS_LIST_(1)8"/>
      <sheetName val="v_COMPARISON_SHEET_(1)8"/>
      <sheetName val="v_LONGTERM_SHEET_(1)8"/>
      <sheetName val="v_RECOMMENDATION_SHEET_(1)8"/>
      <sheetName val="v_Teilepreise_&amp;_PT-Kosten_(1)8"/>
      <sheetName val="v_Barwertberechnung_(1)8"/>
      <sheetName val="BOM_Compile8"/>
      <sheetName val="CBA_Load8"/>
      <sheetName val="SG&amp;A,_INDL8"/>
      <sheetName val="Tool,_PC8"/>
      <sheetName val="Start_Here8"/>
      <sheetName val="Burden_Rates8"/>
      <sheetName val="POWER_ASSUMPTIONS8"/>
      <sheetName val="Page_398"/>
      <sheetName val="Page_268"/>
      <sheetName val="Page_318"/>
      <sheetName val="Page_88"/>
      <sheetName val="Cost_Walk7"/>
      <sheetName val="1_207"/>
      <sheetName val="03_Transportation_Quoting7"/>
      <sheetName val="Sales_Ranking_by_Manufactures7"/>
      <sheetName val="Plant_Data7"/>
      <sheetName val="Page_157"/>
      <sheetName val="Non_quality_costs7"/>
      <sheetName val="Page_207"/>
      <sheetName val="Page_427"/>
      <sheetName val="Page_217"/>
      <sheetName val="Page_247"/>
      <sheetName val="Page_257"/>
      <sheetName val="Page_307"/>
      <sheetName val="IST_ACTUAL_EUR7"/>
      <sheetName val="INVESTMENTS_NON_AP7"/>
      <sheetName val="CUSTOMER_(DETAIL)7"/>
      <sheetName val="Sheet1_(3)7"/>
      <sheetName val="variable_17"/>
      <sheetName val="Page_14-A7"/>
      <sheetName val="Total_Mkt7"/>
      <sheetName val="진행_DATA_(2)7"/>
      <sheetName val="Ind_Labor_Cost7"/>
      <sheetName val="Dir_Labor_Cost7"/>
      <sheetName val="HVL_Cost_Study6"/>
      <sheetName val="Inv_S6"/>
      <sheetName val="EN114_&amp;_SN956"/>
      <sheetName val="Target_Cascade6"/>
      <sheetName val="Auto_Trans_Total_F&amp;T_6"/>
      <sheetName val="Manual_Trans_Total_F&amp;T6"/>
      <sheetName val="V_Engine_Mfg_Process6"/>
      <sheetName val="FULL_BOM6"/>
      <sheetName val="After_Sales_Supplier_#'s6"/>
      <sheetName val="Apr_(1)_3_of_36"/>
      <sheetName val="Page_17"/>
      <sheetName val="14-Labor_Cost6"/>
      <sheetName val="UPPER BLOCK"/>
      <sheetName val="Change_Log12"/>
      <sheetName val="Input_Sheet12"/>
      <sheetName val="Dashboard_Database9"/>
      <sheetName val="graph_SOP9"/>
      <sheetName val="13_GRR_ND11"/>
      <sheetName val="ALL_PARTS_PRICE_LIST12"/>
      <sheetName val="Sept_BF9"/>
      <sheetName val="10_Year_Forecast9"/>
      <sheetName val="024_SGM980_GBOX_+_KBOLSTER9"/>
      <sheetName val="Price_List9"/>
      <sheetName val="G_1R-Shou_COP_Gf9"/>
      <sheetName val="GIFS_Data9"/>
      <sheetName val="Attendee_List9"/>
      <sheetName val="Rates_and_Tarrifs9"/>
      <sheetName val="Page_09"/>
      <sheetName val="Table_of_contents9"/>
      <sheetName val="VL_PBT9"/>
      <sheetName val="Act__Bud__FIB_20049"/>
      <sheetName val="Parametres_049"/>
      <sheetName val="MPL_技連9"/>
      <sheetName val="342E_BLOCK9"/>
      <sheetName val="Reference_data9"/>
      <sheetName val="31_12_039"/>
      <sheetName val="Section_1-RFQ9"/>
      <sheetName val="PA_1919"/>
      <sheetName val="Status_&amp;_Aufträge9"/>
      <sheetName val="a-und_b-Preise_19"/>
      <sheetName val="heutige_Lieferbeziehungen9"/>
      <sheetName val="COMPARISON_SHEET_(Audi)9"/>
      <sheetName val="LONGTERM_SHEET_(Audi)9"/>
      <sheetName val="RECOMMENDATION_SHEET_(Audi)9"/>
      <sheetName val="a-und_b-Preise_29"/>
      <sheetName val="Vorbereitende_Eing__(Teil_1)9"/>
      <sheetName val="BIDDERS_LIST_(1)9"/>
      <sheetName val="COMPARISON_SHEET_(1)9"/>
      <sheetName val="LONGTERM_SHEET_(1)9"/>
      <sheetName val="RECOMMENDATION_SHEET_(1)9"/>
      <sheetName val="Teilepreise_&amp;_PT-Kosten_(1)9"/>
      <sheetName val="Barwertberechnung_(1)9"/>
      <sheetName val="Vorbereitende_Eing__(Teil_2)9"/>
      <sheetName val="BIDDERS_LIST_(2)9"/>
      <sheetName val="COMPARISON_SHEET_(2)9"/>
      <sheetName val="LONGTERM_SHEET_(2)9"/>
      <sheetName val="RECOMMENDATION_SHEET_(2)9"/>
      <sheetName val="Teilepreise_&amp;_PT-Kosten_(2)9"/>
      <sheetName val="Barwertberechnung_(2)9"/>
      <sheetName val="Vorbereitende_Eing__(Teil_3)9"/>
      <sheetName val="BIDDERS_LIST_(3)9"/>
      <sheetName val="COMPARISON_SHEET_(3)9"/>
      <sheetName val="LONGTERM_SHEET_(3)9"/>
      <sheetName val="RECOMMENDATION_SHEET_(3)9"/>
      <sheetName val="Teilepreise_&amp;_PT-Kosten_(3)9"/>
      <sheetName val="Barwertberechnung_(3)9"/>
      <sheetName val="Vorbereitende_Eing__(Teil_4)9"/>
      <sheetName val="BIDDERS_LIST_(4)9"/>
      <sheetName val="COMPARISON_SHEET_(4)9"/>
      <sheetName val="LONGTERM_SHEET_(4)9"/>
      <sheetName val="RECOMMENDATION_SHEET_(4)9"/>
      <sheetName val="Teilepreise_&amp;_PT-Kosten_(4)9"/>
      <sheetName val="Barwertberechnung_(4)9"/>
      <sheetName val="Vorbereitende_Eing__(Teil_5)9"/>
      <sheetName val="BIDDERS_LIST_(5)9"/>
      <sheetName val="COMPARISON_SHEET_(5)9"/>
      <sheetName val="LONGTERM_SHEET_(5)9"/>
      <sheetName val="RECOMMENDATION_SHEET_(5)9"/>
      <sheetName val="Teilepreise_&amp;_PT-Kosten_(5)9"/>
      <sheetName val="Barwertberechnung_(5)9"/>
      <sheetName val="v_a-und_b-Preise9"/>
      <sheetName val="Plausibilität_Target9"/>
      <sheetName val="v_Vorbereitende_Eing__(Teil_1)9"/>
      <sheetName val="v_BIDDERS_LIST_(1)9"/>
      <sheetName val="v_COMPARISON_SHEET_(1)9"/>
      <sheetName val="v_LONGTERM_SHEET_(1)9"/>
      <sheetName val="v_RECOMMENDATION_SHEET_(1)9"/>
      <sheetName val="v_Teilepreise_&amp;_PT-Kosten_(1)9"/>
      <sheetName val="v_Barwertberechnung_(1)9"/>
      <sheetName val="BOM_Compile9"/>
      <sheetName val="CBA_Load9"/>
      <sheetName val="SG&amp;A,_INDL9"/>
      <sheetName val="Tool,_PC9"/>
      <sheetName val="Start_Here9"/>
      <sheetName val="Burden_Rates9"/>
      <sheetName val="POWER_ASSUMPTIONS9"/>
      <sheetName val="Page_399"/>
      <sheetName val="Page_269"/>
      <sheetName val="Page_319"/>
      <sheetName val="Page_89"/>
      <sheetName val="Cost_Walk8"/>
      <sheetName val="1_208"/>
      <sheetName val="03_Transportation_Quoting8"/>
      <sheetName val="Sales_Ranking_by_Manufactures8"/>
      <sheetName val="Plant_Data8"/>
      <sheetName val="Page_158"/>
      <sheetName val="Non_quality_costs8"/>
      <sheetName val="Page_208"/>
      <sheetName val="Page_428"/>
      <sheetName val="Page_218"/>
      <sheetName val="Page_248"/>
      <sheetName val="Page_258"/>
      <sheetName val="Page_308"/>
      <sheetName val="IST_ACTUAL_EUR8"/>
      <sheetName val="INVESTMENTS_NON_AP8"/>
      <sheetName val="CUSTOMER_(DETAIL)8"/>
      <sheetName val="Sheet1_(3)8"/>
      <sheetName val="variable_18"/>
      <sheetName val="Page_14-A8"/>
      <sheetName val="Total_Mkt8"/>
      <sheetName val="진행_DATA_(2)8"/>
      <sheetName val="Ind_Labor_Cost8"/>
      <sheetName val="Dir_Labor_Cost8"/>
      <sheetName val="HVL_Cost_Study7"/>
      <sheetName val="Inv_S7"/>
      <sheetName val="EN114_&amp;_SN957"/>
      <sheetName val="Target_Cascade7"/>
      <sheetName val="Auto_Trans_Total_F&amp;T_7"/>
      <sheetName val="Manual_Trans_Total_F&amp;T7"/>
      <sheetName val="V_Engine_Mfg_Process7"/>
      <sheetName val="FULL_BOM7"/>
      <sheetName val="After_Sales_Supplier_#'s7"/>
      <sheetName val="Apr_(1)_3_of_37"/>
      <sheetName val="Page_18"/>
      <sheetName val="14-Labor_Cost7"/>
      <sheetName val="UPPER_BLOCK"/>
      <sheetName val="Change_Log13"/>
      <sheetName val="Input_Sheet13"/>
      <sheetName val="Dashboard_Database10"/>
      <sheetName val="graph_SOP10"/>
      <sheetName val="13_GRR_ND12"/>
      <sheetName val="ALL_PARTS_PRICE_LIST13"/>
      <sheetName val="Sept_BF10"/>
      <sheetName val="10_Year_Forecast10"/>
      <sheetName val="024_SGM980_GBOX_+_KBOLSTER10"/>
      <sheetName val="Price_List10"/>
      <sheetName val="G_1R-Shou_COP_Gf10"/>
      <sheetName val="GIFS_Data10"/>
      <sheetName val="Attendee_List10"/>
      <sheetName val="Rates_and_Tarrifs10"/>
      <sheetName val="Page_010"/>
      <sheetName val="Table_of_contents10"/>
      <sheetName val="VL_PBT10"/>
      <sheetName val="Act__Bud__FIB_200410"/>
      <sheetName val="Parametres_0410"/>
      <sheetName val="MPL_技連10"/>
      <sheetName val="342E_BLOCK10"/>
      <sheetName val="Reference_data10"/>
      <sheetName val="31_12_0310"/>
      <sheetName val="Section_1-RFQ10"/>
      <sheetName val="PA_19110"/>
      <sheetName val="Status_&amp;_Aufträge10"/>
      <sheetName val="a-und_b-Preise_110"/>
      <sheetName val="heutige_Lieferbeziehungen10"/>
      <sheetName val="COMPARISON_SHEET_(Audi)10"/>
      <sheetName val="LONGTERM_SHEET_(Audi)10"/>
      <sheetName val="RECOMMENDATION_SHEET_(Audi)10"/>
      <sheetName val="a-und_b-Preise_210"/>
      <sheetName val="Vorbereitende_Eing__(Teil_1)10"/>
      <sheetName val="BIDDERS_LIST_(1)10"/>
      <sheetName val="COMPARISON_SHEET_(1)10"/>
      <sheetName val="LONGTERM_SHEET_(1)10"/>
      <sheetName val="RECOMMENDATION_SHEET_(1)10"/>
      <sheetName val="Teilepreise_&amp;_PT-Kosten_(1)10"/>
      <sheetName val="Barwertberechnung_(1)10"/>
      <sheetName val="Vorbereitende_Eing__(Teil_2)10"/>
      <sheetName val="BIDDERS_LIST_(2)10"/>
      <sheetName val="COMPARISON_SHEET_(2)10"/>
      <sheetName val="LONGTERM_SHEET_(2)10"/>
      <sheetName val="RECOMMENDATION_SHEET_(2)10"/>
      <sheetName val="Teilepreise_&amp;_PT-Kosten_(2)10"/>
      <sheetName val="Barwertberechnung_(2)10"/>
      <sheetName val="Vorbereitende_Eing__(Teil_3)10"/>
      <sheetName val="BIDDERS_LIST_(3)10"/>
      <sheetName val="COMPARISON_SHEET_(3)10"/>
      <sheetName val="LONGTERM_SHEET_(3)10"/>
      <sheetName val="RECOMMENDATION_SHEET_(3)10"/>
      <sheetName val="Teilepreise_&amp;_PT-Kosten_(3)10"/>
      <sheetName val="Barwertberechnung_(3)10"/>
      <sheetName val="Vorbereitende_Eing__(Teil_4)10"/>
      <sheetName val="BIDDERS_LIST_(4)10"/>
      <sheetName val="COMPARISON_SHEET_(4)10"/>
      <sheetName val="LONGTERM_SHEET_(4)10"/>
      <sheetName val="RECOMMENDATION_SHEET_(4)10"/>
      <sheetName val="Teilepreise_&amp;_PT-Kosten_(4)10"/>
      <sheetName val="Barwertberechnung_(4)10"/>
      <sheetName val="Vorbereitende_Eing__(Teil_5)10"/>
      <sheetName val="BIDDERS_LIST_(5)10"/>
      <sheetName val="COMPARISON_SHEET_(5)10"/>
      <sheetName val="LONGTERM_SHEET_(5)10"/>
      <sheetName val="RECOMMENDATION_SHEET_(5)10"/>
      <sheetName val="Teilepreise_&amp;_PT-Kosten_(5)10"/>
      <sheetName val="Barwertberechnung_(5)10"/>
      <sheetName val="v_a-und_b-Preise10"/>
      <sheetName val="Plausibilität_Target10"/>
      <sheetName val="v_Vorbereitende_Eing__(Teil_110"/>
      <sheetName val="v_BIDDERS_LIST_(1)10"/>
      <sheetName val="v_COMPARISON_SHEET_(1)10"/>
      <sheetName val="v_LONGTERM_SHEET_(1)10"/>
      <sheetName val="v_RECOMMENDATION_SHEET_(1)10"/>
      <sheetName val="v_Teilepreise_&amp;_PT-Kosten_(1)10"/>
      <sheetName val="v_Barwertberechnung_(1)10"/>
      <sheetName val="BOM_Compile10"/>
      <sheetName val="CBA_Load10"/>
      <sheetName val="SG&amp;A,_INDL10"/>
      <sheetName val="Tool,_PC10"/>
      <sheetName val="Start_Here10"/>
      <sheetName val="Burden_Rates10"/>
      <sheetName val="POWER_ASSUMPTIONS10"/>
      <sheetName val="Page_3910"/>
      <sheetName val="Page_2610"/>
      <sheetName val="Page_3110"/>
      <sheetName val="Page_810"/>
      <sheetName val="Cost_Walk9"/>
      <sheetName val="1_209"/>
      <sheetName val="03_Transportation_Quoting9"/>
      <sheetName val="Sales_Ranking_by_Manufactures9"/>
      <sheetName val="Plant_Data9"/>
      <sheetName val="Page_159"/>
      <sheetName val="Non_quality_costs9"/>
      <sheetName val="Page_209"/>
      <sheetName val="Page_429"/>
      <sheetName val="Page_219"/>
      <sheetName val="Page_249"/>
      <sheetName val="Page_259"/>
      <sheetName val="Page_309"/>
      <sheetName val="IST_ACTUAL_EUR9"/>
      <sheetName val="INVESTMENTS_NON_AP9"/>
      <sheetName val="CUSTOMER_(DETAIL)9"/>
      <sheetName val="Sheet1_(3)9"/>
      <sheetName val="variable_19"/>
      <sheetName val="Page_14-A9"/>
      <sheetName val="Total_Mkt9"/>
      <sheetName val="진행_DATA_(2)9"/>
      <sheetName val="Ind_Labor_Cost9"/>
      <sheetName val="Dir_Labor_Cost9"/>
      <sheetName val="HVL_Cost_Study8"/>
      <sheetName val="Inv_S8"/>
      <sheetName val="EN114_&amp;_SN958"/>
      <sheetName val="Target_Cascade8"/>
      <sheetName val="Auto_Trans_Total_F&amp;T_8"/>
      <sheetName val="Manual_Trans_Total_F&amp;T8"/>
      <sheetName val="V_Engine_Mfg_Process8"/>
      <sheetName val="FULL_BOM8"/>
      <sheetName val="After_Sales_Supplier_#'s8"/>
      <sheetName val="Apr_(1)_3_of_38"/>
      <sheetName val="Page_19"/>
      <sheetName val="14-Labor_Cost8"/>
      <sheetName val="索引"/>
      <sheetName val="STANDVAR_b3CTY"/>
      <sheetName val="Change_Log19"/>
      <sheetName val="Input_Sheet19"/>
      <sheetName val="Dashboard_Database16"/>
      <sheetName val="graph_SOP16"/>
      <sheetName val="13_GRR_ND18"/>
      <sheetName val="ALL_PARTS_PRICE_LIST19"/>
      <sheetName val="Sept_BF16"/>
      <sheetName val="10_Year_Forecast16"/>
      <sheetName val="024_SGM980_GBOX_+_KBOLSTER16"/>
      <sheetName val="Price_List16"/>
      <sheetName val="G_1R-Shou_COP_Gf16"/>
      <sheetName val="GIFS_Data16"/>
      <sheetName val="Attendee_List16"/>
      <sheetName val="Rates_and_Tarrifs16"/>
      <sheetName val="Page_016"/>
      <sheetName val="Table_of_contents16"/>
      <sheetName val="VL_PBT16"/>
      <sheetName val="Act__Bud__FIB_200416"/>
      <sheetName val="Parametres_0416"/>
      <sheetName val="MPL_技連16"/>
      <sheetName val="342E_BLOCK16"/>
      <sheetName val="Reference_data16"/>
      <sheetName val="31_12_0316"/>
      <sheetName val="Section_1-RFQ16"/>
      <sheetName val="PA_19116"/>
      <sheetName val="Status_&amp;_Aufträge16"/>
      <sheetName val="a-und_b-Preise_116"/>
      <sheetName val="heutige_Lieferbeziehungen16"/>
      <sheetName val="COMPARISON_SHEET_(Audi)16"/>
      <sheetName val="LONGTERM_SHEET_(Audi)16"/>
      <sheetName val="RECOMMENDATION_SHEET_(Audi)16"/>
      <sheetName val="a-und_b-Preise_216"/>
      <sheetName val="Vorbereitende_Eing__(Teil_1)16"/>
      <sheetName val="BIDDERS_LIST_(1)16"/>
      <sheetName val="COMPARISON_SHEET_(1)16"/>
      <sheetName val="LONGTERM_SHEET_(1)16"/>
      <sheetName val="RECOMMENDATION_SHEET_(1)16"/>
      <sheetName val="Teilepreise_&amp;_PT-Kosten_(1)16"/>
      <sheetName val="Barwertberechnung_(1)16"/>
      <sheetName val="Vorbereitende_Eing__(Teil_2)16"/>
      <sheetName val="BIDDERS_LIST_(2)16"/>
      <sheetName val="COMPARISON_SHEET_(2)16"/>
      <sheetName val="LONGTERM_SHEET_(2)16"/>
      <sheetName val="RECOMMENDATION_SHEET_(2)16"/>
      <sheetName val="Teilepreise_&amp;_PT-Kosten_(2)16"/>
      <sheetName val="Barwertberechnung_(2)16"/>
      <sheetName val="Vorbereitende_Eing__(Teil_3)16"/>
      <sheetName val="BIDDERS_LIST_(3)16"/>
      <sheetName val="COMPARISON_SHEET_(3)16"/>
      <sheetName val="LONGTERM_SHEET_(3)16"/>
      <sheetName val="RECOMMENDATION_SHEET_(3)16"/>
      <sheetName val="Teilepreise_&amp;_PT-Kosten_(3)16"/>
      <sheetName val="Barwertberechnung_(3)16"/>
      <sheetName val="Vorbereitende_Eing__(Teil_4)16"/>
      <sheetName val="BIDDERS_LIST_(4)16"/>
      <sheetName val="COMPARISON_SHEET_(4)16"/>
      <sheetName val="LONGTERM_SHEET_(4)16"/>
      <sheetName val="RECOMMENDATION_SHEET_(4)16"/>
      <sheetName val="Teilepreise_&amp;_PT-Kosten_(4)16"/>
      <sheetName val="Barwertberechnung_(4)16"/>
      <sheetName val="Vorbereitende_Eing__(Teil_5)16"/>
      <sheetName val="BIDDERS_LIST_(5)16"/>
      <sheetName val="COMPARISON_SHEET_(5)16"/>
      <sheetName val="LONGTERM_SHEET_(5)16"/>
      <sheetName val="RECOMMENDATION_SHEET_(5)16"/>
      <sheetName val="Teilepreise_&amp;_PT-Kosten_(5)16"/>
      <sheetName val="Barwertberechnung_(5)16"/>
      <sheetName val="v_a-und_b-Preise16"/>
      <sheetName val="Plausibilität_Target16"/>
      <sheetName val="v_Vorbereitende_Eing__(Teil_116"/>
      <sheetName val="v_BIDDERS_LIST_(1)16"/>
      <sheetName val="v_COMPARISON_SHEET_(1)16"/>
      <sheetName val="v_LONGTERM_SHEET_(1)16"/>
      <sheetName val="v_RECOMMENDATION_SHEET_(1)16"/>
      <sheetName val="v_Teilepreise_&amp;_PT-Kosten_(1)16"/>
      <sheetName val="v_Barwertberechnung_(1)16"/>
      <sheetName val="BOM_Compile16"/>
      <sheetName val="CBA_Load16"/>
      <sheetName val="SG&amp;A,_INDL16"/>
      <sheetName val="Tool,_PC16"/>
      <sheetName val="Start_Here16"/>
      <sheetName val="Burden_Rates16"/>
      <sheetName val="POWER_ASSUMPTIONS16"/>
      <sheetName val="Page_3916"/>
      <sheetName val="Page_2616"/>
      <sheetName val="Page_3116"/>
      <sheetName val="Page_816"/>
      <sheetName val="Cost_Walk15"/>
      <sheetName val="1_2015"/>
      <sheetName val="03_Transportation_Quoting15"/>
      <sheetName val="Sales_Ranking_by_Manufactures15"/>
      <sheetName val="Plant_Data15"/>
      <sheetName val="Page_1515"/>
      <sheetName val="Non_quality_costs15"/>
      <sheetName val="Page_2015"/>
      <sheetName val="Page_4215"/>
      <sheetName val="Page_2115"/>
      <sheetName val="Page_2415"/>
      <sheetName val="Page_2515"/>
      <sheetName val="Page_3015"/>
      <sheetName val="IST_ACTUAL_EUR15"/>
      <sheetName val="INVESTMENTS_NON_AP15"/>
      <sheetName val="CUSTOMER_(DETAIL)15"/>
      <sheetName val="Sheet1_(3)15"/>
      <sheetName val="variable_115"/>
      <sheetName val="Page_14-A15"/>
      <sheetName val="Total_Mkt15"/>
      <sheetName val="진행_DATA_(2)15"/>
      <sheetName val="Ind_Labor_Cost15"/>
      <sheetName val="Dir_Labor_Cost15"/>
      <sheetName val="HVL_Cost_Study14"/>
      <sheetName val="Inv_S14"/>
      <sheetName val="EN114_&amp;_SN9514"/>
      <sheetName val="Target_Cascade14"/>
      <sheetName val="Auto_Trans_Total_F&amp;T_14"/>
      <sheetName val="Manual_Trans_Total_F&amp;T14"/>
      <sheetName val="V_Engine_Mfg_Process14"/>
      <sheetName val="FULL_BOM14"/>
      <sheetName val="After_Sales_Supplier_#'s14"/>
      <sheetName val="Apr_(1)_3_of_314"/>
      <sheetName val="Page_115"/>
      <sheetName val="14-Labor_Cost14"/>
      <sheetName val="供货份额"/>
      <sheetName val="车型月产量模拟"/>
      <sheetName val="数据输入"/>
      <sheetName val="Table"/>
      <sheetName val="Change_Log14"/>
      <sheetName val="Input_Sheet14"/>
      <sheetName val="Dashboard_Database11"/>
      <sheetName val="graph_SOP11"/>
      <sheetName val="13_GRR_ND13"/>
      <sheetName val="ALL_PARTS_PRICE_LIST14"/>
      <sheetName val="Sept_BF11"/>
      <sheetName val="10_Year_Forecast11"/>
      <sheetName val="024_SGM980_GBOX_+_KBOLSTER11"/>
      <sheetName val="Price_List11"/>
      <sheetName val="G_1R-Shou_COP_Gf11"/>
      <sheetName val="GIFS_Data11"/>
      <sheetName val="Attendee_List11"/>
      <sheetName val="Rates_and_Tarrifs11"/>
      <sheetName val="Page_011"/>
      <sheetName val="Table_of_contents11"/>
      <sheetName val="VL_PBT11"/>
      <sheetName val="Act__Bud__FIB_200411"/>
      <sheetName val="Parametres_0411"/>
      <sheetName val="MPL_技連11"/>
      <sheetName val="342E_BLOCK11"/>
      <sheetName val="Reference_data11"/>
      <sheetName val="31_12_0311"/>
      <sheetName val="Section_1-RFQ11"/>
      <sheetName val="PA_19111"/>
      <sheetName val="Status_&amp;_Aufträge11"/>
      <sheetName val="a-und_b-Preise_111"/>
      <sheetName val="heutige_Lieferbeziehungen11"/>
      <sheetName val="COMPARISON_SHEET_(Audi)11"/>
      <sheetName val="LONGTERM_SHEET_(Audi)11"/>
      <sheetName val="RECOMMENDATION_SHEET_(Audi)11"/>
      <sheetName val="a-und_b-Preise_211"/>
      <sheetName val="Vorbereitende_Eing__(Teil_1)11"/>
      <sheetName val="BIDDERS_LIST_(1)11"/>
      <sheetName val="COMPARISON_SHEET_(1)11"/>
      <sheetName val="LONGTERM_SHEET_(1)11"/>
      <sheetName val="RECOMMENDATION_SHEET_(1)11"/>
      <sheetName val="Teilepreise_&amp;_PT-Kosten_(1)11"/>
      <sheetName val="Barwertberechnung_(1)11"/>
      <sheetName val="Vorbereitende_Eing__(Teil_2)11"/>
      <sheetName val="BIDDERS_LIST_(2)11"/>
      <sheetName val="COMPARISON_SHEET_(2)11"/>
      <sheetName val="LONGTERM_SHEET_(2)11"/>
      <sheetName val="RECOMMENDATION_SHEET_(2)11"/>
      <sheetName val="Teilepreise_&amp;_PT-Kosten_(2)11"/>
      <sheetName val="Barwertberechnung_(2)11"/>
      <sheetName val="Vorbereitende_Eing__(Teil_3)11"/>
      <sheetName val="BIDDERS_LIST_(3)11"/>
      <sheetName val="COMPARISON_SHEET_(3)11"/>
      <sheetName val="LONGTERM_SHEET_(3)11"/>
      <sheetName val="RECOMMENDATION_SHEET_(3)11"/>
      <sheetName val="Teilepreise_&amp;_PT-Kosten_(3)11"/>
      <sheetName val="Barwertberechnung_(3)11"/>
      <sheetName val="Vorbereitende_Eing__(Teil_4)11"/>
      <sheetName val="BIDDERS_LIST_(4)11"/>
      <sheetName val="COMPARISON_SHEET_(4)11"/>
      <sheetName val="LONGTERM_SHEET_(4)11"/>
      <sheetName val="RECOMMENDATION_SHEET_(4)11"/>
      <sheetName val="Teilepreise_&amp;_PT-Kosten_(4)11"/>
      <sheetName val="Barwertberechnung_(4)11"/>
      <sheetName val="Vorbereitende_Eing__(Teil_5)11"/>
      <sheetName val="BIDDERS_LIST_(5)11"/>
      <sheetName val="COMPARISON_SHEET_(5)11"/>
      <sheetName val="LONGTERM_SHEET_(5)11"/>
      <sheetName val="RECOMMENDATION_SHEET_(5)11"/>
      <sheetName val="Teilepreise_&amp;_PT-Kosten_(5)11"/>
      <sheetName val="Barwertberechnung_(5)11"/>
      <sheetName val="v_a-und_b-Preise11"/>
      <sheetName val="Plausibilität_Target11"/>
      <sheetName val="v_Vorbereitende_Eing__(Teil_111"/>
      <sheetName val="v_BIDDERS_LIST_(1)11"/>
      <sheetName val="v_COMPARISON_SHEET_(1)11"/>
      <sheetName val="v_LONGTERM_SHEET_(1)11"/>
      <sheetName val="v_RECOMMENDATION_SHEET_(1)11"/>
      <sheetName val="v_Teilepreise_&amp;_PT-Kosten_(1)11"/>
      <sheetName val="v_Barwertberechnung_(1)11"/>
      <sheetName val="BOM_Compile11"/>
      <sheetName val="CBA_Load11"/>
      <sheetName val="SG&amp;A,_INDL11"/>
      <sheetName val="Tool,_PC11"/>
      <sheetName val="Start_Here11"/>
      <sheetName val="Burden_Rates11"/>
      <sheetName val="POWER_ASSUMPTIONS11"/>
      <sheetName val="Page_3911"/>
      <sheetName val="Page_2611"/>
      <sheetName val="Page_3111"/>
      <sheetName val="Page_811"/>
      <sheetName val="Cost_Walk10"/>
      <sheetName val="1_2010"/>
      <sheetName val="03_Transportation_Quoting10"/>
      <sheetName val="Sales_Ranking_by_Manufactures10"/>
      <sheetName val="Plant_Data10"/>
      <sheetName val="Page_1510"/>
      <sheetName val="Non_quality_costs10"/>
      <sheetName val="Page_2010"/>
      <sheetName val="Page_4210"/>
      <sheetName val="Page_2110"/>
      <sheetName val="Page_2410"/>
      <sheetName val="Page_2510"/>
      <sheetName val="Page_3010"/>
      <sheetName val="IST_ACTUAL_EUR10"/>
      <sheetName val="INVESTMENTS_NON_AP10"/>
      <sheetName val="CUSTOMER_(DETAIL)10"/>
      <sheetName val="Sheet1_(3)10"/>
      <sheetName val="variable_110"/>
      <sheetName val="Page_14-A10"/>
      <sheetName val="Total_Mkt10"/>
      <sheetName val="진행_DATA_(2)10"/>
      <sheetName val="Ind_Labor_Cost10"/>
      <sheetName val="Dir_Labor_Cost10"/>
      <sheetName val="HVL_Cost_Study9"/>
      <sheetName val="Inv_S9"/>
      <sheetName val="EN114_&amp;_SN959"/>
      <sheetName val="Target_Cascade9"/>
      <sheetName val="Auto_Trans_Total_F&amp;T_9"/>
      <sheetName val="Manual_Trans_Total_F&amp;T9"/>
      <sheetName val="V_Engine_Mfg_Process9"/>
      <sheetName val="FULL_BOM9"/>
      <sheetName val="After_Sales_Supplier_#'s9"/>
      <sheetName val="Apr_(1)_3_of_39"/>
      <sheetName val="Page_110"/>
      <sheetName val="14-Labor_Cost9"/>
      <sheetName val="Change_Log15"/>
      <sheetName val="Input_Sheet15"/>
      <sheetName val="Dashboard_Database12"/>
      <sheetName val="graph_SOP12"/>
      <sheetName val="13_GRR_ND14"/>
      <sheetName val="ALL_PARTS_PRICE_LIST15"/>
      <sheetName val="Sept_BF12"/>
      <sheetName val="Attendee_List12"/>
      <sheetName val="Section_1-RFQ12"/>
      <sheetName val="PA_19112"/>
      <sheetName val="Status_&amp;_Aufträge12"/>
      <sheetName val="a-und_b-Preise_112"/>
      <sheetName val="heutige_Lieferbeziehungen12"/>
      <sheetName val="COMPARISON_SHEET_(Audi)12"/>
      <sheetName val="LONGTERM_SHEET_(Audi)12"/>
      <sheetName val="RECOMMENDATION_SHEET_(Audi)12"/>
      <sheetName val="a-und_b-Preise_212"/>
      <sheetName val="Vorbereitende_Eing__(Teil_1)12"/>
      <sheetName val="BIDDERS_LIST_(1)12"/>
      <sheetName val="COMPARISON_SHEET_(1)12"/>
      <sheetName val="LONGTERM_SHEET_(1)12"/>
      <sheetName val="RECOMMENDATION_SHEET_(1)12"/>
      <sheetName val="Teilepreise_&amp;_PT-Kosten_(1)12"/>
      <sheetName val="Barwertberechnung_(1)12"/>
      <sheetName val="Vorbereitende_Eing__(Teil_2)12"/>
      <sheetName val="BIDDERS_LIST_(2)12"/>
      <sheetName val="COMPARISON_SHEET_(2)12"/>
      <sheetName val="LONGTERM_SHEET_(2)12"/>
      <sheetName val="RECOMMENDATION_SHEET_(2)12"/>
      <sheetName val="Teilepreise_&amp;_PT-Kosten_(2)12"/>
      <sheetName val="Barwertberechnung_(2)12"/>
      <sheetName val="Vorbereitende_Eing__(Teil_3)12"/>
      <sheetName val="BIDDERS_LIST_(3)12"/>
      <sheetName val="COMPARISON_SHEET_(3)12"/>
      <sheetName val="LONGTERM_SHEET_(3)12"/>
      <sheetName val="RECOMMENDATION_SHEET_(3)12"/>
      <sheetName val="Teilepreise_&amp;_PT-Kosten_(3)12"/>
      <sheetName val="Barwertberechnung_(3)12"/>
      <sheetName val="Vorbereitende_Eing__(Teil_4)12"/>
      <sheetName val="BIDDERS_LIST_(4)12"/>
      <sheetName val="COMPARISON_SHEET_(4)12"/>
      <sheetName val="LONGTERM_SHEET_(4)12"/>
      <sheetName val="RECOMMENDATION_SHEET_(4)12"/>
      <sheetName val="Teilepreise_&amp;_PT-Kosten_(4)12"/>
      <sheetName val="Barwertberechnung_(4)12"/>
      <sheetName val="Vorbereitende_Eing__(Teil_5)12"/>
      <sheetName val="BIDDERS_LIST_(5)12"/>
      <sheetName val="COMPARISON_SHEET_(5)12"/>
      <sheetName val="LONGTERM_SHEET_(5)12"/>
      <sheetName val="RECOMMENDATION_SHEET_(5)12"/>
      <sheetName val="Teilepreise_&amp;_PT-Kosten_(5)12"/>
      <sheetName val="Barwertberechnung_(5)12"/>
      <sheetName val="v_a-und_b-Preise12"/>
      <sheetName val="Plausibilität_Target12"/>
      <sheetName val="v_Vorbereitende_Eing__(Teil_112"/>
      <sheetName val="v_BIDDERS_LIST_(1)12"/>
      <sheetName val="v_COMPARISON_SHEET_(1)12"/>
      <sheetName val="v_LONGTERM_SHEET_(1)12"/>
      <sheetName val="v_RECOMMENDATION_SHEET_(1)12"/>
      <sheetName val="v_Teilepreise_&amp;_PT-Kosten_(1)12"/>
      <sheetName val="v_Barwertberechnung_(1)12"/>
      <sheetName val="BOM_Compile12"/>
      <sheetName val="CBA_Load12"/>
      <sheetName val="SG&amp;A,_INDL12"/>
      <sheetName val="Tool,_PC12"/>
      <sheetName val="Start_Here12"/>
      <sheetName val="024_SGM980_GBOX_+_KBOLSTER12"/>
      <sheetName val="10_Year_Forecast12"/>
      <sheetName val="Price_List12"/>
      <sheetName val="G_1R-Shou_COP_Gf12"/>
      <sheetName val="GIFS_Data12"/>
      <sheetName val="Rates_and_Tarrifs12"/>
      <sheetName val="Page_012"/>
      <sheetName val="Table_of_contents12"/>
      <sheetName val="VL_PBT12"/>
      <sheetName val="Act__Bud__FIB_200412"/>
      <sheetName val="Parametres_0412"/>
      <sheetName val="MPL_技連12"/>
      <sheetName val="342E_BLOCK12"/>
      <sheetName val="Reference_data12"/>
      <sheetName val="31_12_0312"/>
      <sheetName val="Burden_Rates12"/>
      <sheetName val="POWER_ASSUMPTIONS12"/>
      <sheetName val="Page_3912"/>
      <sheetName val="Page_2612"/>
      <sheetName val="Page_3112"/>
      <sheetName val="Page_812"/>
      <sheetName val="Sales_Ranking_by_Manufactures11"/>
      <sheetName val="UPPER_BLOCK1"/>
      <sheetName val="Change_Log16"/>
      <sheetName val="Input_Sheet16"/>
      <sheetName val="Dashboard_Database13"/>
      <sheetName val="graph_SOP13"/>
      <sheetName val="13_GRR_ND15"/>
      <sheetName val="ALL_PARTS_PRICE_LIST16"/>
      <sheetName val="Sept_BF13"/>
      <sheetName val="10_Year_Forecast13"/>
      <sheetName val="024_SGM980_GBOX_+_KBOLSTER13"/>
      <sheetName val="Price_List13"/>
      <sheetName val="G_1R-Shou_COP_Gf13"/>
      <sheetName val="GIFS_Data13"/>
      <sheetName val="Attendee_List13"/>
      <sheetName val="Rates_and_Tarrifs13"/>
      <sheetName val="Page_013"/>
      <sheetName val="Table_of_contents13"/>
      <sheetName val="VL_PBT13"/>
      <sheetName val="Act__Bud__FIB_200413"/>
      <sheetName val="Parametres_0413"/>
      <sheetName val="MPL_技連13"/>
      <sheetName val="342E_BLOCK13"/>
      <sheetName val="Reference_data13"/>
      <sheetName val="31_12_0313"/>
      <sheetName val="Section_1-RFQ13"/>
      <sheetName val="PA_19113"/>
      <sheetName val="Status_&amp;_Aufträge13"/>
      <sheetName val="a-und_b-Preise_113"/>
      <sheetName val="heutige_Lieferbeziehungen13"/>
      <sheetName val="COMPARISON_SHEET_(Audi)13"/>
      <sheetName val="LONGTERM_SHEET_(Audi)13"/>
      <sheetName val="RECOMMENDATION_SHEET_(Audi)13"/>
      <sheetName val="a-und_b-Preise_213"/>
      <sheetName val="Vorbereitende_Eing__(Teil_1)13"/>
      <sheetName val="BIDDERS_LIST_(1)13"/>
      <sheetName val="COMPARISON_SHEET_(1)13"/>
      <sheetName val="LONGTERM_SHEET_(1)13"/>
      <sheetName val="RECOMMENDATION_SHEET_(1)13"/>
      <sheetName val="Teilepreise_&amp;_PT-Kosten_(1)13"/>
      <sheetName val="Barwertberechnung_(1)13"/>
      <sheetName val="Vorbereitende_Eing__(Teil_2)13"/>
      <sheetName val="BIDDERS_LIST_(2)13"/>
      <sheetName val="COMPARISON_SHEET_(2)13"/>
      <sheetName val="LONGTERM_SHEET_(2)13"/>
      <sheetName val="RECOMMENDATION_SHEET_(2)13"/>
      <sheetName val="Teilepreise_&amp;_PT-Kosten_(2)13"/>
      <sheetName val="Barwertberechnung_(2)13"/>
      <sheetName val="Vorbereitende_Eing__(Teil_3)13"/>
      <sheetName val="BIDDERS_LIST_(3)13"/>
      <sheetName val="COMPARISON_SHEET_(3)13"/>
      <sheetName val="LONGTERM_SHEET_(3)13"/>
      <sheetName val="RECOMMENDATION_SHEET_(3)13"/>
      <sheetName val="Teilepreise_&amp;_PT-Kosten_(3)13"/>
      <sheetName val="Barwertberechnung_(3)13"/>
      <sheetName val="Vorbereitende_Eing__(Teil_4)13"/>
      <sheetName val="BIDDERS_LIST_(4)13"/>
      <sheetName val="COMPARISON_SHEET_(4)13"/>
      <sheetName val="LONGTERM_SHEET_(4)13"/>
      <sheetName val="RECOMMENDATION_SHEET_(4)13"/>
      <sheetName val="Teilepreise_&amp;_PT-Kosten_(4)13"/>
      <sheetName val="Barwertberechnung_(4)13"/>
      <sheetName val="Vorbereitende_Eing__(Teil_5)13"/>
      <sheetName val="BIDDERS_LIST_(5)13"/>
      <sheetName val="COMPARISON_SHEET_(5)13"/>
      <sheetName val="LONGTERM_SHEET_(5)13"/>
      <sheetName val="RECOMMENDATION_SHEET_(5)13"/>
      <sheetName val="Teilepreise_&amp;_PT-Kosten_(5)13"/>
      <sheetName val="Barwertberechnung_(5)13"/>
      <sheetName val="v_a-und_b-Preise13"/>
      <sheetName val="Plausibilität_Target13"/>
      <sheetName val="v_Vorbereitende_Eing__(Teil_113"/>
      <sheetName val="v_BIDDERS_LIST_(1)13"/>
      <sheetName val="v_COMPARISON_SHEET_(1)13"/>
      <sheetName val="v_LONGTERM_SHEET_(1)13"/>
      <sheetName val="v_RECOMMENDATION_SHEET_(1)13"/>
      <sheetName val="v_Teilepreise_&amp;_PT-Kosten_(1)13"/>
      <sheetName val="v_Barwertberechnung_(1)13"/>
      <sheetName val="BOM_Compile13"/>
      <sheetName val="CBA_Load13"/>
      <sheetName val="SG&amp;A,_INDL13"/>
      <sheetName val="Tool,_PC13"/>
      <sheetName val="Start_Here13"/>
      <sheetName val="Burden_Rates13"/>
      <sheetName val="POWER_ASSUMPTIONS13"/>
      <sheetName val="Page_3913"/>
      <sheetName val="Page_2613"/>
      <sheetName val="Page_3113"/>
      <sheetName val="Page_813"/>
      <sheetName val="Sales_Ranking_by_Manufactures12"/>
      <sheetName val="Plant_Data11"/>
      <sheetName val="Page_1511"/>
      <sheetName val="Non_quality_costs11"/>
      <sheetName val="Page_2011"/>
      <sheetName val="Page_4211"/>
      <sheetName val="Page_2111"/>
      <sheetName val="Page_2411"/>
      <sheetName val="Page_2511"/>
      <sheetName val="Page_3011"/>
      <sheetName val="IST_ACTUAL_EUR11"/>
      <sheetName val="Cost_Walk11"/>
      <sheetName val="INVESTMENTS_NON_AP11"/>
      <sheetName val="CUSTOMER_(DETAIL)11"/>
      <sheetName val="Sheet1_(3)11"/>
      <sheetName val="variable_111"/>
      <sheetName val="Page_14-A11"/>
      <sheetName val="Total_Mkt11"/>
      <sheetName val="진행_DATA_(2)11"/>
      <sheetName val="Ind_Labor_Cost11"/>
      <sheetName val="Dir_Labor_Cost11"/>
      <sheetName val="1_2011"/>
      <sheetName val="03_Transportation_Quoting11"/>
      <sheetName val="HVL_Cost_Study10"/>
      <sheetName val="Inv_S10"/>
      <sheetName val="EN114_&amp;_SN9510"/>
      <sheetName val="Target_Cascade10"/>
      <sheetName val="Auto_Trans_Total_F&amp;T_10"/>
      <sheetName val="Manual_Trans_Total_F&amp;T10"/>
      <sheetName val="V_Engine_Mfg_Process10"/>
      <sheetName val="FULL_BOM10"/>
      <sheetName val="After_Sales_Supplier_#'s10"/>
      <sheetName val="Apr_(1)_3_of_310"/>
      <sheetName val="Page_111"/>
      <sheetName val="14-Labor_Cost10"/>
      <sheetName val="UPPER_BLOCK2"/>
      <sheetName val="Change_Log17"/>
      <sheetName val="Input_Sheet17"/>
      <sheetName val="Dashboard_Database14"/>
      <sheetName val="graph_SOP14"/>
      <sheetName val="13_GRR_ND16"/>
      <sheetName val="ALL_PARTS_PRICE_LIST17"/>
      <sheetName val="Sept_BF14"/>
      <sheetName val="10_Year_Forecast14"/>
      <sheetName val="024_SGM980_GBOX_+_KBOLSTER14"/>
      <sheetName val="Price_List14"/>
      <sheetName val="G_1R-Shou_COP_Gf14"/>
      <sheetName val="GIFS_Data14"/>
      <sheetName val="Rates_and_Tarrifs14"/>
      <sheetName val="Attendee_List14"/>
      <sheetName val="Page_014"/>
      <sheetName val="Table_of_contents14"/>
      <sheetName val="VL_PBT14"/>
      <sheetName val="Act__Bud__FIB_200414"/>
      <sheetName val="Parametres_0414"/>
      <sheetName val="MPL_技連14"/>
      <sheetName val="342E_BLOCK14"/>
      <sheetName val="Reference_data14"/>
      <sheetName val="31_12_0314"/>
      <sheetName val="Section_1-RFQ14"/>
      <sheetName val="PA_19114"/>
      <sheetName val="Status_&amp;_Aufträge14"/>
      <sheetName val="a-und_b-Preise_114"/>
      <sheetName val="heutige_Lieferbeziehungen14"/>
      <sheetName val="COMPARISON_SHEET_(Audi)14"/>
      <sheetName val="LONGTERM_SHEET_(Audi)14"/>
      <sheetName val="RECOMMENDATION_SHEET_(Audi)14"/>
      <sheetName val="a-und_b-Preise_214"/>
      <sheetName val="Vorbereitende_Eing__(Teil_1)14"/>
      <sheetName val="BIDDERS_LIST_(1)14"/>
      <sheetName val="COMPARISON_SHEET_(1)14"/>
      <sheetName val="LONGTERM_SHEET_(1)14"/>
      <sheetName val="RECOMMENDATION_SHEET_(1)14"/>
      <sheetName val="Teilepreise_&amp;_PT-Kosten_(1)14"/>
      <sheetName val="Barwertberechnung_(1)14"/>
      <sheetName val="Vorbereitende_Eing__(Teil_2)14"/>
      <sheetName val="BIDDERS_LIST_(2)14"/>
      <sheetName val="COMPARISON_SHEET_(2)14"/>
      <sheetName val="LONGTERM_SHEET_(2)14"/>
      <sheetName val="RECOMMENDATION_SHEET_(2)14"/>
      <sheetName val="Teilepreise_&amp;_PT-Kosten_(2)14"/>
      <sheetName val="Barwertberechnung_(2)14"/>
      <sheetName val="Vorbereitende_Eing__(Teil_3)14"/>
      <sheetName val="BIDDERS_LIST_(3)14"/>
      <sheetName val="COMPARISON_SHEET_(3)14"/>
      <sheetName val="LONGTERM_SHEET_(3)14"/>
      <sheetName val="RECOMMENDATION_SHEET_(3)14"/>
      <sheetName val="Teilepreise_&amp;_PT-Kosten_(3)14"/>
      <sheetName val="Barwertberechnung_(3)14"/>
      <sheetName val="Vorbereitende_Eing__(Teil_4)14"/>
      <sheetName val="BIDDERS_LIST_(4)14"/>
      <sheetName val="COMPARISON_SHEET_(4)14"/>
      <sheetName val="LONGTERM_SHEET_(4)14"/>
      <sheetName val="RECOMMENDATION_SHEET_(4)14"/>
      <sheetName val="Teilepreise_&amp;_PT-Kosten_(4)14"/>
      <sheetName val="Barwertberechnung_(4)14"/>
      <sheetName val="Vorbereitende_Eing__(Teil_5)14"/>
      <sheetName val="BIDDERS_LIST_(5)14"/>
      <sheetName val="COMPARISON_SHEET_(5)14"/>
      <sheetName val="LONGTERM_SHEET_(5)14"/>
      <sheetName val="RECOMMENDATION_SHEET_(5)14"/>
      <sheetName val="Teilepreise_&amp;_PT-Kosten_(5)14"/>
      <sheetName val="Barwertberechnung_(5)14"/>
      <sheetName val="v_a-und_b-Preise14"/>
      <sheetName val="Plausibilität_Target14"/>
      <sheetName val="v_Vorbereitende_Eing__(Teil_114"/>
      <sheetName val="v_BIDDERS_LIST_(1)14"/>
      <sheetName val="v_COMPARISON_SHEET_(1)14"/>
      <sheetName val="v_LONGTERM_SHEET_(1)14"/>
      <sheetName val="v_RECOMMENDATION_SHEET_(1)14"/>
      <sheetName val="v_Teilepreise_&amp;_PT-Kosten_(1)14"/>
      <sheetName val="v_Barwertberechnung_(1)14"/>
      <sheetName val="BOM_Compile14"/>
      <sheetName val="CBA_Load14"/>
      <sheetName val="SG&amp;A,_INDL14"/>
      <sheetName val="Tool,_PC14"/>
      <sheetName val="Start_Here14"/>
      <sheetName val="Burden_Rates14"/>
      <sheetName val="POWER_ASSUMPTIONS14"/>
      <sheetName val="Page_3914"/>
      <sheetName val="Page_2614"/>
      <sheetName val="Page_3114"/>
      <sheetName val="Page_814"/>
      <sheetName val="Cost_Walk13"/>
      <sheetName val="1_2013"/>
      <sheetName val="03_Transportation_Quoting13"/>
      <sheetName val="Sales_Ranking_by_Manufactures13"/>
      <sheetName val="Plant_Data13"/>
      <sheetName val="Page_1513"/>
      <sheetName val="Non_quality_costs13"/>
      <sheetName val="Page_2013"/>
      <sheetName val="Page_4213"/>
      <sheetName val="Page_2113"/>
      <sheetName val="Page_2413"/>
      <sheetName val="Page_2513"/>
      <sheetName val="Page_3013"/>
      <sheetName val="IST_ACTUAL_EUR13"/>
      <sheetName val="INVESTMENTS_NON_AP13"/>
      <sheetName val="CUSTOMER_(DETAIL)13"/>
      <sheetName val="Sheet1_(3)13"/>
      <sheetName val="variable_113"/>
      <sheetName val="Page_14-A13"/>
      <sheetName val="Total_Mkt13"/>
      <sheetName val="진행_DATA_(2)13"/>
      <sheetName val="Ind_Labor_Cost13"/>
      <sheetName val="Dir_Labor_Cost13"/>
      <sheetName val="HVL_Cost_Study12"/>
      <sheetName val="Inv_S12"/>
      <sheetName val="EN114_&amp;_SN9512"/>
      <sheetName val="Target_Cascade12"/>
      <sheetName val="Auto_Trans_Total_F&amp;T_12"/>
      <sheetName val="Manual_Trans_Total_F&amp;T12"/>
      <sheetName val="V_Engine_Mfg_Process12"/>
      <sheetName val="FULL_BOM12"/>
      <sheetName val="After_Sales_Supplier_#'s12"/>
      <sheetName val="Apr_(1)_3_of_312"/>
      <sheetName val="Page_113"/>
      <sheetName val="14-Labor_Cost12"/>
      <sheetName val="Cost_Walk12"/>
      <sheetName val="1_2012"/>
      <sheetName val="03_Transportation_Quoting12"/>
      <sheetName val="Plant_Data12"/>
      <sheetName val="Page_1512"/>
      <sheetName val="Non_quality_costs12"/>
      <sheetName val="Page_2012"/>
      <sheetName val="Page_4212"/>
      <sheetName val="Page_2112"/>
      <sheetName val="Page_2412"/>
      <sheetName val="Page_2512"/>
      <sheetName val="Page_3012"/>
      <sheetName val="IST_ACTUAL_EUR12"/>
      <sheetName val="INVESTMENTS_NON_AP12"/>
      <sheetName val="CUSTOMER_(DETAIL)12"/>
      <sheetName val="Sheet1_(3)12"/>
      <sheetName val="variable_112"/>
      <sheetName val="Page_14-A12"/>
      <sheetName val="Total_Mkt12"/>
      <sheetName val="진행_DATA_(2)12"/>
      <sheetName val="Ind_Labor_Cost12"/>
      <sheetName val="Dir_Labor_Cost12"/>
      <sheetName val="HVL_Cost_Study11"/>
      <sheetName val="Inv_S11"/>
      <sheetName val="EN114_&amp;_SN9511"/>
      <sheetName val="Target_Cascade11"/>
      <sheetName val="Auto_Trans_Total_F&amp;T_11"/>
      <sheetName val="Manual_Trans_Total_F&amp;T11"/>
      <sheetName val="V_Engine_Mfg_Process11"/>
      <sheetName val="FULL_BOM11"/>
      <sheetName val="After_Sales_Supplier_#'s11"/>
      <sheetName val="Apr_(1)_3_of_311"/>
      <sheetName val="Page_112"/>
      <sheetName val="14-Labor_Cost11"/>
      <sheetName val="Change_Log18"/>
      <sheetName val="Input_Sheet18"/>
      <sheetName val="Dashboard_Database15"/>
      <sheetName val="graph_SOP15"/>
      <sheetName val="13_GRR_ND17"/>
      <sheetName val="ALL_PARTS_PRICE_LIST18"/>
      <sheetName val="Sept_BF15"/>
      <sheetName val="10_Year_Forecast15"/>
      <sheetName val="024_SGM980_GBOX_+_KBOLSTER15"/>
      <sheetName val="Price_List15"/>
      <sheetName val="G_1R-Shou_COP_Gf15"/>
      <sheetName val="GIFS_Data15"/>
      <sheetName val="Rates_and_Tarrifs15"/>
      <sheetName val="Attendee_List15"/>
      <sheetName val="Page_015"/>
      <sheetName val="Table_of_contents15"/>
      <sheetName val="VL_PBT15"/>
      <sheetName val="Act__Bud__FIB_200415"/>
      <sheetName val="Parametres_0415"/>
      <sheetName val="MPL_技連15"/>
      <sheetName val="342E_BLOCK15"/>
      <sheetName val="Reference_data15"/>
      <sheetName val="31_12_0315"/>
      <sheetName val="Section_1-RFQ15"/>
      <sheetName val="PA_19115"/>
      <sheetName val="Status_&amp;_Aufträge15"/>
      <sheetName val="a-und_b-Preise_115"/>
      <sheetName val="heutige_Lieferbeziehungen15"/>
      <sheetName val="COMPARISON_SHEET_(Audi)15"/>
      <sheetName val="LONGTERM_SHEET_(Audi)15"/>
      <sheetName val="RECOMMENDATION_SHEET_(Audi)15"/>
      <sheetName val="a-und_b-Preise_215"/>
      <sheetName val="Vorbereitende_Eing__(Teil_1)15"/>
      <sheetName val="BIDDERS_LIST_(1)15"/>
      <sheetName val="COMPARISON_SHEET_(1)15"/>
      <sheetName val="LONGTERM_SHEET_(1)15"/>
      <sheetName val="RECOMMENDATION_SHEET_(1)15"/>
      <sheetName val="Teilepreise_&amp;_PT-Kosten_(1)15"/>
      <sheetName val="Barwertberechnung_(1)15"/>
      <sheetName val="Vorbereitende_Eing__(Teil_2)15"/>
      <sheetName val="BIDDERS_LIST_(2)15"/>
      <sheetName val="COMPARISON_SHEET_(2)15"/>
      <sheetName val="LONGTERM_SHEET_(2)15"/>
      <sheetName val="RECOMMENDATION_SHEET_(2)15"/>
      <sheetName val="Teilepreise_&amp;_PT-Kosten_(2)15"/>
      <sheetName val="Barwertberechnung_(2)15"/>
      <sheetName val="Vorbereitende_Eing__(Teil_3)15"/>
      <sheetName val="BIDDERS_LIST_(3)15"/>
      <sheetName val="COMPARISON_SHEET_(3)15"/>
      <sheetName val="LONGTERM_SHEET_(3)15"/>
      <sheetName val="RECOMMENDATION_SHEET_(3)15"/>
      <sheetName val="Teilepreise_&amp;_PT-Kosten_(3)15"/>
      <sheetName val="Barwertberechnung_(3)15"/>
      <sheetName val="Vorbereitende_Eing__(Teil_4)15"/>
      <sheetName val="BIDDERS_LIST_(4)15"/>
      <sheetName val="COMPARISON_SHEET_(4)15"/>
      <sheetName val="LONGTERM_SHEET_(4)15"/>
      <sheetName val="RECOMMENDATION_SHEET_(4)15"/>
      <sheetName val="Teilepreise_&amp;_PT-Kosten_(4)15"/>
      <sheetName val="Barwertberechnung_(4)15"/>
      <sheetName val="Vorbereitende_Eing__(Teil_5)15"/>
      <sheetName val="BIDDERS_LIST_(5)15"/>
      <sheetName val="COMPARISON_SHEET_(5)15"/>
      <sheetName val="LONGTERM_SHEET_(5)15"/>
      <sheetName val="RECOMMENDATION_SHEET_(5)15"/>
      <sheetName val="Teilepreise_&amp;_PT-Kosten_(5)15"/>
      <sheetName val="Barwertberechnung_(5)15"/>
      <sheetName val="v_a-und_b-Preise15"/>
      <sheetName val="Plausibilität_Target15"/>
      <sheetName val="v_Vorbereitende_Eing__(Teil_115"/>
      <sheetName val="v_BIDDERS_LIST_(1)15"/>
      <sheetName val="v_COMPARISON_SHEET_(1)15"/>
      <sheetName val="v_LONGTERM_SHEET_(1)15"/>
      <sheetName val="v_RECOMMENDATION_SHEET_(1)15"/>
      <sheetName val="v_Teilepreise_&amp;_PT-Kosten_(1)15"/>
      <sheetName val="v_Barwertberechnung_(1)15"/>
      <sheetName val="BOM_Compile15"/>
      <sheetName val="CBA_Load15"/>
      <sheetName val="SG&amp;A,_INDL15"/>
      <sheetName val="Tool,_PC15"/>
      <sheetName val="Start_Here15"/>
      <sheetName val="Burden_Rates15"/>
      <sheetName val="POWER_ASSUMPTIONS15"/>
      <sheetName val="Page_3915"/>
      <sheetName val="Page_2615"/>
      <sheetName val="Page_3115"/>
      <sheetName val="Page_815"/>
      <sheetName val="Cost_Walk14"/>
      <sheetName val="1_2014"/>
      <sheetName val="03_Transportation_Quoting14"/>
      <sheetName val="Sales_Ranking_by_Manufactures14"/>
      <sheetName val="Plant_Data14"/>
      <sheetName val="Page_1514"/>
      <sheetName val="Non_quality_costs14"/>
      <sheetName val="Page_2014"/>
      <sheetName val="Page_4214"/>
      <sheetName val="Page_2114"/>
      <sheetName val="Page_2414"/>
      <sheetName val="Page_2514"/>
      <sheetName val="Page_3014"/>
      <sheetName val="IST_ACTUAL_EUR14"/>
      <sheetName val="INVESTMENTS_NON_AP14"/>
      <sheetName val="CUSTOMER_(DETAIL)14"/>
      <sheetName val="Sheet1_(3)14"/>
      <sheetName val="variable_114"/>
      <sheetName val="Page_14-A14"/>
      <sheetName val="Total_Mkt14"/>
      <sheetName val="진행_DATA_(2)14"/>
      <sheetName val="Ind_Labor_Cost14"/>
      <sheetName val="Dir_Labor_Cost14"/>
      <sheetName val="HVL_Cost_Study13"/>
      <sheetName val="Inv_S13"/>
      <sheetName val="EN114_&amp;_SN9513"/>
      <sheetName val="Target_Cascade13"/>
      <sheetName val="Auto_Trans_Total_F&amp;T_13"/>
      <sheetName val="Manual_Trans_Total_F&amp;T13"/>
      <sheetName val="V_Engine_Mfg_Process13"/>
      <sheetName val="FULL_BOM13"/>
      <sheetName val="After_Sales_Supplier_#'s13"/>
      <sheetName val="Apr_(1)_3_of_313"/>
      <sheetName val="Page_114"/>
      <sheetName val="14-Labor_Cost13"/>
      <sheetName val="UPPER_BLOCK3"/>
      <sheetName val="Change_Log20"/>
      <sheetName val="Input_Sheet20"/>
      <sheetName val="Dashboard_Database17"/>
      <sheetName val="graph_SOP17"/>
      <sheetName val="13_GRR_ND19"/>
      <sheetName val="ALL_PARTS_PRICE_LIST20"/>
      <sheetName val="Sept_BF17"/>
      <sheetName val="10_Year_Forecast17"/>
      <sheetName val="024_SGM980_GBOX_+_KBOLSTER17"/>
      <sheetName val="Price_List17"/>
      <sheetName val="G_1R-Shou_COP_Gf17"/>
      <sheetName val="GIFS_Data17"/>
      <sheetName val="Attendee_List17"/>
      <sheetName val="Rates_and_Tarrifs17"/>
      <sheetName val="Page_017"/>
      <sheetName val="Table_of_contents17"/>
      <sheetName val="VL_PBT17"/>
      <sheetName val="Act__Bud__FIB_200417"/>
      <sheetName val="Parametres_0417"/>
      <sheetName val="MPL_技連17"/>
      <sheetName val="342E_BLOCK17"/>
      <sheetName val="Reference_data17"/>
      <sheetName val="31_12_0317"/>
      <sheetName val="Section_1-RFQ17"/>
      <sheetName val="PA_19117"/>
      <sheetName val="Status_&amp;_Aufträge17"/>
      <sheetName val="a-und_b-Preise_117"/>
      <sheetName val="heutige_Lieferbeziehungen17"/>
      <sheetName val="COMPARISON_SHEET_(Audi)17"/>
      <sheetName val="LONGTERM_SHEET_(Audi)17"/>
      <sheetName val="RECOMMENDATION_SHEET_(Audi)17"/>
      <sheetName val="a-und_b-Preise_217"/>
      <sheetName val="Vorbereitende_Eing__(Teil_1)17"/>
      <sheetName val="BIDDERS_LIST_(1)17"/>
      <sheetName val="COMPARISON_SHEET_(1)17"/>
      <sheetName val="LONGTERM_SHEET_(1)17"/>
      <sheetName val="RECOMMENDATION_SHEET_(1)17"/>
      <sheetName val="Teilepreise_&amp;_PT-Kosten_(1)17"/>
      <sheetName val="Barwertberechnung_(1)17"/>
      <sheetName val="Vorbereitende_Eing__(Teil_2)17"/>
      <sheetName val="BIDDERS_LIST_(2)17"/>
      <sheetName val="COMPARISON_SHEET_(2)17"/>
      <sheetName val="LONGTERM_SHEET_(2)17"/>
      <sheetName val="RECOMMENDATION_SHEET_(2)17"/>
      <sheetName val="Teilepreise_&amp;_PT-Kosten_(2)17"/>
      <sheetName val="Barwertberechnung_(2)17"/>
      <sheetName val="Vorbereitende_Eing__(Teil_3)17"/>
      <sheetName val="BIDDERS_LIST_(3)17"/>
      <sheetName val="COMPARISON_SHEET_(3)17"/>
      <sheetName val="LONGTERM_SHEET_(3)17"/>
      <sheetName val="RECOMMENDATION_SHEET_(3)17"/>
      <sheetName val="Teilepreise_&amp;_PT-Kosten_(3)17"/>
      <sheetName val="Barwertberechnung_(3)17"/>
      <sheetName val="Vorbereitende_Eing__(Teil_4)17"/>
      <sheetName val="BIDDERS_LIST_(4)17"/>
      <sheetName val="COMPARISON_SHEET_(4)17"/>
      <sheetName val="LONGTERM_SHEET_(4)17"/>
      <sheetName val="RECOMMENDATION_SHEET_(4)17"/>
      <sheetName val="Teilepreise_&amp;_PT-Kosten_(4)17"/>
      <sheetName val="Barwertberechnung_(4)17"/>
      <sheetName val="Vorbereitende_Eing__(Teil_5)17"/>
      <sheetName val="BIDDERS_LIST_(5)17"/>
      <sheetName val="COMPARISON_SHEET_(5)17"/>
      <sheetName val="LONGTERM_SHEET_(5)17"/>
      <sheetName val="RECOMMENDATION_SHEET_(5)17"/>
      <sheetName val="Teilepreise_&amp;_PT-Kosten_(5)17"/>
      <sheetName val="Barwertberechnung_(5)17"/>
      <sheetName val="v_a-und_b-Preise17"/>
      <sheetName val="Plausibilität_Target17"/>
      <sheetName val="v_Vorbereitende_Eing__(Teil_117"/>
      <sheetName val="v_BIDDERS_LIST_(1)17"/>
      <sheetName val="v_COMPARISON_SHEET_(1)17"/>
      <sheetName val="v_LONGTERM_SHEET_(1)17"/>
      <sheetName val="v_RECOMMENDATION_SHEET_(1)17"/>
      <sheetName val="v_Teilepreise_&amp;_PT-Kosten_(1)17"/>
      <sheetName val="v_Barwertberechnung_(1)17"/>
      <sheetName val="BOM_Compile17"/>
      <sheetName val="CBA_Load17"/>
      <sheetName val="SG&amp;A,_INDL17"/>
      <sheetName val="Tool,_PC17"/>
      <sheetName val="Start_Here17"/>
      <sheetName val="Burden_Rates17"/>
      <sheetName val="POWER_ASSUMPTIONS17"/>
      <sheetName val="Page_3917"/>
      <sheetName val="Page_2617"/>
      <sheetName val="Page_3117"/>
      <sheetName val="Page_817"/>
      <sheetName val="Sales_Ranking_by_Manufactures16"/>
      <sheetName val="Plant_Data16"/>
      <sheetName val="Page_1516"/>
      <sheetName val="Non_quality_costs16"/>
      <sheetName val="Page_2016"/>
      <sheetName val="Page_4216"/>
      <sheetName val="Page_2116"/>
      <sheetName val="Page_2416"/>
      <sheetName val="Page_2516"/>
      <sheetName val="Page_3016"/>
      <sheetName val="IST_ACTUAL_EUR16"/>
      <sheetName val="Cost_Walk16"/>
      <sheetName val="INVESTMENTS_NON_AP16"/>
      <sheetName val="CUSTOMER_(DETAIL)16"/>
      <sheetName val="Sheet1_(3)16"/>
      <sheetName val="variable_116"/>
      <sheetName val="Page_14-A16"/>
      <sheetName val="Total_Mkt16"/>
      <sheetName val="진행_DATA_(2)16"/>
      <sheetName val="Ind_Labor_Cost16"/>
      <sheetName val="Dir_Labor_Cost16"/>
      <sheetName val="1_2016"/>
      <sheetName val="03_Transportation_Quoting16"/>
      <sheetName val="HVL_Cost_Study15"/>
      <sheetName val="Inv_S15"/>
      <sheetName val="EN114_&amp;_SN9515"/>
      <sheetName val="Target_Cascade15"/>
      <sheetName val="Auto_Trans_Total_F&amp;T_15"/>
      <sheetName val="Manual_Trans_Total_F&amp;T15"/>
      <sheetName val="V_Engine_Mfg_Process15"/>
      <sheetName val="FULL_BOM15"/>
      <sheetName val="After_Sales_Supplier_#'s15"/>
      <sheetName val="Apr_(1)_3_of_315"/>
      <sheetName val="Page_116"/>
      <sheetName val="14-Labor_Cost15"/>
      <sheetName val="UPPER_BLOCK4"/>
      <sheetName val="Change_Log21"/>
      <sheetName val="Input_Sheet21"/>
      <sheetName val="Dashboard_Database18"/>
      <sheetName val="graph_SOP18"/>
      <sheetName val="13_GRR_ND20"/>
      <sheetName val="ALL_PARTS_PRICE_LIST21"/>
      <sheetName val="Sept_BF18"/>
      <sheetName val="10_Year_Forecast18"/>
      <sheetName val="024_SGM980_GBOX_+_KBOLSTER18"/>
      <sheetName val="Price_List18"/>
      <sheetName val="G_1R-Shou_COP_Gf18"/>
      <sheetName val="GIFS_Data18"/>
      <sheetName val="Attendee_List18"/>
      <sheetName val="Rates_and_Tarrifs18"/>
      <sheetName val="Page_018"/>
      <sheetName val="Table_of_contents18"/>
      <sheetName val="VL_PBT18"/>
      <sheetName val="Act__Bud__FIB_200418"/>
      <sheetName val="Parametres_0418"/>
      <sheetName val="MPL_技連18"/>
      <sheetName val="342E_BLOCK18"/>
      <sheetName val="Reference_data18"/>
      <sheetName val="31_12_0318"/>
      <sheetName val="Section_1-RFQ18"/>
      <sheetName val="PA_19118"/>
      <sheetName val="Status_&amp;_Aufträge18"/>
      <sheetName val="a-und_b-Preise_118"/>
      <sheetName val="heutige_Lieferbeziehungen18"/>
      <sheetName val="COMPARISON_SHEET_(Audi)18"/>
      <sheetName val="LONGTERM_SHEET_(Audi)18"/>
      <sheetName val="RECOMMENDATION_SHEET_(Audi)18"/>
      <sheetName val="a-und_b-Preise_218"/>
      <sheetName val="Vorbereitende_Eing__(Teil_1)18"/>
      <sheetName val="BIDDERS_LIST_(1)18"/>
      <sheetName val="COMPARISON_SHEET_(1)18"/>
      <sheetName val="LONGTERM_SHEET_(1)18"/>
      <sheetName val="RECOMMENDATION_SHEET_(1)18"/>
      <sheetName val="Teilepreise_&amp;_PT-Kosten_(1)18"/>
      <sheetName val="Barwertberechnung_(1)18"/>
      <sheetName val="Vorbereitende_Eing__(Teil_2)18"/>
      <sheetName val="BIDDERS_LIST_(2)18"/>
      <sheetName val="COMPARISON_SHEET_(2)18"/>
      <sheetName val="LONGTERM_SHEET_(2)18"/>
      <sheetName val="RECOMMENDATION_SHEET_(2)18"/>
      <sheetName val="Teilepreise_&amp;_PT-Kosten_(2)18"/>
      <sheetName val="Barwertberechnung_(2)18"/>
      <sheetName val="Vorbereitende_Eing__(Teil_3)18"/>
      <sheetName val="BIDDERS_LIST_(3)18"/>
      <sheetName val="COMPARISON_SHEET_(3)18"/>
      <sheetName val="LONGTERM_SHEET_(3)18"/>
      <sheetName val="RECOMMENDATION_SHEET_(3)18"/>
      <sheetName val="Teilepreise_&amp;_PT-Kosten_(3)18"/>
      <sheetName val="Barwertberechnung_(3)18"/>
      <sheetName val="Vorbereitende_Eing__(Teil_4)18"/>
      <sheetName val="BIDDERS_LIST_(4)18"/>
      <sheetName val="COMPARISON_SHEET_(4)18"/>
      <sheetName val="LONGTERM_SHEET_(4)18"/>
      <sheetName val="RECOMMENDATION_SHEET_(4)18"/>
      <sheetName val="Teilepreise_&amp;_PT-Kosten_(4)18"/>
      <sheetName val="Barwertberechnung_(4)18"/>
      <sheetName val="Vorbereitende_Eing__(Teil_5)18"/>
      <sheetName val="BIDDERS_LIST_(5)18"/>
      <sheetName val="COMPARISON_SHEET_(5)18"/>
      <sheetName val="LONGTERM_SHEET_(5)18"/>
      <sheetName val="RECOMMENDATION_SHEET_(5)18"/>
      <sheetName val="Teilepreise_&amp;_PT-Kosten_(5)18"/>
      <sheetName val="Barwertberechnung_(5)18"/>
      <sheetName val="v_a-und_b-Preise18"/>
      <sheetName val="Plausibilität_Target18"/>
      <sheetName val="v_Vorbereitende_Eing__(Teil_118"/>
      <sheetName val="v_BIDDERS_LIST_(1)18"/>
      <sheetName val="v_COMPARISON_SHEET_(1)18"/>
      <sheetName val="v_LONGTERM_SHEET_(1)18"/>
      <sheetName val="v_RECOMMENDATION_SHEET_(1)18"/>
      <sheetName val="v_Teilepreise_&amp;_PT-Kosten_(1)18"/>
      <sheetName val="v_Barwertberechnung_(1)18"/>
      <sheetName val="BOM_Compile18"/>
      <sheetName val="CBA_Load18"/>
      <sheetName val="SG&amp;A,_INDL18"/>
      <sheetName val="Tool,_PC18"/>
      <sheetName val="Start_Here18"/>
      <sheetName val="Burden_Rates18"/>
      <sheetName val="POWER_ASSUMPTIONS18"/>
      <sheetName val="Page_3918"/>
      <sheetName val="Page_2618"/>
      <sheetName val="Page_3118"/>
      <sheetName val="Page_818"/>
      <sheetName val="Sales_Ranking_by_Manufactures17"/>
      <sheetName val="Cost_Walk17"/>
      <sheetName val="IST_ACTUAL_EUR17"/>
      <sheetName val="INVESTMENTS_NON_AP17"/>
      <sheetName val="Plant_Data17"/>
      <sheetName val="Page_1517"/>
      <sheetName val="Non_quality_costs17"/>
      <sheetName val="Page_2017"/>
      <sheetName val="Page_4217"/>
      <sheetName val="Page_2117"/>
      <sheetName val="Page_2417"/>
      <sheetName val="Page_2517"/>
      <sheetName val="Page_3017"/>
      <sheetName val="CUSTOMER_(DETAIL)17"/>
      <sheetName val="Sheet1_(3)17"/>
      <sheetName val="variable_117"/>
      <sheetName val="Page_14-A17"/>
      <sheetName val="Total_Mkt17"/>
      <sheetName val="1_2017"/>
      <sheetName val="03_Transportation_Quoting17"/>
      <sheetName val="진행_DATA_(2)17"/>
      <sheetName val="Ind_Labor_Cost17"/>
      <sheetName val="Dir_Labor_Cost17"/>
      <sheetName val="Change_Log22"/>
      <sheetName val="Input_Sheet22"/>
      <sheetName val="Dashboard_Database19"/>
      <sheetName val="graph_SOP19"/>
      <sheetName val="13_GRR_ND21"/>
      <sheetName val="ALL_PARTS_PRICE_LIST22"/>
      <sheetName val="Sept_BF19"/>
      <sheetName val="10_Year_Forecast19"/>
      <sheetName val="024_SGM980_GBOX_+_KBOLSTER19"/>
      <sheetName val="Price_List19"/>
      <sheetName val="G_1R-Shou_COP_Gf19"/>
      <sheetName val="GIFS_Data19"/>
      <sheetName val="Attendee_List19"/>
      <sheetName val="Rates_and_Tarrifs19"/>
      <sheetName val="Page_019"/>
      <sheetName val="Table_of_contents19"/>
      <sheetName val="VL_PBT19"/>
      <sheetName val="Act__Bud__FIB_200419"/>
      <sheetName val="Parametres_0419"/>
      <sheetName val="MPL_技連19"/>
      <sheetName val="342E_BLOCK19"/>
      <sheetName val="Reference_data19"/>
      <sheetName val="31_12_0319"/>
      <sheetName val="Section_1-RFQ19"/>
      <sheetName val="PA_19119"/>
      <sheetName val="Status_&amp;_Aufträge19"/>
      <sheetName val="a-und_b-Preise_119"/>
      <sheetName val="heutige_Lieferbeziehungen19"/>
      <sheetName val="COMPARISON_SHEET_(Audi)19"/>
      <sheetName val="LONGTERM_SHEET_(Audi)19"/>
      <sheetName val="RECOMMENDATION_SHEET_(Audi)19"/>
      <sheetName val="a-und_b-Preise_219"/>
      <sheetName val="Vorbereitende_Eing__(Teil_1)19"/>
      <sheetName val="BIDDERS_LIST_(1)19"/>
      <sheetName val="COMPARISON_SHEET_(1)19"/>
      <sheetName val="LONGTERM_SHEET_(1)19"/>
      <sheetName val="RECOMMENDATION_SHEET_(1)19"/>
      <sheetName val="Teilepreise_&amp;_PT-Kosten_(1)19"/>
      <sheetName val="Barwertberechnung_(1)19"/>
      <sheetName val="Vorbereitende_Eing__(Teil_2)19"/>
      <sheetName val="BIDDERS_LIST_(2)19"/>
      <sheetName val="COMPARISON_SHEET_(2)19"/>
      <sheetName val="LONGTERM_SHEET_(2)19"/>
      <sheetName val="RECOMMENDATION_SHEET_(2)19"/>
      <sheetName val="Teilepreise_&amp;_PT-Kosten_(2)19"/>
      <sheetName val="Barwertberechnung_(2)19"/>
      <sheetName val="Vorbereitende_Eing__(Teil_3)19"/>
      <sheetName val="BIDDERS_LIST_(3)19"/>
      <sheetName val="COMPARISON_SHEET_(3)19"/>
      <sheetName val="LONGTERM_SHEET_(3)19"/>
      <sheetName val="RECOMMENDATION_SHEET_(3)19"/>
      <sheetName val="Teilepreise_&amp;_PT-Kosten_(3)19"/>
      <sheetName val="Barwertberechnung_(3)19"/>
      <sheetName val="Vorbereitende_Eing__(Teil_4)19"/>
      <sheetName val="BIDDERS_LIST_(4)19"/>
      <sheetName val="COMPARISON_SHEET_(4)19"/>
      <sheetName val="LONGTERM_SHEET_(4)19"/>
      <sheetName val="RECOMMENDATION_SHEET_(4)19"/>
      <sheetName val="Teilepreise_&amp;_PT-Kosten_(4)19"/>
      <sheetName val="Barwertberechnung_(4)19"/>
      <sheetName val="Vorbereitende_Eing__(Teil_5)19"/>
      <sheetName val="BIDDERS_LIST_(5)19"/>
      <sheetName val="COMPARISON_SHEET_(5)19"/>
      <sheetName val="LONGTERM_SHEET_(5)19"/>
      <sheetName val="RECOMMENDATION_SHEET_(5)19"/>
      <sheetName val="Teilepreise_&amp;_PT-Kosten_(5)19"/>
      <sheetName val="Barwertberechnung_(5)19"/>
      <sheetName val="v_a-und_b-Preise19"/>
      <sheetName val="Plausibilität_Target19"/>
      <sheetName val="v_Vorbereitende_Eing__(Teil_119"/>
      <sheetName val="v_BIDDERS_LIST_(1)19"/>
      <sheetName val="v_COMPARISON_SHEET_(1)19"/>
      <sheetName val="v_LONGTERM_SHEET_(1)19"/>
      <sheetName val="v_RECOMMENDATION_SHEET_(1)19"/>
      <sheetName val="v_Teilepreise_&amp;_PT-Kosten_(1)19"/>
      <sheetName val="v_Barwertberechnung_(1)19"/>
      <sheetName val="BOM_Compile19"/>
      <sheetName val="CBA_Load19"/>
      <sheetName val="SG&amp;A,_INDL19"/>
      <sheetName val="Tool,_PC19"/>
      <sheetName val="Start_Here19"/>
      <sheetName val="Burden_Rates19"/>
      <sheetName val="POWER_ASSUMPTIONS19"/>
      <sheetName val="Page_3919"/>
      <sheetName val="Page_2619"/>
      <sheetName val="Page_3119"/>
      <sheetName val="Page_819"/>
      <sheetName val="Sales_Ranking_by_Manufactures18"/>
      <sheetName val="Plant_Data18"/>
      <sheetName val="Page_1518"/>
      <sheetName val="Non_quality_costs18"/>
      <sheetName val="Page_2018"/>
      <sheetName val="Page_4218"/>
      <sheetName val="Page_2118"/>
      <sheetName val="Page_2418"/>
      <sheetName val="Page_2518"/>
      <sheetName val="Page_3018"/>
      <sheetName val="IST_ACTUAL_EUR18"/>
      <sheetName val="Cost_Walk18"/>
      <sheetName val="INVESTMENTS_NON_AP18"/>
      <sheetName val="CUSTOMER_(DETAIL)18"/>
      <sheetName val="Sheet1_(3)18"/>
      <sheetName val="variable_118"/>
      <sheetName val="Page_14-A18"/>
      <sheetName val="Total_Mkt18"/>
      <sheetName val="진행_DATA_(2)18"/>
      <sheetName val="Ind_Labor_Cost18"/>
      <sheetName val="Dir_Labor_Cost18"/>
      <sheetName val="1_2018"/>
      <sheetName val="03_Transportation_Quoting18"/>
      <sheetName val="HVL_Cost_Study17"/>
      <sheetName val="Inv_S17"/>
      <sheetName val="EN114_&amp;_SN9517"/>
      <sheetName val="Target_Cascade17"/>
      <sheetName val="Auto_Trans_Total_F&amp;T_17"/>
      <sheetName val="Manual_Trans_Total_F&amp;T17"/>
      <sheetName val="V_Engine_Mfg_Process17"/>
      <sheetName val="FULL_BOM17"/>
      <sheetName val="After_Sales_Supplier_#'s17"/>
      <sheetName val="Apr_(1)_3_of_317"/>
      <sheetName val="Page_118"/>
      <sheetName val="14-Labor_Cost17"/>
      <sheetName val="UPPER_BLOCK6"/>
      <sheetName val="HVL_Cost_Study16"/>
      <sheetName val="Inv_S16"/>
      <sheetName val="EN114_&amp;_SN9516"/>
      <sheetName val="Target_Cascade16"/>
      <sheetName val="Auto_Trans_Total_F&amp;T_16"/>
      <sheetName val="Manual_Trans_Total_F&amp;T16"/>
      <sheetName val="V_Engine_Mfg_Process16"/>
      <sheetName val="FULL_BOM16"/>
      <sheetName val="After_Sales_Supplier_#'s16"/>
      <sheetName val="Apr_(1)_3_of_316"/>
      <sheetName val="Page_117"/>
      <sheetName val="14-Labor_Cost16"/>
      <sheetName val="UPPER_BLOCK5"/>
      <sheetName val="Change_Log23"/>
      <sheetName val="Input_Sheet23"/>
      <sheetName val="Dashboard_Database20"/>
      <sheetName val="graph_SOP20"/>
      <sheetName val="13_GRR_ND22"/>
      <sheetName val="ALL_PARTS_PRICE_LIST23"/>
      <sheetName val="Sept_BF20"/>
      <sheetName val="10_Year_Forecast20"/>
      <sheetName val="024_SGM980_GBOX_+_KBOLSTER20"/>
      <sheetName val="Price_List20"/>
      <sheetName val="G_1R-Shou_COP_Gf20"/>
      <sheetName val="GIFS_Data20"/>
      <sheetName val="Attendee_List20"/>
      <sheetName val="Rates_and_Tarrifs20"/>
      <sheetName val="Page_020"/>
      <sheetName val="Table_of_contents20"/>
      <sheetName val="VL_PBT20"/>
      <sheetName val="Act__Bud__FIB_200420"/>
      <sheetName val="Parametres_0420"/>
      <sheetName val="MPL_技連20"/>
      <sheetName val="342E_BLOCK20"/>
      <sheetName val="Reference_data20"/>
      <sheetName val="31_12_0320"/>
      <sheetName val="Section_1-RFQ20"/>
      <sheetName val="PA_19120"/>
      <sheetName val="Status_&amp;_Aufträge20"/>
      <sheetName val="a-und_b-Preise_120"/>
      <sheetName val="heutige_Lieferbeziehungen20"/>
      <sheetName val="COMPARISON_SHEET_(Audi)20"/>
      <sheetName val="LONGTERM_SHEET_(Audi)20"/>
      <sheetName val="RECOMMENDATION_SHEET_(Audi)20"/>
      <sheetName val="a-und_b-Preise_220"/>
      <sheetName val="Vorbereitende_Eing__(Teil_1)20"/>
      <sheetName val="BIDDERS_LIST_(1)20"/>
      <sheetName val="COMPARISON_SHEET_(1)20"/>
      <sheetName val="LONGTERM_SHEET_(1)20"/>
      <sheetName val="RECOMMENDATION_SHEET_(1)20"/>
      <sheetName val="Teilepreise_&amp;_PT-Kosten_(1)20"/>
      <sheetName val="Barwertberechnung_(1)20"/>
      <sheetName val="Vorbereitende_Eing__(Teil_2)20"/>
      <sheetName val="BIDDERS_LIST_(2)20"/>
      <sheetName val="COMPARISON_SHEET_(2)20"/>
      <sheetName val="LONGTERM_SHEET_(2)20"/>
      <sheetName val="RECOMMENDATION_SHEET_(2)20"/>
      <sheetName val="Teilepreise_&amp;_PT-Kosten_(2)20"/>
      <sheetName val="Barwertberechnung_(2)20"/>
      <sheetName val="Vorbereitende_Eing__(Teil_3)20"/>
      <sheetName val="BIDDERS_LIST_(3)20"/>
      <sheetName val="COMPARISON_SHEET_(3)20"/>
      <sheetName val="LONGTERM_SHEET_(3)20"/>
      <sheetName val="RECOMMENDATION_SHEET_(3)20"/>
      <sheetName val="Teilepreise_&amp;_PT-Kosten_(3)20"/>
      <sheetName val="Barwertberechnung_(3)20"/>
      <sheetName val="Vorbereitende_Eing__(Teil_4)20"/>
      <sheetName val="BIDDERS_LIST_(4)20"/>
      <sheetName val="COMPARISON_SHEET_(4)20"/>
      <sheetName val="LONGTERM_SHEET_(4)20"/>
      <sheetName val="RECOMMENDATION_SHEET_(4)20"/>
      <sheetName val="Teilepreise_&amp;_PT-Kosten_(4)20"/>
      <sheetName val="Barwertberechnung_(4)20"/>
      <sheetName val="Vorbereitende_Eing__(Teil_5)20"/>
      <sheetName val="BIDDERS_LIST_(5)20"/>
      <sheetName val="COMPARISON_SHEET_(5)20"/>
      <sheetName val="LONGTERM_SHEET_(5)20"/>
      <sheetName val="RECOMMENDATION_SHEET_(5)20"/>
      <sheetName val="Teilepreise_&amp;_PT-Kosten_(5)20"/>
      <sheetName val="Barwertberechnung_(5)20"/>
      <sheetName val="v_a-und_b-Preise20"/>
      <sheetName val="Plausibilität_Target20"/>
      <sheetName val="v_Vorbereitende_Eing__(Teil_120"/>
      <sheetName val="v_BIDDERS_LIST_(1)20"/>
      <sheetName val="v_COMPARISON_SHEET_(1)20"/>
      <sheetName val="v_LONGTERM_SHEET_(1)20"/>
      <sheetName val="v_RECOMMENDATION_SHEET_(1)20"/>
      <sheetName val="v_Teilepreise_&amp;_PT-Kosten_(1)20"/>
      <sheetName val="v_Barwertberechnung_(1)20"/>
      <sheetName val="BOM_Compile20"/>
      <sheetName val="CBA_Load20"/>
      <sheetName val="SG&amp;A,_INDL20"/>
      <sheetName val="Tool,_PC20"/>
      <sheetName val="Start_Here20"/>
      <sheetName val="Burden_Rates20"/>
      <sheetName val="POWER_ASSUMPTIONS20"/>
      <sheetName val="Page_3920"/>
      <sheetName val="Page_2620"/>
      <sheetName val="Page_3120"/>
      <sheetName val="Page_820"/>
      <sheetName val="Cost_Walk19"/>
      <sheetName val="1_2019"/>
      <sheetName val="03_Transportation_Quoting19"/>
      <sheetName val="Sales_Ranking_by_Manufactures19"/>
      <sheetName val="Plant_Data19"/>
      <sheetName val="Page_1519"/>
      <sheetName val="Non_quality_costs19"/>
      <sheetName val="Page_2019"/>
      <sheetName val="Page_4219"/>
      <sheetName val="Page_2119"/>
      <sheetName val="Page_2419"/>
      <sheetName val="Page_2519"/>
      <sheetName val="Page_3019"/>
      <sheetName val="IST_ACTUAL_EUR19"/>
      <sheetName val="INVESTMENTS_NON_AP19"/>
      <sheetName val="CUSTOMER_(DETAIL)19"/>
      <sheetName val="Sheet1_(3)19"/>
      <sheetName val="variable_119"/>
      <sheetName val="Page_14-A19"/>
      <sheetName val="Total_Mkt19"/>
      <sheetName val="진행_DATA_(2)19"/>
      <sheetName val="Ind_Labor_Cost19"/>
      <sheetName val="Dir_Labor_Cost19"/>
      <sheetName val="HVL_Cost_Study18"/>
      <sheetName val="Inv_S18"/>
      <sheetName val="EN114_&amp;_SN9518"/>
      <sheetName val="Target_Cascade18"/>
      <sheetName val="Auto_Trans_Total_F&amp;T_18"/>
      <sheetName val="Manual_Trans_Total_F&amp;T18"/>
      <sheetName val="V_Engine_Mfg_Process18"/>
      <sheetName val="FULL_BOM18"/>
      <sheetName val="After_Sales_Supplier_#'s18"/>
      <sheetName val="Apr_(1)_3_of_318"/>
      <sheetName val="Page_119"/>
      <sheetName val="14-Labor_Cost18"/>
      <sheetName val="UPPER_BLOCK7"/>
      <sheetName val="Change_Log26"/>
      <sheetName val="Input_Sheet26"/>
      <sheetName val="Dashboard_Database23"/>
      <sheetName val="graph_SOP23"/>
      <sheetName val="13_GRR_ND25"/>
      <sheetName val="ALL_PARTS_PRICE_LIST26"/>
      <sheetName val="Sept_BF23"/>
      <sheetName val="10_Year_Forecast23"/>
      <sheetName val="024_SGM980_GBOX_+_KBOLSTER23"/>
      <sheetName val="Price_List23"/>
      <sheetName val="G_1R-Shou_COP_Gf23"/>
      <sheetName val="GIFS_Data23"/>
      <sheetName val="Attendee_List23"/>
      <sheetName val="Rates_and_Tarrifs23"/>
      <sheetName val="Page_023"/>
      <sheetName val="Table_of_contents23"/>
      <sheetName val="VL_PBT23"/>
      <sheetName val="Act__Bud__FIB_200423"/>
      <sheetName val="Parametres_0423"/>
      <sheetName val="MPL_技連23"/>
      <sheetName val="342E_BLOCK23"/>
      <sheetName val="Reference_data23"/>
      <sheetName val="31_12_0323"/>
      <sheetName val="Section_1-RFQ23"/>
      <sheetName val="PA_19123"/>
      <sheetName val="Status_&amp;_Aufträge23"/>
      <sheetName val="a-und_b-Preise_123"/>
      <sheetName val="heutige_Lieferbeziehungen23"/>
      <sheetName val="COMPARISON_SHEET_(Audi)23"/>
      <sheetName val="LONGTERM_SHEET_(Audi)23"/>
      <sheetName val="RECOMMENDATION_SHEET_(Audi)23"/>
      <sheetName val="a-und_b-Preise_223"/>
      <sheetName val="Vorbereitende_Eing__(Teil_1)23"/>
      <sheetName val="BIDDERS_LIST_(1)23"/>
      <sheetName val="COMPARISON_SHEET_(1)23"/>
      <sheetName val="LONGTERM_SHEET_(1)23"/>
      <sheetName val="RECOMMENDATION_SHEET_(1)23"/>
      <sheetName val="Teilepreise_&amp;_PT-Kosten_(1)23"/>
      <sheetName val="Barwertberechnung_(1)23"/>
      <sheetName val="Vorbereitende_Eing__(Teil_2)23"/>
      <sheetName val="BIDDERS_LIST_(2)23"/>
      <sheetName val="COMPARISON_SHEET_(2)23"/>
      <sheetName val="LONGTERM_SHEET_(2)23"/>
      <sheetName val="RECOMMENDATION_SHEET_(2)23"/>
      <sheetName val="Teilepreise_&amp;_PT-Kosten_(2)23"/>
      <sheetName val="Barwertberechnung_(2)23"/>
      <sheetName val="Vorbereitende_Eing__(Teil_3)23"/>
      <sheetName val="BIDDERS_LIST_(3)23"/>
      <sheetName val="COMPARISON_SHEET_(3)23"/>
      <sheetName val="LONGTERM_SHEET_(3)23"/>
      <sheetName val="RECOMMENDATION_SHEET_(3)23"/>
      <sheetName val="Teilepreise_&amp;_PT-Kosten_(3)23"/>
      <sheetName val="Barwertberechnung_(3)23"/>
      <sheetName val="Vorbereitende_Eing__(Teil_4)23"/>
      <sheetName val="BIDDERS_LIST_(4)23"/>
      <sheetName val="COMPARISON_SHEET_(4)23"/>
      <sheetName val="LONGTERM_SHEET_(4)23"/>
      <sheetName val="RECOMMENDATION_SHEET_(4)23"/>
      <sheetName val="Teilepreise_&amp;_PT-Kosten_(4)23"/>
      <sheetName val="Barwertberechnung_(4)23"/>
      <sheetName val="Vorbereitende_Eing__(Teil_5)23"/>
      <sheetName val="BIDDERS_LIST_(5)23"/>
      <sheetName val="COMPARISON_SHEET_(5)23"/>
      <sheetName val="LONGTERM_SHEET_(5)23"/>
      <sheetName val="RECOMMENDATION_SHEET_(5)23"/>
      <sheetName val="Teilepreise_&amp;_PT-Kosten_(5)23"/>
      <sheetName val="Barwertberechnung_(5)23"/>
      <sheetName val="v_a-und_b-Preise23"/>
      <sheetName val="Plausibilität_Target23"/>
      <sheetName val="v_Vorbereitende_Eing__(Teil_123"/>
      <sheetName val="v_BIDDERS_LIST_(1)23"/>
      <sheetName val="v_COMPARISON_SHEET_(1)23"/>
      <sheetName val="v_LONGTERM_SHEET_(1)23"/>
      <sheetName val="v_RECOMMENDATION_SHEET_(1)23"/>
      <sheetName val="v_Teilepreise_&amp;_PT-Kosten_(1)23"/>
      <sheetName val="v_Barwertberechnung_(1)23"/>
      <sheetName val="BOM_Compile23"/>
      <sheetName val="CBA_Load23"/>
      <sheetName val="SG&amp;A,_INDL23"/>
      <sheetName val="Tool,_PC23"/>
      <sheetName val="Start_Here23"/>
      <sheetName val="Burden_Rates23"/>
      <sheetName val="POWER_ASSUMPTIONS23"/>
      <sheetName val="Page_3923"/>
      <sheetName val="Page_2623"/>
      <sheetName val="Page_3123"/>
      <sheetName val="Page_823"/>
      <sheetName val="Cost_Walk22"/>
      <sheetName val="1_2022"/>
      <sheetName val="03_Transportation_Quoting22"/>
      <sheetName val="Sales_Ranking_by_Manufactures22"/>
      <sheetName val="Plant_Data22"/>
      <sheetName val="Page_1522"/>
      <sheetName val="Non_quality_costs22"/>
      <sheetName val="Page_2022"/>
      <sheetName val="Page_4222"/>
      <sheetName val="Page_2122"/>
      <sheetName val="Page_2422"/>
      <sheetName val="Page_2522"/>
      <sheetName val="Page_3022"/>
      <sheetName val="IST_ACTUAL_EUR22"/>
      <sheetName val="INVESTMENTS_NON_AP22"/>
      <sheetName val="CUSTOMER_(DETAIL)22"/>
      <sheetName val="Sheet1_(3)22"/>
      <sheetName val="variable_122"/>
      <sheetName val="Page_14-A22"/>
      <sheetName val="Total_Mkt22"/>
      <sheetName val="진행_DATA_(2)22"/>
      <sheetName val="Ind_Labor_Cost22"/>
      <sheetName val="Dir_Labor_Cost22"/>
      <sheetName val="HVL_Cost_Study21"/>
      <sheetName val="Inv_S21"/>
      <sheetName val="EN114_&amp;_SN9521"/>
      <sheetName val="Target_Cascade21"/>
      <sheetName val="Auto_Trans_Total_F&amp;T_21"/>
      <sheetName val="Manual_Trans_Total_F&amp;T21"/>
      <sheetName val="V_Engine_Mfg_Process21"/>
      <sheetName val="FULL_BOM21"/>
      <sheetName val="After_Sales_Supplier_#'s21"/>
      <sheetName val="Apr_(1)_3_of_321"/>
      <sheetName val="Page_122"/>
      <sheetName val="14-Labor_Cost21"/>
      <sheetName val="UPPER_BLOCK10"/>
      <sheetName val="Change_Log24"/>
      <sheetName val="Input_Sheet24"/>
      <sheetName val="Dashboard_Database21"/>
      <sheetName val="graph_SOP21"/>
      <sheetName val="13_GRR_ND23"/>
      <sheetName val="ALL_PARTS_PRICE_LIST24"/>
      <sheetName val="Sept_BF21"/>
      <sheetName val="10_Year_Forecast21"/>
      <sheetName val="024_SGM980_GBOX_+_KBOLSTER21"/>
      <sheetName val="Price_List21"/>
      <sheetName val="G_1R-Shou_COP_Gf21"/>
      <sheetName val="GIFS_Data21"/>
      <sheetName val="Attendee_List21"/>
      <sheetName val="Rates_and_Tarrifs21"/>
      <sheetName val="Page_021"/>
      <sheetName val="Table_of_contents21"/>
      <sheetName val="VL_PBT21"/>
      <sheetName val="Act__Bud__FIB_200421"/>
      <sheetName val="Parametres_0421"/>
      <sheetName val="MPL_技連21"/>
      <sheetName val="342E_BLOCK21"/>
      <sheetName val="Reference_data21"/>
      <sheetName val="31_12_0321"/>
      <sheetName val="Section_1-RFQ21"/>
      <sheetName val="PA_19121"/>
      <sheetName val="Status_&amp;_Aufträge21"/>
      <sheetName val="a-und_b-Preise_121"/>
      <sheetName val="heutige_Lieferbeziehungen21"/>
      <sheetName val="COMPARISON_SHEET_(Audi)21"/>
      <sheetName val="LONGTERM_SHEET_(Audi)21"/>
      <sheetName val="RECOMMENDATION_SHEET_(Audi)21"/>
      <sheetName val="a-und_b-Preise_221"/>
      <sheetName val="Vorbereitende_Eing__(Teil_1)21"/>
      <sheetName val="BIDDERS_LIST_(1)21"/>
      <sheetName val="COMPARISON_SHEET_(1)21"/>
      <sheetName val="LONGTERM_SHEET_(1)21"/>
      <sheetName val="RECOMMENDATION_SHEET_(1)21"/>
      <sheetName val="Teilepreise_&amp;_PT-Kosten_(1)21"/>
      <sheetName val="Barwertberechnung_(1)21"/>
      <sheetName val="Vorbereitende_Eing__(Teil_2)21"/>
      <sheetName val="BIDDERS_LIST_(2)21"/>
      <sheetName val="COMPARISON_SHEET_(2)21"/>
      <sheetName val="LONGTERM_SHEET_(2)21"/>
      <sheetName val="RECOMMENDATION_SHEET_(2)21"/>
      <sheetName val="Teilepreise_&amp;_PT-Kosten_(2)21"/>
      <sheetName val="Barwertberechnung_(2)21"/>
      <sheetName val="Vorbereitende_Eing__(Teil_3)21"/>
      <sheetName val="BIDDERS_LIST_(3)21"/>
      <sheetName val="COMPARISON_SHEET_(3)21"/>
      <sheetName val="LONGTERM_SHEET_(3)21"/>
      <sheetName val="RECOMMENDATION_SHEET_(3)21"/>
      <sheetName val="Teilepreise_&amp;_PT-Kosten_(3)21"/>
      <sheetName val="Barwertberechnung_(3)21"/>
      <sheetName val="Vorbereitende_Eing__(Teil_4)21"/>
      <sheetName val="BIDDERS_LIST_(4)21"/>
      <sheetName val="COMPARISON_SHEET_(4)21"/>
      <sheetName val="LONGTERM_SHEET_(4)21"/>
      <sheetName val="RECOMMENDATION_SHEET_(4)21"/>
      <sheetName val="Teilepreise_&amp;_PT-Kosten_(4)21"/>
      <sheetName val="Barwertberechnung_(4)21"/>
      <sheetName val="Vorbereitende_Eing__(Teil_5)21"/>
      <sheetName val="BIDDERS_LIST_(5)21"/>
      <sheetName val="COMPARISON_SHEET_(5)21"/>
      <sheetName val="LONGTERM_SHEET_(5)21"/>
      <sheetName val="RECOMMENDATION_SHEET_(5)21"/>
      <sheetName val="Teilepreise_&amp;_PT-Kosten_(5)21"/>
      <sheetName val="Barwertberechnung_(5)21"/>
      <sheetName val="v_a-und_b-Preise21"/>
      <sheetName val="Plausibilität_Target21"/>
      <sheetName val="v_Vorbereitende_Eing__(Teil_121"/>
      <sheetName val="v_BIDDERS_LIST_(1)21"/>
      <sheetName val="v_COMPARISON_SHEET_(1)21"/>
      <sheetName val="v_LONGTERM_SHEET_(1)21"/>
      <sheetName val="v_RECOMMENDATION_SHEET_(1)21"/>
      <sheetName val="v_Teilepreise_&amp;_PT-Kosten_(1)21"/>
      <sheetName val="v_Barwertberechnung_(1)21"/>
      <sheetName val="BOM_Compile21"/>
      <sheetName val="CBA_Load21"/>
      <sheetName val="SG&amp;A,_INDL21"/>
      <sheetName val="Tool,_PC21"/>
      <sheetName val="Start_Here21"/>
      <sheetName val="Burden_Rates21"/>
      <sheetName val="POWER_ASSUMPTIONS21"/>
      <sheetName val="Page_3921"/>
      <sheetName val="Page_2621"/>
      <sheetName val="Page_3121"/>
      <sheetName val="Page_821"/>
      <sheetName val="Cost_Walk20"/>
      <sheetName val="1_2020"/>
      <sheetName val="03_Transportation_Quoting20"/>
      <sheetName val="Sales_Ranking_by_Manufactures20"/>
      <sheetName val="Plant_Data20"/>
      <sheetName val="Page_1520"/>
      <sheetName val="Non_quality_costs20"/>
      <sheetName val="Page_2020"/>
      <sheetName val="Page_4220"/>
      <sheetName val="Page_2120"/>
      <sheetName val="Page_2420"/>
      <sheetName val="Page_2520"/>
      <sheetName val="Page_3020"/>
      <sheetName val="IST_ACTUAL_EUR20"/>
      <sheetName val="INVESTMENTS_NON_AP20"/>
      <sheetName val="CUSTOMER_(DETAIL)20"/>
      <sheetName val="Sheet1_(3)20"/>
      <sheetName val="variable_120"/>
      <sheetName val="Page_14-A20"/>
      <sheetName val="Total_Mkt20"/>
      <sheetName val="진행_DATA_(2)20"/>
      <sheetName val="Ind_Labor_Cost20"/>
      <sheetName val="Dir_Labor_Cost20"/>
      <sheetName val="HVL_Cost_Study19"/>
      <sheetName val="Inv_S19"/>
      <sheetName val="EN114_&amp;_SN9519"/>
      <sheetName val="Target_Cascade19"/>
      <sheetName val="Auto_Trans_Total_F&amp;T_19"/>
      <sheetName val="Manual_Trans_Total_F&amp;T19"/>
      <sheetName val="V_Engine_Mfg_Process19"/>
      <sheetName val="FULL_BOM19"/>
      <sheetName val="After_Sales_Supplier_#'s19"/>
      <sheetName val="Apr_(1)_3_of_319"/>
      <sheetName val="Page_120"/>
      <sheetName val="14-Labor_Cost19"/>
      <sheetName val="UPPER_BLOCK8"/>
      <sheetName val="Change_Log25"/>
      <sheetName val="Input_Sheet25"/>
      <sheetName val="Dashboard_Database22"/>
      <sheetName val="graph_SOP22"/>
      <sheetName val="13_GRR_ND24"/>
      <sheetName val="ALL_PARTS_PRICE_LIST25"/>
      <sheetName val="Sept_BF22"/>
      <sheetName val="10_Year_Forecast22"/>
      <sheetName val="024_SGM980_GBOX_+_KBOLSTER22"/>
      <sheetName val="Price_List22"/>
      <sheetName val="G_1R-Shou_COP_Gf22"/>
      <sheetName val="GIFS_Data22"/>
      <sheetName val="Attendee_List22"/>
      <sheetName val="Rates_and_Tarrifs22"/>
      <sheetName val="Page_022"/>
      <sheetName val="Table_of_contents22"/>
      <sheetName val="VL_PBT22"/>
      <sheetName val="Act__Bud__FIB_200422"/>
      <sheetName val="Parametres_0422"/>
      <sheetName val="MPL_技連22"/>
      <sheetName val="342E_BLOCK22"/>
      <sheetName val="Reference_data22"/>
      <sheetName val="31_12_0322"/>
      <sheetName val="Section_1-RFQ22"/>
      <sheetName val="PA_19122"/>
      <sheetName val="Status_&amp;_Aufträge22"/>
      <sheetName val="a-und_b-Preise_122"/>
      <sheetName val="heutige_Lieferbeziehungen22"/>
      <sheetName val="COMPARISON_SHEET_(Audi)22"/>
      <sheetName val="LONGTERM_SHEET_(Audi)22"/>
      <sheetName val="RECOMMENDATION_SHEET_(Audi)22"/>
      <sheetName val="a-und_b-Preise_222"/>
      <sheetName val="Vorbereitende_Eing__(Teil_1)22"/>
      <sheetName val="BIDDERS_LIST_(1)22"/>
      <sheetName val="COMPARISON_SHEET_(1)22"/>
      <sheetName val="LONGTERM_SHEET_(1)22"/>
      <sheetName val="RECOMMENDATION_SHEET_(1)22"/>
      <sheetName val="Teilepreise_&amp;_PT-Kosten_(1)22"/>
      <sheetName val="Barwertberechnung_(1)22"/>
      <sheetName val="Vorbereitende_Eing__(Teil_2)22"/>
      <sheetName val="BIDDERS_LIST_(2)22"/>
      <sheetName val="COMPARISON_SHEET_(2)22"/>
      <sheetName val="LONGTERM_SHEET_(2)22"/>
      <sheetName val="RECOMMENDATION_SHEET_(2)22"/>
      <sheetName val="Teilepreise_&amp;_PT-Kosten_(2)22"/>
      <sheetName val="Barwertberechnung_(2)22"/>
      <sheetName val="Vorbereitende_Eing__(Teil_3)22"/>
      <sheetName val="BIDDERS_LIST_(3)22"/>
      <sheetName val="COMPARISON_SHEET_(3)22"/>
      <sheetName val="LONGTERM_SHEET_(3)22"/>
      <sheetName val="RECOMMENDATION_SHEET_(3)22"/>
      <sheetName val="Teilepreise_&amp;_PT-Kosten_(3)22"/>
      <sheetName val="Barwertberechnung_(3)22"/>
      <sheetName val="Vorbereitende_Eing__(Teil_4)22"/>
      <sheetName val="BIDDERS_LIST_(4)22"/>
      <sheetName val="COMPARISON_SHEET_(4)22"/>
      <sheetName val="LONGTERM_SHEET_(4)22"/>
      <sheetName val="RECOMMENDATION_SHEET_(4)22"/>
      <sheetName val="Teilepreise_&amp;_PT-Kosten_(4)22"/>
      <sheetName val="Barwertberechnung_(4)22"/>
      <sheetName val="Vorbereitende_Eing__(Teil_5)22"/>
      <sheetName val="BIDDERS_LIST_(5)22"/>
      <sheetName val="COMPARISON_SHEET_(5)22"/>
      <sheetName val="LONGTERM_SHEET_(5)22"/>
      <sheetName val="RECOMMENDATION_SHEET_(5)22"/>
      <sheetName val="Teilepreise_&amp;_PT-Kosten_(5)22"/>
      <sheetName val="Barwertberechnung_(5)22"/>
      <sheetName val="v_a-und_b-Preise22"/>
      <sheetName val="Plausibilität_Target22"/>
      <sheetName val="v_Vorbereitende_Eing__(Teil_122"/>
      <sheetName val="v_BIDDERS_LIST_(1)22"/>
      <sheetName val="v_COMPARISON_SHEET_(1)22"/>
      <sheetName val="v_LONGTERM_SHEET_(1)22"/>
      <sheetName val="v_RECOMMENDATION_SHEET_(1)22"/>
      <sheetName val="v_Teilepreise_&amp;_PT-Kosten_(1)22"/>
      <sheetName val="v_Barwertberechnung_(1)22"/>
      <sheetName val="BOM_Compile22"/>
      <sheetName val="CBA_Load22"/>
      <sheetName val="SG&amp;A,_INDL22"/>
      <sheetName val="Tool,_PC22"/>
      <sheetName val="Start_Here22"/>
      <sheetName val="Burden_Rates22"/>
      <sheetName val="POWER_ASSUMPTIONS22"/>
      <sheetName val="Page_3922"/>
      <sheetName val="Page_2622"/>
      <sheetName val="Page_3122"/>
      <sheetName val="Page_822"/>
      <sheetName val="Cost_Walk21"/>
      <sheetName val="1_2021"/>
      <sheetName val="03_Transportation_Quoting21"/>
      <sheetName val="Sales_Ranking_by_Manufactures21"/>
      <sheetName val="Plant_Data21"/>
      <sheetName val="Page_1521"/>
      <sheetName val="Non_quality_costs21"/>
      <sheetName val="Page_2021"/>
      <sheetName val="Page_4221"/>
      <sheetName val="Page_2121"/>
      <sheetName val="Page_2421"/>
      <sheetName val="Page_2521"/>
      <sheetName val="Page_3021"/>
      <sheetName val="IST_ACTUAL_EUR21"/>
      <sheetName val="INVESTMENTS_NON_AP21"/>
      <sheetName val="CUSTOMER_(DETAIL)21"/>
      <sheetName val="Sheet1_(3)21"/>
      <sheetName val="variable_121"/>
      <sheetName val="Page_14-A21"/>
      <sheetName val="Total_Mkt21"/>
      <sheetName val="진행_DATA_(2)21"/>
      <sheetName val="Ind_Labor_Cost21"/>
      <sheetName val="Dir_Labor_Cost21"/>
      <sheetName val="HVL_Cost_Study20"/>
      <sheetName val="Inv_S20"/>
      <sheetName val="EN114_&amp;_SN9520"/>
      <sheetName val="Target_Cascade20"/>
      <sheetName val="Auto_Trans_Total_F&amp;T_20"/>
      <sheetName val="Manual_Trans_Total_F&amp;T20"/>
      <sheetName val="V_Engine_Mfg_Process20"/>
      <sheetName val="FULL_BOM20"/>
      <sheetName val="After_Sales_Supplier_#'s20"/>
      <sheetName val="Apr_(1)_3_of_320"/>
      <sheetName val="Page_121"/>
      <sheetName val="14-Labor_Cost20"/>
      <sheetName val="UPPER_BLOCK9"/>
      <sheetName val="Change_Log27"/>
      <sheetName val="10_Year_Forecast24"/>
      <sheetName val="Input_Sheet27"/>
      <sheetName val="VL_PBT24"/>
      <sheetName val="024_SGM980_GBOX_+_KBOLSTER24"/>
      <sheetName val="1_2023"/>
      <sheetName val="Cost_Walk23"/>
      <sheetName val="03_Transportation_Quoting23"/>
      <sheetName val="Sheet1_(3)23"/>
      <sheetName val="Price_List24"/>
      <sheetName val="HVL_Cost_Study22"/>
      <sheetName val="Inv_S22"/>
      <sheetName val="EN114_&amp;_SN9522"/>
      <sheetName val="Target_Cascade22"/>
      <sheetName val="Auto_Trans_Total_F&amp;T_22"/>
      <sheetName val="Manual_Trans_Total_F&amp;T22"/>
      <sheetName val="V_Engine_Mfg_Process22"/>
      <sheetName val="FULL_BOM22"/>
      <sheetName val="After_Sales_Supplier_#'s22"/>
      <sheetName val="Apr_(1)_3_of_322"/>
      <sheetName val="Page_123"/>
      <sheetName val="INVESTMENTS_NON_AP23"/>
      <sheetName val="14-Labor_Cost22"/>
      <sheetName val="GIFS_Data24"/>
      <sheetName val="IST_ACTUAL_EUR23"/>
      <sheetName val="Dashboard_Database24"/>
      <sheetName val="graph_SOP24"/>
      <sheetName val="13_GRR_ND26"/>
      <sheetName val="ALL_PARTS_PRICE_LIST27"/>
      <sheetName val="Sept_BF24"/>
      <sheetName val="G_1R-Shou_COP_Gf24"/>
      <sheetName val="Rates_and_Tarrifs24"/>
      <sheetName val="Attendee_List24"/>
      <sheetName val="Page_024"/>
      <sheetName val="Table_of_contents24"/>
      <sheetName val="Act__Bud__FIB_200424"/>
      <sheetName val="Parametres_0424"/>
      <sheetName val="MPL_技連24"/>
      <sheetName val="342E_BLOCK24"/>
      <sheetName val="Reference_data24"/>
      <sheetName val="Section_1-RFQ24"/>
      <sheetName val="PA_19124"/>
      <sheetName val="Status_&amp;_Aufträge24"/>
      <sheetName val="a-und_b-Preise_124"/>
      <sheetName val="heutige_Lieferbeziehungen24"/>
      <sheetName val="COMPARISON_SHEET_(Audi)24"/>
      <sheetName val="LONGTERM_SHEET_(Audi)24"/>
      <sheetName val="RECOMMENDATION_SHEET_(Audi)24"/>
      <sheetName val="a-und_b-Preise_224"/>
      <sheetName val="Vorbereitende_Eing__(Teil_1)24"/>
      <sheetName val="BIDDERS_LIST_(1)24"/>
      <sheetName val="COMPARISON_SHEET_(1)24"/>
      <sheetName val="LONGTERM_SHEET_(1)24"/>
      <sheetName val="RECOMMENDATION_SHEET_(1)24"/>
      <sheetName val="Teilepreise_&amp;_PT-Kosten_(1)24"/>
      <sheetName val="Barwertberechnung_(1)24"/>
      <sheetName val="Vorbereitende_Eing__(Teil_2)24"/>
      <sheetName val="BIDDERS_LIST_(2)24"/>
      <sheetName val="COMPARISON_SHEET_(2)24"/>
      <sheetName val="LONGTERM_SHEET_(2)24"/>
      <sheetName val="RECOMMENDATION_SHEET_(2)24"/>
      <sheetName val="Teilepreise_&amp;_PT-Kosten_(2)24"/>
      <sheetName val="Barwertberechnung_(2)24"/>
      <sheetName val="Vorbereitende_Eing__(Teil_3)24"/>
      <sheetName val="BIDDERS_LIST_(3)24"/>
      <sheetName val="COMPARISON_SHEET_(3)24"/>
      <sheetName val="LONGTERM_SHEET_(3)24"/>
      <sheetName val="RECOMMENDATION_SHEET_(3)24"/>
      <sheetName val="Teilepreise_&amp;_PT-Kosten_(3)24"/>
      <sheetName val="Barwertberechnung_(3)24"/>
      <sheetName val="Vorbereitende_Eing__(Teil_4)24"/>
      <sheetName val="BIDDERS_LIST_(4)24"/>
      <sheetName val="COMPARISON_SHEET_(4)24"/>
      <sheetName val="LONGTERM_SHEET_(4)24"/>
      <sheetName val="RECOMMENDATION_SHEET_(4)24"/>
      <sheetName val="Teilepreise_&amp;_PT-Kosten_(4)24"/>
      <sheetName val="Barwertberechnung_(4)24"/>
      <sheetName val="Vorbereitende_Eing__(Teil_5)24"/>
      <sheetName val="BIDDERS_LIST_(5)24"/>
      <sheetName val="COMPARISON_SHEET_(5)24"/>
      <sheetName val="LONGTERM_SHEET_(5)24"/>
      <sheetName val="RECOMMENDATION_SHEET_(5)24"/>
      <sheetName val="Teilepreise_&amp;_PT-Kosten_(5)24"/>
      <sheetName val="Barwertberechnung_(5)24"/>
      <sheetName val="v_a-und_b-Preise24"/>
      <sheetName val="Plausibilität_Target24"/>
      <sheetName val="v_Vorbereitende_Eing__(Teil_124"/>
      <sheetName val="v_BIDDERS_LIST_(1)24"/>
      <sheetName val="v_COMPARISON_SHEET_(1)24"/>
      <sheetName val="v_LONGTERM_SHEET_(1)24"/>
      <sheetName val="v_RECOMMENDATION_SHEET_(1)24"/>
      <sheetName val="v_Teilepreise_&amp;_PT-Kosten_(1)24"/>
      <sheetName val="v_Barwertberechnung_(1)24"/>
      <sheetName val="BOM_Compile24"/>
      <sheetName val="CBA_Load24"/>
      <sheetName val="SG&amp;A,_INDL24"/>
      <sheetName val="Tool,_PC24"/>
      <sheetName val="Start_Here24"/>
      <sheetName val="31_12_0324"/>
      <sheetName val="Burden_Rates24"/>
      <sheetName val="POWER_ASSUMPTIONS24"/>
      <sheetName val="Page_3924"/>
      <sheetName val="Page_2624"/>
      <sheetName val="Page_3124"/>
      <sheetName val="Page_824"/>
      <sheetName val="Sales_Ranking_by_Manufactures23"/>
      <sheetName val="Plant_Data23"/>
      <sheetName val="Page_1523"/>
      <sheetName val="Non_quality_costs23"/>
      <sheetName val="Page_2023"/>
      <sheetName val="Page_4223"/>
      <sheetName val="Page_2123"/>
      <sheetName val="Page_2423"/>
      <sheetName val="Page_2523"/>
      <sheetName val="Page_3023"/>
      <sheetName val="variable_123"/>
      <sheetName val="Page_14-A23"/>
      <sheetName val="Total_Mkt23"/>
      <sheetName val="Ind_Labor_Cost23"/>
      <sheetName val="Dir_Labor_Cost23"/>
      <sheetName val="CUSTOMER_(DETAIL)23"/>
      <sheetName val="진행_DATA_(2)23"/>
      <sheetName val="UPPER_BLOCK11"/>
      <sheetName val="Change_Log28"/>
      <sheetName val="Input_Sheet28"/>
      <sheetName val="Dashboard_Database25"/>
      <sheetName val="graph_SOP25"/>
      <sheetName val="13_GRR_ND27"/>
      <sheetName val="ALL_PARTS_PRICE_LIST28"/>
      <sheetName val="Sept_BF25"/>
      <sheetName val="10_Year_Forecast25"/>
      <sheetName val="024_SGM980_GBOX_+_KBOLSTER25"/>
      <sheetName val="Price_List25"/>
      <sheetName val="G_1R-Shou_COP_Gf25"/>
      <sheetName val="GIFS_Data25"/>
      <sheetName val="Attendee_List25"/>
      <sheetName val="Rates_and_Tarrifs25"/>
      <sheetName val="Page_025"/>
      <sheetName val="Table_of_contents25"/>
      <sheetName val="VL_PBT25"/>
      <sheetName val="Act__Bud__FIB_200425"/>
      <sheetName val="Parametres_0425"/>
      <sheetName val="MPL_技連25"/>
      <sheetName val="342E_BLOCK25"/>
      <sheetName val="Reference_data25"/>
      <sheetName val="31_12_0325"/>
      <sheetName val="Section_1-RFQ25"/>
      <sheetName val="PA_19125"/>
      <sheetName val="Status_&amp;_Aufträge25"/>
      <sheetName val="a-und_b-Preise_125"/>
      <sheetName val="heutige_Lieferbeziehungen25"/>
      <sheetName val="COMPARISON_SHEET_(Audi)25"/>
      <sheetName val="LONGTERM_SHEET_(Audi)25"/>
      <sheetName val="RECOMMENDATION_SHEET_(Audi)25"/>
      <sheetName val="a-und_b-Preise_225"/>
      <sheetName val="Vorbereitende_Eing__(Teil_1)25"/>
      <sheetName val="BIDDERS_LIST_(1)25"/>
      <sheetName val="COMPARISON_SHEET_(1)25"/>
      <sheetName val="LONGTERM_SHEET_(1)25"/>
      <sheetName val="RECOMMENDATION_SHEET_(1)25"/>
      <sheetName val="Teilepreise_&amp;_PT-Kosten_(1)25"/>
      <sheetName val="Barwertberechnung_(1)25"/>
      <sheetName val="Vorbereitende_Eing__(Teil_2)25"/>
      <sheetName val="BIDDERS_LIST_(2)25"/>
      <sheetName val="COMPARISON_SHEET_(2)25"/>
      <sheetName val="LONGTERM_SHEET_(2)25"/>
      <sheetName val="RECOMMENDATION_SHEET_(2)25"/>
      <sheetName val="Teilepreise_&amp;_PT-Kosten_(2)25"/>
      <sheetName val="Barwertberechnung_(2)25"/>
      <sheetName val="Vorbereitende_Eing__(Teil_3)25"/>
      <sheetName val="BIDDERS_LIST_(3)25"/>
      <sheetName val="COMPARISON_SHEET_(3)25"/>
      <sheetName val="LONGTERM_SHEET_(3)25"/>
      <sheetName val="RECOMMENDATION_SHEET_(3)25"/>
      <sheetName val="Teilepreise_&amp;_PT-Kosten_(3)25"/>
      <sheetName val="Barwertberechnung_(3)25"/>
      <sheetName val="Vorbereitende_Eing__(Teil_4)25"/>
      <sheetName val="BIDDERS_LIST_(4)25"/>
      <sheetName val="COMPARISON_SHEET_(4)25"/>
      <sheetName val="LONGTERM_SHEET_(4)25"/>
      <sheetName val="RECOMMENDATION_SHEET_(4)25"/>
      <sheetName val="Teilepreise_&amp;_PT-Kosten_(4)25"/>
      <sheetName val="Barwertberechnung_(4)25"/>
      <sheetName val="Vorbereitende_Eing__(Teil_5)25"/>
      <sheetName val="BIDDERS_LIST_(5)25"/>
      <sheetName val="COMPARISON_SHEET_(5)25"/>
      <sheetName val="LONGTERM_SHEET_(5)25"/>
      <sheetName val="RECOMMENDATION_SHEET_(5)25"/>
      <sheetName val="Teilepreise_&amp;_PT-Kosten_(5)25"/>
      <sheetName val="Barwertberechnung_(5)25"/>
      <sheetName val="v_a-und_b-Preise25"/>
      <sheetName val="Plausibilität_Target25"/>
      <sheetName val="v_Vorbereitende_Eing__(Teil_125"/>
      <sheetName val="v_BIDDERS_LIST_(1)25"/>
      <sheetName val="v_COMPARISON_SHEET_(1)25"/>
      <sheetName val="v_LONGTERM_SHEET_(1)25"/>
      <sheetName val="v_RECOMMENDATION_SHEET_(1)25"/>
      <sheetName val="v_Teilepreise_&amp;_PT-Kosten_(1)25"/>
      <sheetName val="v_Barwertberechnung_(1)25"/>
      <sheetName val="BOM_Compile25"/>
      <sheetName val="CBA_Load25"/>
      <sheetName val="SG&amp;A,_INDL25"/>
      <sheetName val="Tool,_PC25"/>
      <sheetName val="Start_Here25"/>
      <sheetName val="Burden_Rates25"/>
      <sheetName val="POWER_ASSUMPTIONS25"/>
      <sheetName val="Page_3925"/>
      <sheetName val="Page_2625"/>
      <sheetName val="Page_3125"/>
      <sheetName val="Page_825"/>
      <sheetName val="Cost_Walk24"/>
      <sheetName val="1_2024"/>
      <sheetName val="03_Transportation_Quoting24"/>
      <sheetName val="Sales_Ranking_by_Manufactures24"/>
      <sheetName val="Plant_Data24"/>
      <sheetName val="Page_1524"/>
      <sheetName val="Non_quality_costs24"/>
      <sheetName val="Page_2024"/>
      <sheetName val="Page_4224"/>
      <sheetName val="Page_2124"/>
      <sheetName val="Page_2424"/>
      <sheetName val="Page_2524"/>
      <sheetName val="Page_3024"/>
      <sheetName val="IST_ACTUAL_EUR24"/>
      <sheetName val="INVESTMENTS_NON_AP24"/>
      <sheetName val="CUSTOMER_(DETAIL)24"/>
      <sheetName val="Sheet1_(3)24"/>
      <sheetName val="variable_124"/>
      <sheetName val="Page_14-A24"/>
      <sheetName val="Total_Mkt24"/>
      <sheetName val="진행_DATA_(2)24"/>
      <sheetName val="Ind_Labor_Cost24"/>
      <sheetName val="Dir_Labor_Cost24"/>
      <sheetName val="HVL_Cost_Study23"/>
      <sheetName val="Inv_S23"/>
      <sheetName val="EN114_&amp;_SN9523"/>
      <sheetName val="Target_Cascade23"/>
      <sheetName val="Auto_Trans_Total_F&amp;T_23"/>
      <sheetName val="Manual_Trans_Total_F&amp;T23"/>
      <sheetName val="V_Engine_Mfg_Process23"/>
      <sheetName val="FULL_BOM23"/>
      <sheetName val="After_Sales_Supplier_#'s23"/>
      <sheetName val="Apr_(1)_3_of_323"/>
      <sheetName val="Page_124"/>
      <sheetName val="14-Labor_Cost23"/>
      <sheetName val="UPPER_BLOCK12"/>
      <sheetName val="Lack3"/>
      <sheetName val="A"/>
      <sheetName val="Change_Log31"/>
      <sheetName val="Input_Sheet31"/>
      <sheetName val="Dashboard_Database28"/>
      <sheetName val="graph_SOP28"/>
      <sheetName val="13_GRR_ND30"/>
      <sheetName val="ALL_PARTS_PRICE_LIST31"/>
      <sheetName val="Sept_BF28"/>
      <sheetName val="10_Year_Forecast28"/>
      <sheetName val="024_SGM980_GBOX_+_KBOLSTER28"/>
      <sheetName val="Price_List28"/>
      <sheetName val="G_1R-Shou_COP_Gf28"/>
      <sheetName val="GIFS_Data28"/>
      <sheetName val="Attendee_List28"/>
      <sheetName val="Rates_and_Tarrifs28"/>
      <sheetName val="Page_028"/>
      <sheetName val="Table_of_contents28"/>
      <sheetName val="VL_PBT28"/>
      <sheetName val="Act__Bud__FIB_200428"/>
      <sheetName val="Parametres_0428"/>
      <sheetName val="MPL_技連28"/>
      <sheetName val="342E_BLOCK28"/>
      <sheetName val="Reference_data28"/>
      <sheetName val="31_12_0328"/>
      <sheetName val="Section_1-RFQ28"/>
      <sheetName val="PA_19128"/>
      <sheetName val="Status_&amp;_Aufträge28"/>
      <sheetName val="a-und_b-Preise_128"/>
      <sheetName val="heutige_Lieferbeziehungen28"/>
      <sheetName val="COMPARISON_SHEET_(Audi)28"/>
      <sheetName val="LONGTERM_SHEET_(Audi)28"/>
      <sheetName val="RECOMMENDATION_SHEET_(Audi)28"/>
      <sheetName val="a-und_b-Preise_228"/>
      <sheetName val="Vorbereitende_Eing__(Teil_1)28"/>
      <sheetName val="BIDDERS_LIST_(1)28"/>
      <sheetName val="COMPARISON_SHEET_(1)28"/>
      <sheetName val="LONGTERM_SHEET_(1)28"/>
      <sheetName val="RECOMMENDATION_SHEET_(1)28"/>
      <sheetName val="Teilepreise_&amp;_PT-Kosten_(1)28"/>
      <sheetName val="Barwertberechnung_(1)28"/>
      <sheetName val="Vorbereitende_Eing__(Teil_2)28"/>
      <sheetName val="BIDDERS_LIST_(2)28"/>
      <sheetName val="COMPARISON_SHEET_(2)28"/>
      <sheetName val="LONGTERM_SHEET_(2)28"/>
      <sheetName val="RECOMMENDATION_SHEET_(2)28"/>
      <sheetName val="Teilepreise_&amp;_PT-Kosten_(2)28"/>
      <sheetName val="Barwertberechnung_(2)28"/>
      <sheetName val="Vorbereitende_Eing__(Teil_3)28"/>
      <sheetName val="BIDDERS_LIST_(3)28"/>
      <sheetName val="COMPARISON_SHEET_(3)28"/>
      <sheetName val="LONGTERM_SHEET_(3)28"/>
      <sheetName val="RECOMMENDATION_SHEET_(3)28"/>
      <sheetName val="Teilepreise_&amp;_PT-Kosten_(3)28"/>
      <sheetName val="Barwertberechnung_(3)28"/>
      <sheetName val="Vorbereitende_Eing__(Teil_4)28"/>
      <sheetName val="BIDDERS_LIST_(4)28"/>
      <sheetName val="COMPARISON_SHEET_(4)28"/>
      <sheetName val="LONGTERM_SHEET_(4)28"/>
      <sheetName val="RECOMMENDATION_SHEET_(4)28"/>
      <sheetName val="Teilepreise_&amp;_PT-Kosten_(4)28"/>
      <sheetName val="Barwertberechnung_(4)28"/>
      <sheetName val="Vorbereitende_Eing__(Teil_5)28"/>
      <sheetName val="BIDDERS_LIST_(5)28"/>
      <sheetName val="COMPARISON_SHEET_(5)28"/>
      <sheetName val="LONGTERM_SHEET_(5)28"/>
      <sheetName val="RECOMMENDATION_SHEET_(5)28"/>
      <sheetName val="Teilepreise_&amp;_PT-Kosten_(5)28"/>
      <sheetName val="Barwertberechnung_(5)28"/>
      <sheetName val="v_a-und_b-Preise28"/>
      <sheetName val="Plausibilität_Target28"/>
      <sheetName val="v_Vorbereitende_Eing__(Teil_128"/>
      <sheetName val="v_BIDDERS_LIST_(1)28"/>
      <sheetName val="v_COMPARISON_SHEET_(1)28"/>
      <sheetName val="v_LONGTERM_SHEET_(1)28"/>
      <sheetName val="v_RECOMMENDATION_SHEET_(1)28"/>
      <sheetName val="v_Teilepreise_&amp;_PT-Kosten_(1)28"/>
      <sheetName val="v_Barwertberechnung_(1)28"/>
      <sheetName val="BOM_Compile28"/>
      <sheetName val="CBA_Load28"/>
      <sheetName val="SG&amp;A,_INDL28"/>
      <sheetName val="Tool,_PC28"/>
      <sheetName val="Start_Here28"/>
      <sheetName val="Burden_Rates28"/>
      <sheetName val="POWER_ASSUMPTIONS28"/>
      <sheetName val="Page_3928"/>
      <sheetName val="Page_2628"/>
      <sheetName val="Page_3128"/>
      <sheetName val="Page_828"/>
      <sheetName val="Sales_Ranking_by_Manufactures27"/>
      <sheetName val="Cost_Walk27"/>
      <sheetName val="IST_ACTUAL_EUR27"/>
      <sheetName val="INVESTMENTS_NON_AP27"/>
      <sheetName val="Plant_Data27"/>
      <sheetName val="Page_1527"/>
      <sheetName val="Non_quality_costs27"/>
      <sheetName val="Page_2027"/>
      <sheetName val="Page_4227"/>
      <sheetName val="Page_2127"/>
      <sheetName val="Page_2427"/>
      <sheetName val="Page_2527"/>
      <sheetName val="Page_3027"/>
      <sheetName val="CUSTOMER_(DETAIL)27"/>
      <sheetName val="Sheet1_(3)27"/>
      <sheetName val="variable_127"/>
      <sheetName val="Page_14-A27"/>
      <sheetName val="Total_Mkt27"/>
      <sheetName val="Ind_Labor_Cost27"/>
      <sheetName val="Dir_Labor_Cost27"/>
      <sheetName val="진행_DATA_(2)27"/>
      <sheetName val="1_2027"/>
      <sheetName val="03_Transportation_Quoting27"/>
      <sheetName val="HVL_Cost_Study26"/>
      <sheetName val="Inv_S26"/>
      <sheetName val="EN114_&amp;_SN9526"/>
      <sheetName val="Target_Cascade26"/>
      <sheetName val="Auto_Trans_Total_F&amp;T_26"/>
      <sheetName val="Manual_Trans_Total_F&amp;T26"/>
      <sheetName val="V_Engine_Mfg_Process26"/>
      <sheetName val="FULL_BOM26"/>
      <sheetName val="After_Sales_Supplier_#'s26"/>
      <sheetName val="Apr_(1)_3_of_326"/>
      <sheetName val="Page_127"/>
      <sheetName val="14-Labor_Cost26"/>
      <sheetName val="UPPER_BLOCK15"/>
      <sheetName val="Change_Log29"/>
      <sheetName val="Input_Sheet29"/>
      <sheetName val="Dashboard_Database26"/>
      <sheetName val="graph_SOP26"/>
      <sheetName val="13_GRR_ND28"/>
      <sheetName val="ALL_PARTS_PRICE_LIST29"/>
      <sheetName val="Sept_BF26"/>
      <sheetName val="10_Year_Forecast26"/>
      <sheetName val="024_SGM980_GBOX_+_KBOLSTER26"/>
      <sheetName val="Price_List26"/>
      <sheetName val="G_1R-Shou_COP_Gf26"/>
      <sheetName val="GIFS_Data26"/>
      <sheetName val="Attendee_List26"/>
      <sheetName val="Rates_and_Tarrifs26"/>
      <sheetName val="Page_026"/>
      <sheetName val="Table_of_contents26"/>
      <sheetName val="VL_PBT26"/>
      <sheetName val="Act__Bud__FIB_200426"/>
      <sheetName val="Parametres_0426"/>
      <sheetName val="MPL_技連26"/>
      <sheetName val="342E_BLOCK26"/>
      <sheetName val="Reference_data26"/>
      <sheetName val="31_12_0326"/>
      <sheetName val="Section_1-RFQ26"/>
      <sheetName val="PA_19126"/>
      <sheetName val="Status_&amp;_Aufträge26"/>
      <sheetName val="a-und_b-Preise_126"/>
      <sheetName val="heutige_Lieferbeziehungen26"/>
      <sheetName val="COMPARISON_SHEET_(Audi)26"/>
      <sheetName val="LONGTERM_SHEET_(Audi)26"/>
      <sheetName val="RECOMMENDATION_SHEET_(Audi)26"/>
      <sheetName val="a-und_b-Preise_226"/>
      <sheetName val="Vorbereitende_Eing__(Teil_1)26"/>
      <sheetName val="BIDDERS_LIST_(1)26"/>
      <sheetName val="COMPARISON_SHEET_(1)26"/>
      <sheetName val="LONGTERM_SHEET_(1)26"/>
      <sheetName val="RECOMMENDATION_SHEET_(1)26"/>
      <sheetName val="Teilepreise_&amp;_PT-Kosten_(1)26"/>
      <sheetName val="Barwertberechnung_(1)26"/>
      <sheetName val="Vorbereitende_Eing__(Teil_2)26"/>
      <sheetName val="BIDDERS_LIST_(2)26"/>
      <sheetName val="COMPARISON_SHEET_(2)26"/>
      <sheetName val="LONGTERM_SHEET_(2)26"/>
      <sheetName val="RECOMMENDATION_SHEET_(2)26"/>
      <sheetName val="Teilepreise_&amp;_PT-Kosten_(2)26"/>
      <sheetName val="Barwertberechnung_(2)26"/>
      <sheetName val="Vorbereitende_Eing__(Teil_3)26"/>
      <sheetName val="BIDDERS_LIST_(3)26"/>
      <sheetName val="COMPARISON_SHEET_(3)26"/>
      <sheetName val="LONGTERM_SHEET_(3)26"/>
      <sheetName val="RECOMMENDATION_SHEET_(3)26"/>
      <sheetName val="Teilepreise_&amp;_PT-Kosten_(3)26"/>
      <sheetName val="Barwertberechnung_(3)26"/>
      <sheetName val="Vorbereitende_Eing__(Teil_4)26"/>
      <sheetName val="BIDDERS_LIST_(4)26"/>
      <sheetName val="COMPARISON_SHEET_(4)26"/>
      <sheetName val="LONGTERM_SHEET_(4)26"/>
      <sheetName val="RECOMMENDATION_SHEET_(4)26"/>
      <sheetName val="Teilepreise_&amp;_PT-Kosten_(4)26"/>
      <sheetName val="Barwertberechnung_(4)26"/>
      <sheetName val="Vorbereitende_Eing__(Teil_5)26"/>
      <sheetName val="BIDDERS_LIST_(5)26"/>
      <sheetName val="COMPARISON_SHEET_(5)26"/>
      <sheetName val="LONGTERM_SHEET_(5)26"/>
      <sheetName val="RECOMMENDATION_SHEET_(5)26"/>
      <sheetName val="Teilepreise_&amp;_PT-Kosten_(5)26"/>
      <sheetName val="Barwertberechnung_(5)26"/>
      <sheetName val="v_a-und_b-Preise26"/>
      <sheetName val="Plausibilität_Target26"/>
      <sheetName val="v_Vorbereitende_Eing__(Teil_126"/>
      <sheetName val="v_BIDDERS_LIST_(1)26"/>
      <sheetName val="v_COMPARISON_SHEET_(1)26"/>
      <sheetName val="v_LONGTERM_SHEET_(1)26"/>
      <sheetName val="v_RECOMMENDATION_SHEET_(1)26"/>
      <sheetName val="v_Teilepreise_&amp;_PT-Kosten_(1)26"/>
      <sheetName val="v_Barwertberechnung_(1)26"/>
      <sheetName val="BOM_Compile26"/>
      <sheetName val="CBA_Load26"/>
      <sheetName val="SG&amp;A,_INDL26"/>
      <sheetName val="Tool,_PC26"/>
      <sheetName val="Start_Here26"/>
      <sheetName val="Burden_Rates26"/>
      <sheetName val="POWER_ASSUMPTIONS26"/>
      <sheetName val="Page_3926"/>
      <sheetName val="Page_2626"/>
      <sheetName val="Page_3126"/>
      <sheetName val="Page_826"/>
      <sheetName val="Sales_Ranking_by_Manufactures25"/>
      <sheetName val="Cost_Walk25"/>
      <sheetName val="IST_ACTUAL_EUR25"/>
      <sheetName val="INVESTMENTS_NON_AP25"/>
      <sheetName val="Plant_Data25"/>
      <sheetName val="Page_1525"/>
      <sheetName val="Non_quality_costs25"/>
      <sheetName val="Page_2025"/>
      <sheetName val="Page_4225"/>
      <sheetName val="Page_2125"/>
      <sheetName val="Page_2425"/>
      <sheetName val="Page_2525"/>
      <sheetName val="Page_3025"/>
      <sheetName val="CUSTOMER_(DETAIL)25"/>
      <sheetName val="Sheet1_(3)25"/>
      <sheetName val="variable_125"/>
      <sheetName val="Page_14-A25"/>
      <sheetName val="Total_Mkt25"/>
      <sheetName val="Ind_Labor_Cost25"/>
      <sheetName val="Dir_Labor_Cost25"/>
      <sheetName val="진행_DATA_(2)25"/>
      <sheetName val="1_2025"/>
      <sheetName val="03_Transportation_Quoting25"/>
      <sheetName val="HVL_Cost_Study24"/>
      <sheetName val="Inv_S24"/>
      <sheetName val="EN114_&amp;_SN9524"/>
      <sheetName val="Target_Cascade24"/>
      <sheetName val="Auto_Trans_Total_F&amp;T_24"/>
      <sheetName val="Manual_Trans_Total_F&amp;T24"/>
      <sheetName val="V_Engine_Mfg_Process24"/>
      <sheetName val="FULL_BOM24"/>
      <sheetName val="After_Sales_Supplier_#'s24"/>
      <sheetName val="Apr_(1)_3_of_324"/>
      <sheetName val="Page_125"/>
      <sheetName val="14-Labor_Cost24"/>
      <sheetName val="UPPER_BLOCK13"/>
      <sheetName val="Change_Log30"/>
      <sheetName val="Input_Sheet30"/>
      <sheetName val="Dashboard_Database27"/>
      <sheetName val="graph_SOP27"/>
      <sheetName val="13_GRR_ND29"/>
      <sheetName val="ALL_PARTS_PRICE_LIST30"/>
      <sheetName val="Sept_BF27"/>
      <sheetName val="10_Year_Forecast27"/>
      <sheetName val="024_SGM980_GBOX_+_KBOLSTER27"/>
      <sheetName val="Price_List27"/>
      <sheetName val="G_1R-Shou_COP_Gf27"/>
      <sheetName val="GIFS_Data27"/>
      <sheetName val="Attendee_List27"/>
      <sheetName val="Rates_and_Tarrifs27"/>
      <sheetName val="Page_027"/>
      <sheetName val="Table_of_contents27"/>
      <sheetName val="VL_PBT27"/>
      <sheetName val="Act__Bud__FIB_200427"/>
      <sheetName val="Parametres_0427"/>
      <sheetName val="MPL_技連27"/>
      <sheetName val="342E_BLOCK27"/>
      <sheetName val="Reference_data27"/>
      <sheetName val="31_12_0327"/>
      <sheetName val="Section_1-RFQ27"/>
      <sheetName val="PA_19127"/>
      <sheetName val="Status_&amp;_Aufträge27"/>
      <sheetName val="a-und_b-Preise_127"/>
      <sheetName val="heutige_Lieferbeziehungen27"/>
      <sheetName val="COMPARISON_SHEET_(Audi)27"/>
      <sheetName val="LONGTERM_SHEET_(Audi)27"/>
      <sheetName val="RECOMMENDATION_SHEET_(Audi)27"/>
      <sheetName val="a-und_b-Preise_227"/>
      <sheetName val="Vorbereitende_Eing__(Teil_1)27"/>
      <sheetName val="BIDDERS_LIST_(1)27"/>
      <sheetName val="COMPARISON_SHEET_(1)27"/>
      <sheetName val="LONGTERM_SHEET_(1)27"/>
      <sheetName val="RECOMMENDATION_SHEET_(1)27"/>
      <sheetName val="Teilepreise_&amp;_PT-Kosten_(1)27"/>
      <sheetName val="Barwertberechnung_(1)27"/>
      <sheetName val="Vorbereitende_Eing__(Teil_2)27"/>
      <sheetName val="BIDDERS_LIST_(2)27"/>
      <sheetName val="COMPARISON_SHEET_(2)27"/>
      <sheetName val="LONGTERM_SHEET_(2)27"/>
      <sheetName val="RECOMMENDATION_SHEET_(2)27"/>
      <sheetName val="Teilepreise_&amp;_PT-Kosten_(2)27"/>
      <sheetName val="Barwertberechnung_(2)27"/>
      <sheetName val="Vorbereitende_Eing__(Teil_3)27"/>
      <sheetName val="BIDDERS_LIST_(3)27"/>
      <sheetName val="COMPARISON_SHEET_(3)27"/>
      <sheetName val="LONGTERM_SHEET_(3)27"/>
      <sheetName val="RECOMMENDATION_SHEET_(3)27"/>
      <sheetName val="Teilepreise_&amp;_PT-Kosten_(3)27"/>
      <sheetName val="Barwertberechnung_(3)27"/>
      <sheetName val="Vorbereitende_Eing__(Teil_4)27"/>
      <sheetName val="BIDDERS_LIST_(4)27"/>
      <sheetName val="COMPARISON_SHEET_(4)27"/>
      <sheetName val="LONGTERM_SHEET_(4)27"/>
      <sheetName val="RECOMMENDATION_SHEET_(4)27"/>
      <sheetName val="Teilepreise_&amp;_PT-Kosten_(4)27"/>
      <sheetName val="Barwertberechnung_(4)27"/>
      <sheetName val="Vorbereitende_Eing__(Teil_5)27"/>
      <sheetName val="BIDDERS_LIST_(5)27"/>
      <sheetName val="COMPARISON_SHEET_(5)27"/>
      <sheetName val="LONGTERM_SHEET_(5)27"/>
      <sheetName val="RECOMMENDATION_SHEET_(5)27"/>
      <sheetName val="Teilepreise_&amp;_PT-Kosten_(5)27"/>
      <sheetName val="Barwertberechnung_(5)27"/>
      <sheetName val="v_a-und_b-Preise27"/>
      <sheetName val="Plausibilität_Target27"/>
      <sheetName val="v_Vorbereitende_Eing__(Teil_127"/>
      <sheetName val="v_BIDDERS_LIST_(1)27"/>
      <sheetName val="v_COMPARISON_SHEET_(1)27"/>
      <sheetName val="v_LONGTERM_SHEET_(1)27"/>
      <sheetName val="v_RECOMMENDATION_SHEET_(1)27"/>
      <sheetName val="v_Teilepreise_&amp;_PT-Kosten_(1)27"/>
      <sheetName val="v_Barwertberechnung_(1)27"/>
      <sheetName val="BOM_Compile27"/>
      <sheetName val="CBA_Load27"/>
      <sheetName val="SG&amp;A,_INDL27"/>
      <sheetName val="Tool,_PC27"/>
      <sheetName val="Start_Here27"/>
      <sheetName val="Burden_Rates27"/>
      <sheetName val="POWER_ASSUMPTIONS27"/>
      <sheetName val="Page_3927"/>
      <sheetName val="Page_2627"/>
      <sheetName val="Page_3127"/>
      <sheetName val="Page_827"/>
      <sheetName val="Sales_Ranking_by_Manufactures26"/>
      <sheetName val="Cost_Walk26"/>
      <sheetName val="IST_ACTUAL_EUR26"/>
      <sheetName val="INVESTMENTS_NON_AP26"/>
      <sheetName val="Plant_Data26"/>
      <sheetName val="Page_1526"/>
      <sheetName val="Non_quality_costs26"/>
      <sheetName val="Page_2026"/>
      <sheetName val="Page_4226"/>
      <sheetName val="Page_2126"/>
      <sheetName val="Page_2426"/>
      <sheetName val="Page_2526"/>
      <sheetName val="Page_3026"/>
      <sheetName val="CUSTOMER_(DETAIL)26"/>
      <sheetName val="Sheet1_(3)26"/>
      <sheetName val="variable_126"/>
      <sheetName val="Page_14-A26"/>
      <sheetName val="Total_Mkt26"/>
      <sheetName val="Ind_Labor_Cost26"/>
      <sheetName val="Dir_Labor_Cost26"/>
      <sheetName val="진행_DATA_(2)26"/>
      <sheetName val="1_2026"/>
      <sheetName val="03_Transportation_Quoting26"/>
      <sheetName val="HVL_Cost_Study25"/>
      <sheetName val="Inv_S25"/>
      <sheetName val="EN114_&amp;_SN9525"/>
      <sheetName val="Target_Cascade25"/>
      <sheetName val="Auto_Trans_Total_F&amp;T_25"/>
      <sheetName val="Manual_Trans_Total_F&amp;T25"/>
      <sheetName val="V_Engine_Mfg_Process25"/>
      <sheetName val="FULL_BOM25"/>
      <sheetName val="After_Sales_Supplier_#'s25"/>
      <sheetName val="Apr_(1)_3_of_325"/>
      <sheetName val="Page_126"/>
      <sheetName val="14-Labor_Cost25"/>
      <sheetName val="UPPER_BLOCK14"/>
      <sheetName val="Data lists"/>
      <sheetName val="Tech_Data"/>
      <sheetName val="Develop"/>
      <sheetName val="Adjustment2"/>
      <sheetName val="注塑工程每日质量报表"/>
      <sheetName val="Ｒｒ ＣＯＭＰ"/>
      <sheetName val="2-Base"/>
      <sheetName val="损益表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Change_Log32"/>
      <sheetName val="Input_Sheet32"/>
      <sheetName val="Dashboard_Database29"/>
      <sheetName val="graph_SOP29"/>
      <sheetName val="13_GRR_ND31"/>
      <sheetName val="ALL_PARTS_PRICE_LIST32"/>
      <sheetName val="Sept_BF29"/>
      <sheetName val="10_Year_Forecast29"/>
      <sheetName val="024_SGM980_GBOX_+_KBOLSTER29"/>
      <sheetName val="Price_List29"/>
      <sheetName val="G_1R-Shou_COP_Gf29"/>
      <sheetName val="GIFS_Data29"/>
      <sheetName val="Attendee_List29"/>
      <sheetName val="Rates_and_Tarrifs29"/>
      <sheetName val="Page_029"/>
      <sheetName val="Table_of_contents29"/>
      <sheetName val="VL_PBT29"/>
      <sheetName val="Act__Bud__FIB_200429"/>
      <sheetName val="Parametres_0429"/>
      <sheetName val="MPL_技連29"/>
      <sheetName val="342E_BLOCK29"/>
      <sheetName val="Reference_data29"/>
      <sheetName val="31_12_0329"/>
      <sheetName val="Section_1-RFQ29"/>
      <sheetName val="PA_19129"/>
      <sheetName val="Status_&amp;_Aufträge29"/>
      <sheetName val="a-und_b-Preise_129"/>
      <sheetName val="heutige_Lieferbeziehungen29"/>
      <sheetName val="COMPARISON_SHEET_(Audi)29"/>
      <sheetName val="LONGTERM_SHEET_(Audi)29"/>
      <sheetName val="RECOMMENDATION_SHEET_(Audi)29"/>
      <sheetName val="a-und_b-Preise_229"/>
      <sheetName val="Vorbereitende_Eing__(Teil_1)29"/>
      <sheetName val="BIDDERS_LIST_(1)29"/>
      <sheetName val="COMPARISON_SHEET_(1)29"/>
      <sheetName val="LONGTERM_SHEET_(1)29"/>
      <sheetName val="RECOMMENDATION_SHEET_(1)29"/>
      <sheetName val="Teilepreise_&amp;_PT-Kosten_(1)29"/>
      <sheetName val="Barwertberechnung_(1)29"/>
      <sheetName val="Vorbereitende_Eing__(Teil_2)29"/>
      <sheetName val="BIDDERS_LIST_(2)29"/>
      <sheetName val="COMPARISON_SHEET_(2)29"/>
      <sheetName val="LONGTERM_SHEET_(2)29"/>
      <sheetName val="RECOMMENDATION_SHEET_(2)29"/>
      <sheetName val="Teilepreise_&amp;_PT-Kosten_(2)29"/>
      <sheetName val="Barwertberechnung_(2)29"/>
      <sheetName val="Vorbereitende_Eing__(Teil_3)29"/>
      <sheetName val="BIDDERS_LIST_(3)29"/>
      <sheetName val="COMPARISON_SHEET_(3)29"/>
      <sheetName val="LONGTERM_SHEET_(3)29"/>
      <sheetName val="RECOMMENDATION_SHEET_(3)29"/>
      <sheetName val="Teilepreise_&amp;_PT-Kosten_(3)29"/>
      <sheetName val="Barwertberechnung_(3)29"/>
      <sheetName val="Vorbereitende_Eing__(Teil_4)29"/>
      <sheetName val="BIDDERS_LIST_(4)29"/>
      <sheetName val="COMPARISON_SHEET_(4)29"/>
      <sheetName val="LONGTERM_SHEET_(4)29"/>
      <sheetName val="RECOMMENDATION_SHEET_(4)29"/>
      <sheetName val="Teilepreise_&amp;_PT-Kosten_(4)29"/>
      <sheetName val="Barwertberechnung_(4)29"/>
      <sheetName val="Vorbereitende_Eing__(Teil_5)29"/>
      <sheetName val="BIDDERS_LIST_(5)29"/>
      <sheetName val="COMPARISON_SHEET_(5)29"/>
      <sheetName val="LONGTERM_SHEET_(5)29"/>
      <sheetName val="RECOMMENDATION_SHEET_(5)29"/>
      <sheetName val="Teilepreise_&amp;_PT-Kosten_(5)29"/>
      <sheetName val="Barwertberechnung_(5)29"/>
      <sheetName val="v_a-und_b-Preise29"/>
      <sheetName val="Plausibilität_Target29"/>
      <sheetName val="v_Vorbereitende_Eing__(Teil_129"/>
      <sheetName val="v_BIDDERS_LIST_(1)29"/>
      <sheetName val="v_COMPARISON_SHEET_(1)29"/>
      <sheetName val="v_LONGTERM_SHEET_(1)29"/>
      <sheetName val="v_RECOMMENDATION_SHEET_(1)29"/>
      <sheetName val="v_Teilepreise_&amp;_PT-Kosten_(1)29"/>
      <sheetName val="v_Barwertberechnung_(1)29"/>
      <sheetName val="BOM_Compile29"/>
      <sheetName val="CBA_Load29"/>
      <sheetName val="SG&amp;A,_INDL29"/>
      <sheetName val="Tool,_PC29"/>
      <sheetName val="Start_Here29"/>
      <sheetName val="Burden_Rates29"/>
      <sheetName val="POWER_ASSUMPTIONS29"/>
      <sheetName val="Page_3929"/>
      <sheetName val="Page_2629"/>
      <sheetName val="Page_3129"/>
      <sheetName val="Page_829"/>
      <sheetName val="Sales_Ranking_by_Manufactures28"/>
      <sheetName val="Cost_Walk28"/>
      <sheetName val="IST_ACTUAL_EUR28"/>
      <sheetName val="INVESTMENTS_NON_AP28"/>
      <sheetName val="Plant_Data28"/>
      <sheetName val="Page_1528"/>
      <sheetName val="Non_quality_costs28"/>
      <sheetName val="Page_2028"/>
      <sheetName val="Page_4228"/>
      <sheetName val="Page_2128"/>
      <sheetName val="Page_2428"/>
      <sheetName val="Page_2528"/>
      <sheetName val="Page_3028"/>
      <sheetName val="진행_DATA_(2)28"/>
      <sheetName val="CUSTOMER_(DETAIL)28"/>
      <sheetName val="Sheet1_(3)28"/>
      <sheetName val="variable_128"/>
      <sheetName val="Page_14-A28"/>
      <sheetName val="Total_Mkt28"/>
      <sheetName val="Ind_Labor_Cost28"/>
      <sheetName val="Dir_Labor_Cost28"/>
      <sheetName val="1_2028"/>
      <sheetName val="03_Transportation_Quoting28"/>
      <sheetName val="HVL_Cost_Study27"/>
      <sheetName val="Inv_S27"/>
      <sheetName val="EN114_&amp;_SN9527"/>
      <sheetName val="Target_Cascade27"/>
      <sheetName val="Auto_Trans_Total_F&amp;T_27"/>
      <sheetName val="Manual_Trans_Total_F&amp;T27"/>
      <sheetName val="V_Engine_Mfg_Process27"/>
      <sheetName val="FULL_BOM27"/>
      <sheetName val="After_Sales_Supplier_#'s27"/>
      <sheetName val="Apr_(1)_3_of_327"/>
      <sheetName val="Page_128"/>
      <sheetName val="14-Labor_Cost27"/>
      <sheetName val="UPPER_BLOCK16"/>
      <sheetName val="Change_Log33"/>
      <sheetName val="Input_Sheet33"/>
      <sheetName val="Dashboard_Database30"/>
      <sheetName val="graph_SOP30"/>
      <sheetName val="13_GRR_ND32"/>
      <sheetName val="ALL_PARTS_PRICE_LIST33"/>
      <sheetName val="Sept_BF30"/>
      <sheetName val="10_Year_Forecast30"/>
      <sheetName val="024_SGM980_GBOX_+_KBOLSTER30"/>
      <sheetName val="Price_List30"/>
      <sheetName val="G_1R-Shou_COP_Gf30"/>
      <sheetName val="GIFS_Data30"/>
      <sheetName val="Attendee_List30"/>
      <sheetName val="Rates_and_Tarrifs30"/>
      <sheetName val="Page_030"/>
      <sheetName val="Table_of_contents30"/>
      <sheetName val="VL_PBT30"/>
      <sheetName val="Act__Bud__FIB_200430"/>
      <sheetName val="Parametres_0430"/>
      <sheetName val="MPL_技連30"/>
      <sheetName val="342E_BLOCK30"/>
      <sheetName val="Reference_data30"/>
      <sheetName val="31_12_0330"/>
      <sheetName val="Section_1-RFQ30"/>
      <sheetName val="PA_19130"/>
      <sheetName val="Status_&amp;_Aufträge30"/>
      <sheetName val="a-und_b-Preise_130"/>
      <sheetName val="heutige_Lieferbeziehungen30"/>
      <sheetName val="COMPARISON_SHEET_(Audi)30"/>
      <sheetName val="LONGTERM_SHEET_(Audi)30"/>
      <sheetName val="RECOMMENDATION_SHEET_(Audi)30"/>
      <sheetName val="a-und_b-Preise_230"/>
      <sheetName val="Vorbereitende_Eing__(Teil_1)30"/>
      <sheetName val="BIDDERS_LIST_(1)30"/>
      <sheetName val="COMPARISON_SHEET_(1)30"/>
      <sheetName val="LONGTERM_SHEET_(1)30"/>
      <sheetName val="RECOMMENDATION_SHEET_(1)30"/>
      <sheetName val="Teilepreise_&amp;_PT-Kosten_(1)30"/>
      <sheetName val="Barwertberechnung_(1)30"/>
      <sheetName val="Vorbereitende_Eing__(Teil_2)30"/>
      <sheetName val="BIDDERS_LIST_(2)30"/>
      <sheetName val="COMPARISON_SHEET_(2)30"/>
      <sheetName val="LONGTERM_SHEET_(2)30"/>
      <sheetName val="RECOMMENDATION_SHEET_(2)30"/>
      <sheetName val="Teilepreise_&amp;_PT-Kosten_(2)30"/>
      <sheetName val="Barwertberechnung_(2)30"/>
      <sheetName val="Vorbereitende_Eing__(Teil_3)30"/>
      <sheetName val="BIDDERS_LIST_(3)30"/>
      <sheetName val="COMPARISON_SHEET_(3)30"/>
      <sheetName val="LONGTERM_SHEET_(3)30"/>
      <sheetName val="RECOMMENDATION_SHEET_(3)30"/>
      <sheetName val="Teilepreise_&amp;_PT-Kosten_(3)30"/>
      <sheetName val="Barwertberechnung_(3)30"/>
      <sheetName val="Vorbereitende_Eing__(Teil_4)30"/>
      <sheetName val="BIDDERS_LIST_(4)30"/>
      <sheetName val="COMPARISON_SHEET_(4)30"/>
      <sheetName val="LONGTERM_SHEET_(4)30"/>
      <sheetName val="RECOMMENDATION_SHEET_(4)30"/>
      <sheetName val="Teilepreise_&amp;_PT-Kosten_(4)30"/>
      <sheetName val="Barwertberechnung_(4)30"/>
      <sheetName val="Vorbereitende_Eing__(Teil_5)30"/>
      <sheetName val="BIDDERS_LIST_(5)30"/>
      <sheetName val="COMPARISON_SHEET_(5)30"/>
      <sheetName val="LONGTERM_SHEET_(5)30"/>
      <sheetName val="RECOMMENDATION_SHEET_(5)30"/>
      <sheetName val="Teilepreise_&amp;_PT-Kosten_(5)30"/>
      <sheetName val="Barwertberechnung_(5)30"/>
      <sheetName val="v_a-und_b-Preise30"/>
      <sheetName val="Plausibilität_Target30"/>
      <sheetName val="v_Vorbereitende_Eing__(Teil_130"/>
      <sheetName val="v_BIDDERS_LIST_(1)30"/>
      <sheetName val="v_COMPARISON_SHEET_(1)30"/>
      <sheetName val="v_LONGTERM_SHEET_(1)30"/>
      <sheetName val="v_RECOMMENDATION_SHEET_(1)30"/>
      <sheetName val="v_Teilepreise_&amp;_PT-Kosten_(1)30"/>
      <sheetName val="v_Barwertberechnung_(1)30"/>
      <sheetName val="BOM_Compile30"/>
      <sheetName val="CBA_Load30"/>
      <sheetName val="SG&amp;A,_INDL30"/>
      <sheetName val="Tool,_PC30"/>
      <sheetName val="Start_Here30"/>
      <sheetName val="Burden_Rates30"/>
      <sheetName val="POWER_ASSUMPTIONS30"/>
      <sheetName val="Page_3930"/>
      <sheetName val="Page_2630"/>
      <sheetName val="Page_3130"/>
      <sheetName val="Page_830"/>
      <sheetName val="Sales_Ranking_by_Manufactures29"/>
      <sheetName val="Cost_Walk29"/>
      <sheetName val="IST_ACTUAL_EUR29"/>
      <sheetName val="INVESTMENTS_NON_AP29"/>
      <sheetName val="Plant_Data29"/>
      <sheetName val="Page_1529"/>
      <sheetName val="Non_quality_costs29"/>
      <sheetName val="Page_2029"/>
      <sheetName val="Page_4229"/>
      <sheetName val="Page_2129"/>
      <sheetName val="Page_2429"/>
      <sheetName val="Page_2529"/>
      <sheetName val="Page_3029"/>
      <sheetName val="CUSTOMER_(DETAIL)29"/>
      <sheetName val="Sheet1_(3)29"/>
      <sheetName val="variable_129"/>
      <sheetName val="Page_14-A29"/>
      <sheetName val="Total_Mkt29"/>
      <sheetName val="Ind_Labor_Cost29"/>
      <sheetName val="Dir_Labor_Cost29"/>
      <sheetName val="진행_DATA_(2)29"/>
      <sheetName val="1_2029"/>
      <sheetName val="03_Transportation_Quoting29"/>
      <sheetName val="HVL_Cost_Study28"/>
      <sheetName val="Inv_S28"/>
      <sheetName val="EN114_&amp;_SN9528"/>
      <sheetName val="Target_Cascade28"/>
      <sheetName val="Auto_Trans_Total_F&amp;T_28"/>
      <sheetName val="Manual_Trans_Total_F&amp;T28"/>
      <sheetName val="V_Engine_Mfg_Process28"/>
      <sheetName val="FULL_BOM28"/>
      <sheetName val="After_Sales_Supplier_#'s28"/>
      <sheetName val="Apr_(1)_3_of_328"/>
      <sheetName val="Page_129"/>
      <sheetName val="14-Labor_Cost28"/>
      <sheetName val="UPPER_BLOCK17"/>
      <sheetName val="Change_Log34"/>
      <sheetName val="Input_Sheet34"/>
      <sheetName val="Dashboard_Database31"/>
      <sheetName val="graph_SOP31"/>
      <sheetName val="13_GRR_ND33"/>
      <sheetName val="ALL_PARTS_PRICE_LIST34"/>
      <sheetName val="Sept_BF31"/>
      <sheetName val="10_Year_Forecast31"/>
      <sheetName val="024_SGM980_GBOX_+_KBOLSTER31"/>
      <sheetName val="Price_List31"/>
      <sheetName val="G_1R-Shou_COP_Gf31"/>
      <sheetName val="GIFS_Data31"/>
      <sheetName val="Attendee_List31"/>
      <sheetName val="Rates_and_Tarrifs31"/>
      <sheetName val="Page_031"/>
      <sheetName val="Table_of_contents31"/>
      <sheetName val="VL_PBT31"/>
      <sheetName val="Act__Bud__FIB_200431"/>
      <sheetName val="Parametres_0431"/>
      <sheetName val="MPL_技連31"/>
      <sheetName val="342E_BLOCK31"/>
      <sheetName val="Reference_data31"/>
      <sheetName val="31_12_0331"/>
      <sheetName val="Section_1-RFQ31"/>
      <sheetName val="PA_19131"/>
      <sheetName val="Status_&amp;_Aufträge31"/>
      <sheetName val="a-und_b-Preise_131"/>
      <sheetName val="heutige_Lieferbeziehungen31"/>
      <sheetName val="COMPARISON_SHEET_(Audi)31"/>
      <sheetName val="LONGTERM_SHEET_(Audi)31"/>
      <sheetName val="RECOMMENDATION_SHEET_(Audi)31"/>
      <sheetName val="a-und_b-Preise_231"/>
      <sheetName val="Vorbereitende_Eing__(Teil_1)31"/>
      <sheetName val="BIDDERS_LIST_(1)31"/>
      <sheetName val="COMPARISON_SHEET_(1)31"/>
      <sheetName val="LONGTERM_SHEET_(1)31"/>
      <sheetName val="RECOMMENDATION_SHEET_(1)31"/>
      <sheetName val="Teilepreise_&amp;_PT-Kosten_(1)31"/>
      <sheetName val="Barwertberechnung_(1)31"/>
      <sheetName val="Vorbereitende_Eing__(Teil_2)31"/>
      <sheetName val="BIDDERS_LIST_(2)31"/>
      <sheetName val="COMPARISON_SHEET_(2)31"/>
      <sheetName val="LONGTERM_SHEET_(2)31"/>
      <sheetName val="RECOMMENDATION_SHEET_(2)31"/>
      <sheetName val="Teilepreise_&amp;_PT-Kosten_(2)31"/>
      <sheetName val="Barwertberechnung_(2)31"/>
      <sheetName val="Vorbereitende_Eing__(Teil_3)31"/>
      <sheetName val="BIDDERS_LIST_(3)31"/>
      <sheetName val="COMPARISON_SHEET_(3)31"/>
      <sheetName val="LONGTERM_SHEET_(3)31"/>
      <sheetName val="RECOMMENDATION_SHEET_(3)31"/>
      <sheetName val="Teilepreise_&amp;_PT-Kosten_(3)31"/>
      <sheetName val="Barwertberechnung_(3)31"/>
      <sheetName val="Vorbereitende_Eing__(Teil_4)31"/>
      <sheetName val="BIDDERS_LIST_(4)31"/>
      <sheetName val="COMPARISON_SHEET_(4)31"/>
      <sheetName val="LONGTERM_SHEET_(4)31"/>
      <sheetName val="RECOMMENDATION_SHEET_(4)31"/>
      <sheetName val="Teilepreise_&amp;_PT-Kosten_(4)31"/>
      <sheetName val="Barwertberechnung_(4)31"/>
      <sheetName val="Vorbereitende_Eing__(Teil_5)31"/>
      <sheetName val="BIDDERS_LIST_(5)31"/>
      <sheetName val="COMPARISON_SHEET_(5)31"/>
      <sheetName val="LONGTERM_SHEET_(5)31"/>
      <sheetName val="RECOMMENDATION_SHEET_(5)31"/>
      <sheetName val="Teilepreise_&amp;_PT-Kosten_(5)31"/>
      <sheetName val="Barwertberechnung_(5)31"/>
      <sheetName val="v_a-und_b-Preise31"/>
      <sheetName val="Plausibilität_Target31"/>
      <sheetName val="v_Vorbereitende_Eing__(Teil_131"/>
      <sheetName val="v_BIDDERS_LIST_(1)31"/>
      <sheetName val="v_COMPARISON_SHEET_(1)31"/>
      <sheetName val="v_LONGTERM_SHEET_(1)31"/>
      <sheetName val="v_RECOMMENDATION_SHEET_(1)31"/>
      <sheetName val="v_Teilepreise_&amp;_PT-Kosten_(1)31"/>
      <sheetName val="v_Barwertberechnung_(1)31"/>
      <sheetName val="BOM_Compile31"/>
      <sheetName val="CBA_Load31"/>
      <sheetName val="SG&amp;A,_INDL31"/>
      <sheetName val="Tool,_PC31"/>
      <sheetName val="Start_Here31"/>
      <sheetName val="Burden_Rates31"/>
      <sheetName val="POWER_ASSUMPTIONS31"/>
      <sheetName val="Page_3931"/>
      <sheetName val="Page_2631"/>
      <sheetName val="Page_3131"/>
      <sheetName val="Page_831"/>
      <sheetName val="Sales_Ranking_by_Manufactures30"/>
      <sheetName val="Cost_Walk30"/>
      <sheetName val="IST_ACTUAL_EUR30"/>
      <sheetName val="INVESTMENTS_NON_AP30"/>
      <sheetName val="Plant_Data30"/>
      <sheetName val="Page_1530"/>
      <sheetName val="Non_quality_costs30"/>
      <sheetName val="Page_2030"/>
      <sheetName val="Page_4230"/>
      <sheetName val="Page_2130"/>
      <sheetName val="Page_2430"/>
      <sheetName val="Page_2530"/>
      <sheetName val="Page_3030"/>
      <sheetName val="CUSTOMER_(DETAIL)30"/>
      <sheetName val="Sheet1_(3)30"/>
      <sheetName val="variable_130"/>
      <sheetName val="Page_14-A30"/>
      <sheetName val="Total_Mkt30"/>
      <sheetName val="Ind_Labor_Cost30"/>
      <sheetName val="Dir_Labor_Cost30"/>
      <sheetName val="진행_DATA_(2)30"/>
      <sheetName val="1_2030"/>
      <sheetName val="03_Transportation_Quoting30"/>
      <sheetName val="HVL_Cost_Study29"/>
      <sheetName val="Inv_S29"/>
      <sheetName val="EN114_&amp;_SN9529"/>
      <sheetName val="Target_Cascade29"/>
      <sheetName val="Auto_Trans_Total_F&amp;T_29"/>
      <sheetName val="Manual_Trans_Total_F&amp;T29"/>
      <sheetName val="V_Engine_Mfg_Process29"/>
      <sheetName val="FULL_BOM29"/>
      <sheetName val="After_Sales_Supplier_#'s29"/>
      <sheetName val="Apr_(1)_3_of_329"/>
      <sheetName val="Page_130"/>
      <sheetName val="14-Labor_Cost29"/>
      <sheetName val="UPPER_BLOCK18"/>
      <sheetName val="Change_Log36"/>
      <sheetName val="Input_Sheet36"/>
      <sheetName val="Dashboard_Database33"/>
      <sheetName val="graph_SOP33"/>
      <sheetName val="13_GRR_ND35"/>
      <sheetName val="ALL_PARTS_PRICE_LIST36"/>
      <sheetName val="Sept_BF33"/>
      <sheetName val="10_Year_Forecast33"/>
      <sheetName val="024_SGM980_GBOX_+_KBOLSTER33"/>
      <sheetName val="Price_List33"/>
      <sheetName val="G_1R-Shou_COP_Gf33"/>
      <sheetName val="GIFS_Data33"/>
      <sheetName val="Attendee_List33"/>
      <sheetName val="Rates_and_Tarrifs33"/>
      <sheetName val="Page_033"/>
      <sheetName val="Table_of_contents33"/>
      <sheetName val="VL_PBT33"/>
      <sheetName val="Act__Bud__FIB_200433"/>
      <sheetName val="Parametres_0433"/>
      <sheetName val="MPL_技連33"/>
      <sheetName val="342E_BLOCK33"/>
      <sheetName val="Reference_data33"/>
      <sheetName val="31_12_0333"/>
      <sheetName val="Section_1-RFQ33"/>
      <sheetName val="PA_19133"/>
      <sheetName val="Status_&amp;_Aufträge33"/>
      <sheetName val="a-und_b-Preise_133"/>
      <sheetName val="heutige_Lieferbeziehungen33"/>
      <sheetName val="COMPARISON_SHEET_(Audi)33"/>
      <sheetName val="LONGTERM_SHEET_(Audi)33"/>
      <sheetName val="RECOMMENDATION_SHEET_(Audi)33"/>
      <sheetName val="a-und_b-Preise_233"/>
      <sheetName val="Vorbereitende_Eing__(Teil_1)33"/>
      <sheetName val="BIDDERS_LIST_(1)33"/>
      <sheetName val="COMPARISON_SHEET_(1)33"/>
      <sheetName val="LONGTERM_SHEET_(1)33"/>
      <sheetName val="RECOMMENDATION_SHEET_(1)33"/>
      <sheetName val="Teilepreise_&amp;_PT-Kosten_(1)33"/>
      <sheetName val="Barwertberechnung_(1)33"/>
      <sheetName val="Vorbereitende_Eing__(Teil_2)33"/>
      <sheetName val="BIDDERS_LIST_(2)33"/>
      <sheetName val="COMPARISON_SHEET_(2)33"/>
      <sheetName val="LONGTERM_SHEET_(2)33"/>
      <sheetName val="RECOMMENDATION_SHEET_(2)33"/>
      <sheetName val="Teilepreise_&amp;_PT-Kosten_(2)33"/>
      <sheetName val="Barwertberechnung_(2)33"/>
      <sheetName val="Vorbereitende_Eing__(Teil_3)33"/>
      <sheetName val="BIDDERS_LIST_(3)33"/>
      <sheetName val="COMPARISON_SHEET_(3)33"/>
      <sheetName val="LONGTERM_SHEET_(3)33"/>
      <sheetName val="RECOMMENDATION_SHEET_(3)33"/>
      <sheetName val="Teilepreise_&amp;_PT-Kosten_(3)33"/>
      <sheetName val="Barwertberechnung_(3)33"/>
      <sheetName val="Vorbereitende_Eing__(Teil_4)33"/>
      <sheetName val="BIDDERS_LIST_(4)33"/>
      <sheetName val="COMPARISON_SHEET_(4)33"/>
      <sheetName val="LONGTERM_SHEET_(4)33"/>
      <sheetName val="RECOMMENDATION_SHEET_(4)33"/>
      <sheetName val="Teilepreise_&amp;_PT-Kosten_(4)33"/>
      <sheetName val="Barwertberechnung_(4)33"/>
      <sheetName val="Vorbereitende_Eing__(Teil_5)33"/>
      <sheetName val="BIDDERS_LIST_(5)33"/>
      <sheetName val="COMPARISON_SHEET_(5)33"/>
      <sheetName val="LONGTERM_SHEET_(5)33"/>
      <sheetName val="RECOMMENDATION_SHEET_(5)33"/>
      <sheetName val="Teilepreise_&amp;_PT-Kosten_(5)33"/>
      <sheetName val="Barwertberechnung_(5)33"/>
      <sheetName val="v_a-und_b-Preise33"/>
      <sheetName val="Plausibilität_Target33"/>
      <sheetName val="v_Vorbereitende_Eing__(Teil_133"/>
      <sheetName val="v_BIDDERS_LIST_(1)33"/>
      <sheetName val="v_COMPARISON_SHEET_(1)33"/>
      <sheetName val="v_LONGTERM_SHEET_(1)33"/>
      <sheetName val="v_RECOMMENDATION_SHEET_(1)33"/>
      <sheetName val="v_Teilepreise_&amp;_PT-Kosten_(1)33"/>
      <sheetName val="v_Barwertberechnung_(1)33"/>
      <sheetName val="BOM_Compile33"/>
      <sheetName val="CBA_Load33"/>
      <sheetName val="SG&amp;A,_INDL33"/>
      <sheetName val="Tool,_PC33"/>
      <sheetName val="Start_Here33"/>
      <sheetName val="Burden_Rates33"/>
      <sheetName val="POWER_ASSUMPTIONS33"/>
      <sheetName val="Page_3933"/>
      <sheetName val="Page_2633"/>
      <sheetName val="Page_3133"/>
      <sheetName val="Page_833"/>
      <sheetName val="Sales_Ranking_by_Manufactures32"/>
      <sheetName val="Cost_Walk32"/>
      <sheetName val="IST_ACTUAL_EUR32"/>
      <sheetName val="INVESTMENTS_NON_AP32"/>
      <sheetName val="Plant_Data32"/>
      <sheetName val="Page_1532"/>
      <sheetName val="Non_quality_costs32"/>
      <sheetName val="Page_2032"/>
      <sheetName val="Page_4232"/>
      <sheetName val="Page_2132"/>
      <sheetName val="Page_2432"/>
      <sheetName val="Page_2532"/>
      <sheetName val="Page_3032"/>
      <sheetName val="CUSTOMER_(DETAIL)32"/>
      <sheetName val="Sheet1_(3)32"/>
      <sheetName val="variable_132"/>
      <sheetName val="Page_14-A32"/>
      <sheetName val="Total_Mkt32"/>
      <sheetName val="Ind_Labor_Cost32"/>
      <sheetName val="Dir_Labor_Cost32"/>
      <sheetName val="진행_DATA_(2)32"/>
      <sheetName val="1_2032"/>
      <sheetName val="03_Transportation_Quoting32"/>
      <sheetName val="HVL_Cost_Study31"/>
      <sheetName val="Inv_S31"/>
      <sheetName val="EN114_&amp;_SN9531"/>
      <sheetName val="Target_Cascade31"/>
      <sheetName val="Auto_Trans_Total_F&amp;T_31"/>
      <sheetName val="Manual_Trans_Total_F&amp;T31"/>
      <sheetName val="V_Engine_Mfg_Process31"/>
      <sheetName val="FULL_BOM31"/>
      <sheetName val="After_Sales_Supplier_#'s31"/>
      <sheetName val="Apr_(1)_3_of_331"/>
      <sheetName val="Page_132"/>
      <sheetName val="14-Labor_Cost31"/>
      <sheetName val="UPPER_BLOCK20"/>
      <sheetName val="Change_Log35"/>
      <sheetName val="Input_Sheet35"/>
      <sheetName val="Dashboard_Database32"/>
      <sheetName val="graph_SOP32"/>
      <sheetName val="13_GRR_ND34"/>
      <sheetName val="ALL_PARTS_PRICE_LIST35"/>
      <sheetName val="Sept_BF32"/>
      <sheetName val="10_Year_Forecast32"/>
      <sheetName val="024_SGM980_GBOX_+_KBOLSTER32"/>
      <sheetName val="Price_List32"/>
      <sheetName val="G_1R-Shou_COP_Gf32"/>
      <sheetName val="GIFS_Data32"/>
      <sheetName val="Attendee_List32"/>
      <sheetName val="Rates_and_Tarrifs32"/>
      <sheetName val="Page_032"/>
      <sheetName val="Table_of_contents32"/>
      <sheetName val="VL_PBT32"/>
      <sheetName val="Act__Bud__FIB_200432"/>
      <sheetName val="Parametres_0432"/>
      <sheetName val="MPL_技連32"/>
      <sheetName val="342E_BLOCK32"/>
      <sheetName val="Reference_data32"/>
      <sheetName val="31_12_0332"/>
      <sheetName val="Section_1-RFQ32"/>
      <sheetName val="PA_19132"/>
      <sheetName val="Status_&amp;_Aufträge32"/>
      <sheetName val="a-und_b-Preise_132"/>
      <sheetName val="heutige_Lieferbeziehungen32"/>
      <sheetName val="COMPARISON_SHEET_(Audi)32"/>
      <sheetName val="LONGTERM_SHEET_(Audi)32"/>
      <sheetName val="RECOMMENDATION_SHEET_(Audi)32"/>
      <sheetName val="a-und_b-Preise_232"/>
      <sheetName val="Vorbereitende_Eing__(Teil_1)32"/>
      <sheetName val="BIDDERS_LIST_(1)32"/>
      <sheetName val="COMPARISON_SHEET_(1)32"/>
      <sheetName val="LONGTERM_SHEET_(1)32"/>
      <sheetName val="RECOMMENDATION_SHEET_(1)32"/>
      <sheetName val="Teilepreise_&amp;_PT-Kosten_(1)32"/>
      <sheetName val="Barwertberechnung_(1)32"/>
      <sheetName val="Vorbereitende_Eing__(Teil_2)32"/>
      <sheetName val="BIDDERS_LIST_(2)32"/>
      <sheetName val="COMPARISON_SHEET_(2)32"/>
      <sheetName val="LONGTERM_SHEET_(2)32"/>
      <sheetName val="RECOMMENDATION_SHEET_(2)32"/>
      <sheetName val="Teilepreise_&amp;_PT-Kosten_(2)32"/>
      <sheetName val="Barwertberechnung_(2)32"/>
      <sheetName val="Vorbereitende_Eing__(Teil_3)32"/>
      <sheetName val="BIDDERS_LIST_(3)32"/>
      <sheetName val="COMPARISON_SHEET_(3)32"/>
      <sheetName val="LONGTERM_SHEET_(3)32"/>
      <sheetName val="RECOMMENDATION_SHEET_(3)32"/>
      <sheetName val="Teilepreise_&amp;_PT-Kosten_(3)32"/>
      <sheetName val="Barwertberechnung_(3)32"/>
      <sheetName val="Vorbereitende_Eing__(Teil_4)32"/>
      <sheetName val="BIDDERS_LIST_(4)32"/>
      <sheetName val="COMPARISON_SHEET_(4)32"/>
      <sheetName val="LONGTERM_SHEET_(4)32"/>
      <sheetName val="RECOMMENDATION_SHEET_(4)32"/>
      <sheetName val="Teilepreise_&amp;_PT-Kosten_(4)32"/>
      <sheetName val="Barwertberechnung_(4)32"/>
      <sheetName val="Vorbereitende_Eing__(Teil_5)32"/>
      <sheetName val="BIDDERS_LIST_(5)32"/>
      <sheetName val="COMPARISON_SHEET_(5)32"/>
      <sheetName val="LONGTERM_SHEET_(5)32"/>
      <sheetName val="RECOMMENDATION_SHEET_(5)32"/>
      <sheetName val="Teilepreise_&amp;_PT-Kosten_(5)32"/>
      <sheetName val="Barwertberechnung_(5)32"/>
      <sheetName val="v_a-und_b-Preise32"/>
      <sheetName val="Plausibilität_Target32"/>
      <sheetName val="v_Vorbereitende_Eing__(Teil_132"/>
      <sheetName val="v_BIDDERS_LIST_(1)32"/>
      <sheetName val="v_COMPARISON_SHEET_(1)32"/>
      <sheetName val="v_LONGTERM_SHEET_(1)32"/>
      <sheetName val="v_RECOMMENDATION_SHEET_(1)32"/>
      <sheetName val="v_Teilepreise_&amp;_PT-Kosten_(1)32"/>
      <sheetName val="v_Barwertberechnung_(1)32"/>
      <sheetName val="BOM_Compile32"/>
      <sheetName val="CBA_Load32"/>
      <sheetName val="SG&amp;A,_INDL32"/>
      <sheetName val="Tool,_PC32"/>
      <sheetName val="Start_Here32"/>
      <sheetName val="Burden_Rates32"/>
      <sheetName val="POWER_ASSUMPTIONS32"/>
      <sheetName val="Page_3932"/>
      <sheetName val="Page_2632"/>
      <sheetName val="Page_3132"/>
      <sheetName val="Page_832"/>
      <sheetName val="Sales_Ranking_by_Manufactures31"/>
      <sheetName val="Cost_Walk31"/>
      <sheetName val="IST_ACTUAL_EUR31"/>
      <sheetName val="INVESTMENTS_NON_AP31"/>
      <sheetName val="Plant_Data31"/>
      <sheetName val="Page_1531"/>
      <sheetName val="Non_quality_costs31"/>
      <sheetName val="Page_2031"/>
      <sheetName val="Page_4231"/>
      <sheetName val="Page_2131"/>
      <sheetName val="Page_2431"/>
      <sheetName val="Page_2531"/>
      <sheetName val="Page_3031"/>
      <sheetName val="CUSTOMER_(DETAIL)31"/>
      <sheetName val="Sheet1_(3)31"/>
      <sheetName val="variable_131"/>
      <sheetName val="Page_14-A31"/>
      <sheetName val="Total_Mkt31"/>
      <sheetName val="Ind_Labor_Cost31"/>
      <sheetName val="Dir_Labor_Cost31"/>
      <sheetName val="진행_DATA_(2)31"/>
      <sheetName val="1_2031"/>
      <sheetName val="03_Transportation_Quoting31"/>
      <sheetName val="HVL_Cost_Study30"/>
      <sheetName val="Inv_S30"/>
      <sheetName val="EN114_&amp;_SN9530"/>
      <sheetName val="Target_Cascade30"/>
      <sheetName val="Auto_Trans_Total_F&amp;T_30"/>
      <sheetName val="Manual_Trans_Total_F&amp;T30"/>
      <sheetName val="V_Engine_Mfg_Process30"/>
      <sheetName val="FULL_BOM30"/>
      <sheetName val="After_Sales_Supplier_#'s30"/>
      <sheetName val="Apr_(1)_3_of_330"/>
      <sheetName val="Page_131"/>
      <sheetName val="14-Labor_Cost30"/>
      <sheetName val="UPPER_BLOCK19"/>
      <sheetName val="UFPrn20110107105219"/>
      <sheetName val="Laendercodes"/>
      <sheetName val="Werkzeugarten"/>
      <sheetName val="Croisements (Ai - Ej - Mk) X85"/>
      <sheetName val="4月份"/>
      <sheetName val="Feuil9"/>
      <sheetName val="TC_Car_New4P"/>
      <sheetName val="坯布"/>
      <sheetName val="材料"/>
      <sheetName val="收入明细－按客户"/>
      <sheetName val="golf05"/>
      <sheetName val="外销"/>
    </sheetNames>
    <sheetDataSet>
      <sheetData sheetId="0">
        <row r="2">
          <cell r="A2" t="str">
            <v>ACOUSTICS</v>
          </cell>
        </row>
      </sheetData>
      <sheetData sheetId="1">
        <row r="2">
          <cell r="A2" t="str">
            <v>ACOUSTICS</v>
          </cell>
        </row>
      </sheetData>
      <sheetData sheetId="2">
        <row r="2">
          <cell r="A2" t="str">
            <v>ACOUSTICS</v>
          </cell>
        </row>
      </sheetData>
      <sheetData sheetId="3" refreshError="1">
        <row r="2">
          <cell r="A2" t="str">
            <v>ACOUSTICS</v>
          </cell>
          <cell r="Q2" t="str">
            <v>IN</v>
          </cell>
        </row>
        <row r="3">
          <cell r="Q3" t="str">
            <v>MM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 refreshError="1"/>
      <sheetData sheetId="300"/>
      <sheetData sheetId="301"/>
      <sheetData sheetId="302"/>
      <sheetData sheetId="303"/>
      <sheetData sheetId="304"/>
      <sheetData sheetId="305" refreshError="1"/>
      <sheetData sheetId="306"/>
      <sheetData sheetId="307"/>
      <sheetData sheetId="308"/>
      <sheetData sheetId="309"/>
      <sheetData sheetId="310" refreshError="1"/>
      <sheetData sheetId="311"/>
      <sheetData sheetId="312"/>
      <sheetData sheetId="313"/>
      <sheetData sheetId="314" refreshError="1"/>
      <sheetData sheetId="315"/>
      <sheetData sheetId="316"/>
      <sheetData sheetId="317"/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>
        <row r="2">
          <cell r="A2" t="str">
            <v>ACOUSTICS</v>
          </cell>
        </row>
      </sheetData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>
        <row r="2">
          <cell r="A2" t="str">
            <v>ACOUSTICS</v>
          </cell>
        </row>
      </sheetData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>
        <row r="2">
          <cell r="A2" t="str">
            <v>ACOUSTICS</v>
          </cell>
        </row>
      </sheetData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>
        <row r="2">
          <cell r="A2" t="str">
            <v>ACOUSTICS</v>
          </cell>
        </row>
      </sheetData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>
        <row r="2">
          <cell r="A2" t="str">
            <v>ACOUSTICS</v>
          </cell>
        </row>
      </sheetData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>
        <row r="2">
          <cell r="A2" t="str">
            <v>ACOUSTICS</v>
          </cell>
        </row>
      </sheetData>
      <sheetData sheetId="588">
        <row r="2">
          <cell r="A2" t="str">
            <v>ACOUSTICS</v>
          </cell>
        </row>
      </sheetData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>
        <row r="2">
          <cell r="A2" t="str">
            <v>ACOUSTICS</v>
          </cell>
        </row>
      </sheetData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>
        <row r="2">
          <cell r="A2" t="str">
            <v>ACOUSTICS</v>
          </cell>
        </row>
      </sheetData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>
        <row r="2">
          <cell r="A2" t="str">
            <v>ACOUSTICS</v>
          </cell>
        </row>
      </sheetData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>
        <row r="2">
          <cell r="A2" t="str">
            <v>ACOUSTICS</v>
          </cell>
        </row>
      </sheetData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>
        <row r="2">
          <cell r="A2" t="str">
            <v>ACOUSTICS</v>
          </cell>
        </row>
      </sheetData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>
        <row r="2">
          <cell r="A2" t="str">
            <v>ACOUSTICS</v>
          </cell>
        </row>
      </sheetData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>
        <row r="2">
          <cell r="A2" t="str">
            <v>ACOUSTICS</v>
          </cell>
        </row>
      </sheetData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>
        <row r="2">
          <cell r="A2" t="str">
            <v>ACOUSTICS</v>
          </cell>
        </row>
      </sheetData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>
        <row r="2">
          <cell r="A2" t="str">
            <v>ACOUSTICS</v>
          </cell>
        </row>
      </sheetData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>
        <row r="2">
          <cell r="A2" t="str">
            <v>ACOUSTICS</v>
          </cell>
        </row>
      </sheetData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>
        <row r="2">
          <cell r="A2" t="str">
            <v>ACOUSTICS</v>
          </cell>
        </row>
      </sheetData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>
        <row r="2">
          <cell r="A2" t="str">
            <v>ACOUSTICS</v>
          </cell>
        </row>
      </sheetData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>
        <row r="2">
          <cell r="A2" t="str">
            <v>ACOUSTICS</v>
          </cell>
        </row>
      </sheetData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 refreshError="1"/>
      <sheetData sheetId="1382">
        <row r="2">
          <cell r="A2" t="str">
            <v>ACOUSTICS</v>
          </cell>
        </row>
      </sheetData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>
        <row r="2">
          <cell r="A2" t="str">
            <v>ACOUSTICS</v>
          </cell>
        </row>
      </sheetData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>
        <row r="2">
          <cell r="A2" t="str">
            <v>ACOUSTICS</v>
          </cell>
        </row>
      </sheetData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>
        <row r="2">
          <cell r="A2" t="str">
            <v>ACOUSTICS</v>
          </cell>
        </row>
      </sheetData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 refreshError="1"/>
      <sheetData sheetId="1628" refreshError="1"/>
      <sheetData sheetId="1629">
        <row r="2">
          <cell r="A2" t="str">
            <v>ACOUSTICS</v>
          </cell>
        </row>
      </sheetData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 refreshError="1"/>
      <sheetData sheetId="1752" refreshError="1"/>
      <sheetData sheetId="1753" refreshError="1"/>
      <sheetData sheetId="1754" refreshError="1"/>
      <sheetData sheetId="1755">
        <row r="2">
          <cell r="A2" t="str">
            <v>ACOUSTICS</v>
          </cell>
        </row>
      </sheetData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>
        <row r="2">
          <cell r="A2" t="str">
            <v>ACOUSTICS</v>
          </cell>
        </row>
      </sheetData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>
        <row r="2">
          <cell r="A2" t="str">
            <v>ACOUSTICS</v>
          </cell>
        </row>
      </sheetData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>
        <row r="2">
          <cell r="A2" t="str">
            <v>ACOUSTICS</v>
          </cell>
        </row>
      </sheetData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>
        <row r="2">
          <cell r="A2" t="str">
            <v>ACOUSTICS</v>
          </cell>
        </row>
      </sheetData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>
        <row r="2">
          <cell r="A2" t="str">
            <v>ACOUSTICS</v>
          </cell>
        </row>
      </sheetData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>
        <row r="2">
          <cell r="A2" t="str">
            <v>ACOUSTICS</v>
          </cell>
        </row>
      </sheetData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>
        <row r="2">
          <cell r="A2" t="str">
            <v>ACOUSTICS</v>
          </cell>
        </row>
      </sheetData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>
        <row r="2">
          <cell r="A2" t="str">
            <v>ACOUSTICS</v>
          </cell>
        </row>
      </sheetData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>
        <row r="2">
          <cell r="A2" t="str">
            <v>ACOUSTICS</v>
          </cell>
        </row>
      </sheetData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>
        <row r="2">
          <cell r="A2" t="str">
            <v>ACOUSTICS</v>
          </cell>
        </row>
      </sheetData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>
        <row r="2">
          <cell r="A2" t="str">
            <v>ACOUSTICS</v>
          </cell>
        </row>
      </sheetData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>
        <row r="2">
          <cell r="A2" t="str">
            <v>ACOUSTICS</v>
          </cell>
        </row>
      </sheetData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>
        <row r="2">
          <cell r="A2" t="str">
            <v>ACOUSTICS</v>
          </cell>
        </row>
      </sheetData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>
        <row r="2">
          <cell r="A2" t="str">
            <v>ACOUSTICS</v>
          </cell>
        </row>
      </sheetData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 refreshError="1"/>
      <sheetData sheetId="3476" refreshError="1"/>
      <sheetData sheetId="3477">
        <row r="2">
          <cell r="A2" t="str">
            <v>ACOUSTICS</v>
          </cell>
        </row>
      </sheetData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>
        <row r="2">
          <cell r="A2" t="str">
            <v>ACOUSTICS</v>
          </cell>
        </row>
      </sheetData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>
        <row r="2">
          <cell r="A2" t="str">
            <v>ACOUSTICS</v>
          </cell>
        </row>
      </sheetData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>
        <row r="2">
          <cell r="A2" t="str">
            <v>ACOUSTICS</v>
          </cell>
        </row>
      </sheetData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>
        <row r="2">
          <cell r="A2" t="str">
            <v>ACOUSTICS</v>
          </cell>
        </row>
      </sheetData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>
        <row r="2">
          <cell r="A2" t="str">
            <v>ACOUSTICS</v>
          </cell>
        </row>
      </sheetData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>
        <row r="2">
          <cell r="A2" t="str">
            <v>ACOUSTICS</v>
          </cell>
        </row>
      </sheetData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>
        <row r="2">
          <cell r="A2" t="str">
            <v>ACOUSTICS</v>
          </cell>
        </row>
      </sheetData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</sheetDataSet>
  </externalBook>
</externalLink>
</file>

<file path=xl/externalLinks/externalLink45.xml><?xml version="1.0" encoding="utf-8"?>
<externalLink xmlns:r="http://schemas.openxmlformats.org/officeDocument/2006/relationships" xmlns="http://schemas.openxmlformats.org/spreadsheetml/2006/main">
  <externalBook r:id="rId0">
    <sheetNames>
      <sheetName val="STANDVAR_b3CTY"/>
      <sheetName val="STANDVAR_b3DEU"/>
      <sheetName val="STANDVAR_b3ESP"/>
      <sheetName val="STANDVAR_b3FRA"/>
      <sheetName val="STARTUP_b3CTY"/>
      <sheetName val="constante"/>
      <sheetName val="Rates"/>
      <sheetName val="Instrument"/>
      <sheetName val="param"/>
      <sheetName val="制造成本预算表A3"/>
      <sheetName val="Dashboard Database"/>
      <sheetName val="Act. Bud. FIB 2004"/>
      <sheetName val="Parametres 04"/>
      <sheetName val="Sheet1 (3)"/>
      <sheetName val="Tables"/>
      <sheetName val="PRF"/>
      <sheetName val="Page 39"/>
      <sheetName val="Page 26"/>
      <sheetName val="Page 31"/>
      <sheetName val="Page 8"/>
      <sheetName val="variable 1"/>
      <sheetName val="FI-2D10 MAG ASIA"/>
      <sheetName val="FI-2D10 MAG TRANS"/>
      <sheetName val="FI-2D10 MAG ESPG"/>
      <sheetName val="FI-2D10 MAG EUR"/>
      <sheetName val="FI-2D10 MAG IOP"/>
      <sheetName val="FI-2D10 MAG NAO"/>
      <sheetName val="MASTER"/>
      <sheetName val="PRESENTATION"/>
      <sheetName val="Listes"/>
      <sheetName val="System"/>
      <sheetName val="System Sheet"/>
      <sheetName val="Feuil2"/>
      <sheetName val="Hypotheses"/>
      <sheetName val="SUMSCHED"/>
      <sheetName val="SALESCUST"/>
      <sheetName val="FOREC1"/>
      <sheetName val="HEADC"/>
      <sheetName val="INVENT"/>
      <sheetName val="INVEST"/>
      <sheetName val="AIS"/>
      <sheetName val="Analysis"/>
      <sheetName val="GROSSM"/>
      <sheetName val="DG"/>
      <sheetName val="Turnover YTD"/>
      <sheetName val="Data"/>
      <sheetName val="#REF!"/>
      <sheetName val="Dashboard"/>
      <sheetName val="INTRO"/>
      <sheetName val="Rohrteile"/>
      <sheetName val="setup"/>
      <sheetName val="Reference data"/>
      <sheetName val="Feuil1"/>
      <sheetName val="Reference_data"/>
      <sheetName val="Premise"/>
      <sheetName val="Main"/>
      <sheetName val="Macro1"/>
      <sheetName val="Time data per station &amp; variant"/>
      <sheetName val="Trial10"/>
      <sheetName val="STANDVAR"/>
      <sheetName val="Kautex 4WD St.IV P&amp;D"/>
      <sheetName val="Sachs FL WHL"/>
      <sheetName val="graph SOP"/>
      <sheetName val="LOV"/>
      <sheetName val="Input Sheet"/>
      <sheetName val="Daten"/>
      <sheetName val="Subcom-DropdownList-Org"/>
      <sheetName val="Section 1-RFQ"/>
      <sheetName val="Brands"/>
      <sheetName val="Material Cost"/>
      <sheetName val="Staff details"/>
      <sheetName val="P&amp;L"/>
      <sheetName val="Divisions"/>
      <sheetName val="Fonctions"/>
      <sheetName val="Data&amp;Graph Template"/>
      <sheetName val="Macro2"/>
      <sheetName val="Components"/>
      <sheetName val="Reference_data1"/>
      <sheetName val="Time_data_per_station_&amp;_variant"/>
      <sheetName val="Kautex_4WD_St_IV_P&amp;D"/>
      <sheetName val="Sachs_FL_WHL"/>
      <sheetName val="Staff_details"/>
      <sheetName val="Material_Cost"/>
      <sheetName val="Dashboard_Database"/>
      <sheetName val="Data&amp;Graph_Template"/>
      <sheetName val="CRITERES"/>
      <sheetName val="Reference_data2"/>
      <sheetName val="Time_data_per_station_&amp;_varian1"/>
      <sheetName val="Reference_data3"/>
      <sheetName val="Time_data_per_station_&amp;_varian2"/>
      <sheetName val="Reference_data4"/>
      <sheetName val="Time_data_per_station_&amp;_varian3"/>
      <sheetName val="Gesamt 13"/>
      <sheetName val="SIG-&gt;SUIG"/>
      <sheetName val="Schedule"/>
      <sheetName val="Reference_data5"/>
      <sheetName val="Time_data_per_station_&amp;_varian4"/>
      <sheetName val="Kautex_4WD_St_IV_P&amp;D1"/>
      <sheetName val="Sachs_FL_WHL1"/>
      <sheetName val="Staff_details1"/>
      <sheetName val="Material_Cost1"/>
      <sheetName val="Data&amp;Graph_Template1"/>
      <sheetName val="Dashboard_Database1"/>
      <sheetName val="Control Model to Average"/>
      <sheetName val="Sheet1"/>
      <sheetName val="Kautex_4WD_St_IV_P&amp;D2"/>
      <sheetName val="Sachs_FL_WHL2"/>
      <sheetName val="Staff_details2"/>
      <sheetName val="Material_Cost2"/>
      <sheetName val="Dashboard_Database2"/>
      <sheetName val="Data&amp;Graph_Template2"/>
      <sheetName val="Reference_data6"/>
      <sheetName val="Time_data_per_station_&amp;_varian5"/>
      <sheetName val="Kautex_4WD_St_IV_P&amp;D3"/>
      <sheetName val="Sachs_FL_WHL3"/>
      <sheetName val="Staff_details3"/>
      <sheetName val="Material_Cost3"/>
      <sheetName val="Dashboard_Database3"/>
      <sheetName val="Data&amp;Graph_Template3"/>
      <sheetName val="Gesamt_13"/>
      <sheetName val="Control_Model_to_Average"/>
      <sheetName val="Selection"/>
      <sheetName val="Premium Fr in"/>
      <sheetName val="Inventory"/>
      <sheetName val="Coresp"/>
      <sheetName val="Statutory Compliance Report"/>
      <sheetName val="IOP"/>
      <sheetName val="Asia analysis"/>
      <sheetName val="明细表"/>
      <sheetName val="Varebit 2006 FY versus PMT"/>
      <sheetName val="Varebit S2 05 versus Budget"/>
      <sheetName val="国产工装"/>
      <sheetName val="Sept BF"/>
      <sheetName val="CONTROLE"/>
      <sheetName val="START-UP_04_2001_VWGroup"/>
      <sheetName val="std_cost_27feb02 1945"/>
      <sheetName val="sapactivexlhiddensheet"/>
      <sheetName val="Eng. Headcount"/>
      <sheetName val="1-12月市場件數"/>
      <sheetName val="Entity"/>
      <sheetName val="F-0002-024A"/>
      <sheetName val="REX(1)"/>
      <sheetName val="表紙(代表者)"/>
      <sheetName val="72直直明細.下"/>
      <sheetName val="3월종합현황"/>
      <sheetName val="Mold Detail Cost breakdowns"/>
      <sheetName val="Additional Recommendations"/>
      <sheetName val="Roll Out - Limit"/>
      <sheetName val="progress points"/>
      <sheetName val="LACDVAR"/>
    </sheetNames>
    <sheetDataSet>
      <sheetData sheetId="0" refreshError="1">
        <row r="3">
          <cell r="D3" t="str">
            <v>STANDARD VARIANCES</v>
          </cell>
        </row>
        <row r="4">
          <cell r="D4" t="str">
            <v>April  2001</v>
          </cell>
        </row>
        <row r="7">
          <cell r="D7" t="str">
            <v>Activity : automotive seating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 t="str">
            <v>Currency :</v>
          </cell>
          <cell r="K7" t="str">
            <v>€</v>
          </cell>
        </row>
        <row r="8">
          <cell r="D8" t="str">
            <v>Entity : VAG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 t="str">
            <v>Unit :</v>
          </cell>
          <cell r="K8" t="str">
            <v>Thousands</v>
          </cell>
        </row>
        <row r="10">
          <cell r="E10" t="str">
            <v>MONTH</v>
          </cell>
          <cell r="F10">
            <v>0</v>
          </cell>
          <cell r="G10">
            <v>0</v>
          </cell>
          <cell r="H10">
            <v>0</v>
          </cell>
          <cell r="I10" t="str">
            <v>YEAR TO DATE</v>
          </cell>
        </row>
        <row r="11">
          <cell r="E11" t="str">
            <v>ACTUAL</v>
          </cell>
          <cell r="F11" t="str">
            <v>BUDGET</v>
          </cell>
          <cell r="G11" t="str">
            <v>Variance</v>
          </cell>
          <cell r="H11">
            <v>0</v>
          </cell>
          <cell r="I11" t="str">
            <v>ACTUAL</v>
          </cell>
          <cell r="J11" t="str">
            <v>BUDGET</v>
          </cell>
          <cell r="K11" t="str">
            <v>Variance</v>
          </cell>
        </row>
        <row r="12">
          <cell r="D12" t="str">
            <v>Materials :</v>
          </cell>
        </row>
        <row r="13">
          <cell r="D13" t="str">
            <v>Material standard costs</v>
          </cell>
          <cell r="E13">
            <v>-48864.234742354027</v>
          </cell>
          <cell r="F13">
            <v>-48156.748209533071</v>
          </cell>
          <cell r="G13">
            <v>-707.4865328209562</v>
          </cell>
          <cell r="H13">
            <v>0</v>
          </cell>
          <cell r="I13">
            <v>-205996.61285747387</v>
          </cell>
          <cell r="J13">
            <v>-203457.69221409404</v>
          </cell>
          <cell r="K13">
            <v>-2538.9206433798245</v>
          </cell>
        </row>
        <row r="14">
          <cell r="D14" t="str">
            <v>% Product Sales (excl. Monoliths)</v>
          </cell>
          <cell r="E14">
            <v>-0.85906278879354048</v>
          </cell>
          <cell r="F14">
            <v>-0.85036990643782284</v>
          </cell>
          <cell r="G14">
            <v>0</v>
          </cell>
          <cell r="H14">
            <v>0</v>
          </cell>
          <cell r="I14">
            <v>-0.85199531539843498</v>
          </cell>
          <cell r="J14">
            <v>-0.84652951617687822</v>
          </cell>
        </row>
        <row r="16">
          <cell r="D16" t="str">
            <v>Economic variance</v>
          </cell>
          <cell r="E16">
            <v>32.341627539610052</v>
          </cell>
          <cell r="F16">
            <v>388.21353739422779</v>
          </cell>
          <cell r="G16">
            <v>-355.87190985461774</v>
          </cell>
          <cell r="H16">
            <v>0</v>
          </cell>
          <cell r="I16">
            <v>212.83529178040632</v>
          </cell>
          <cell r="J16">
            <v>1343.3356300910796</v>
          </cell>
          <cell r="K16">
            <v>-1130.5003383106732</v>
          </cell>
        </row>
        <row r="17">
          <cell r="D17" t="str">
            <v>Technical variance</v>
          </cell>
          <cell r="E17">
            <v>17.115434871493104</v>
          </cell>
          <cell r="F17">
            <v>26.856515729863997</v>
          </cell>
          <cell r="G17">
            <v>-9.7410808583708928</v>
          </cell>
          <cell r="H17">
            <v>0</v>
          </cell>
          <cell r="I17">
            <v>-6.5897696903912806</v>
          </cell>
          <cell r="J17">
            <v>121.08042673441095</v>
          </cell>
          <cell r="K17">
            <v>-127.67019642480223</v>
          </cell>
        </row>
        <row r="18">
          <cell r="D18" t="str">
            <v>Start-up costs</v>
          </cell>
          <cell r="E18">
            <v>-15.025375138919161</v>
          </cell>
          <cell r="F18">
            <v>-31.89800779624273</v>
          </cell>
          <cell r="G18">
            <v>16.872632657323571</v>
          </cell>
          <cell r="H18">
            <v>0</v>
          </cell>
          <cell r="I18">
            <v>-85.666095491015412</v>
          </cell>
          <cell r="J18">
            <v>-121.45652840048967</v>
          </cell>
          <cell r="K18">
            <v>35.790432909474262</v>
          </cell>
        </row>
        <row r="19">
          <cell r="D19" t="str">
            <v>Other industrial variance</v>
          </cell>
          <cell r="E19">
            <v>-11.961537903246702</v>
          </cell>
          <cell r="F19">
            <v>-26.988715212734984</v>
          </cell>
          <cell r="G19">
            <v>15.027177309488282</v>
          </cell>
          <cell r="H19">
            <v>0</v>
          </cell>
          <cell r="I19">
            <v>-130.64633728613308</v>
          </cell>
          <cell r="J19">
            <v>-115.0804334918295</v>
          </cell>
          <cell r="K19">
            <v>-15.56590379430358</v>
          </cell>
        </row>
        <row r="20">
          <cell r="D20" t="str">
            <v>Total Material Variances</v>
          </cell>
          <cell r="E20">
            <v>22.470149368937292</v>
          </cell>
          <cell r="F20">
            <v>356.18333011511407</v>
          </cell>
          <cell r="G20">
            <v>-333.71318074617676</v>
          </cell>
          <cell r="H20">
            <v>0</v>
          </cell>
          <cell r="I20">
            <v>-10.066910687133444</v>
          </cell>
          <cell r="J20">
            <v>1227.8790949331712</v>
          </cell>
          <cell r="K20">
            <v>-1237.9460056203047</v>
          </cell>
        </row>
        <row r="21">
          <cell r="D21" t="str">
            <v>% standard cost</v>
          </cell>
          <cell r="E21">
            <v>-4.5984858838812127E-4</v>
          </cell>
          <cell r="F21">
            <v>-7.396332671079405E-3</v>
          </cell>
          <cell r="G21">
            <v>0</v>
          </cell>
          <cell r="H21">
            <v>0</v>
          </cell>
          <cell r="I21">
            <v>4.8869302011769464E-5</v>
          </cell>
          <cell r="J21">
            <v>-6.0350585990187142E-3</v>
          </cell>
        </row>
        <row r="23">
          <cell r="D23" t="str">
            <v>Total Material Costs</v>
          </cell>
          <cell r="E23">
            <v>-48841.764592985091</v>
          </cell>
          <cell r="F23">
            <v>-47800.564879417958</v>
          </cell>
          <cell r="G23">
            <v>-1041.1997135671336</v>
          </cell>
          <cell r="H23">
            <v>0</v>
          </cell>
          <cell r="I23">
            <v>-206006.679768161</v>
          </cell>
          <cell r="J23">
            <v>-202229.81311916088</v>
          </cell>
          <cell r="K23">
            <v>-3776.8666490001197</v>
          </cell>
        </row>
        <row r="24">
          <cell r="D24" t="str">
            <v>% Product Sales (excl. Monoliths)</v>
          </cell>
          <cell r="E24">
            <v>-0.85866774998277706</v>
          </cell>
          <cell r="F24">
            <v>-0.84408028771633414</v>
          </cell>
          <cell r="G24">
            <v>0</v>
          </cell>
          <cell r="H24">
            <v>0</v>
          </cell>
          <cell r="I24">
            <v>-0.85203695181481576</v>
          </cell>
          <cell r="J24">
            <v>-0.8414206609409518</v>
          </cell>
        </row>
        <row r="25">
          <cell r="D25" t="str">
            <v>Direct Labor Costs :</v>
          </cell>
        </row>
        <row r="26">
          <cell r="D26" t="str">
            <v>Direct labor standard costs</v>
          </cell>
          <cell r="E26">
            <v>-2429.1993623552353</v>
          </cell>
          <cell r="F26">
            <v>-2493.8450591130704</v>
          </cell>
          <cell r="G26">
            <v>64.64569675783514</v>
          </cell>
          <cell r="H26">
            <v>0</v>
          </cell>
          <cell r="I26">
            <v>-10349.973811231268</v>
          </cell>
          <cell r="J26">
            <v>-10510.380356622891</v>
          </cell>
          <cell r="K26">
            <v>160.40654539162279</v>
          </cell>
        </row>
        <row r="27">
          <cell r="D27" t="str">
            <v>% Product Sales (excl. Monoliths)</v>
          </cell>
          <cell r="E27">
            <v>-4.270679341984198E-2</v>
          </cell>
          <cell r="F27">
            <v>-4.4037250612544439E-2</v>
          </cell>
          <cell r="G27">
            <v>0</v>
          </cell>
          <cell r="H27">
            <v>0</v>
          </cell>
          <cell r="I27">
            <v>-4.2807156289344742E-2</v>
          </cell>
          <cell r="J27">
            <v>-4.3730699494833838E-2</v>
          </cell>
        </row>
        <row r="29">
          <cell r="D29" t="str">
            <v>Economic variance</v>
          </cell>
          <cell r="E29">
            <v>-14.666971860655496</v>
          </cell>
          <cell r="F29">
            <v>-17.60853512055942</v>
          </cell>
          <cell r="G29">
            <v>2.9415632599039245</v>
          </cell>
          <cell r="H29">
            <v>0</v>
          </cell>
          <cell r="I29">
            <v>-72.58637925595734</v>
          </cell>
          <cell r="J29">
            <v>-79.896948544224699</v>
          </cell>
          <cell r="K29">
            <v>7.3105692882673594</v>
          </cell>
        </row>
        <row r="30">
          <cell r="D30" t="str">
            <v>Technical variance</v>
          </cell>
          <cell r="E30">
            <v>-15.20511215948606</v>
          </cell>
          <cell r="F30">
            <v>13.253630983738265</v>
          </cell>
          <cell r="G30">
            <v>-28.458743143224325</v>
          </cell>
          <cell r="H30">
            <v>0</v>
          </cell>
          <cell r="I30">
            <v>-78.831297178321108</v>
          </cell>
          <cell r="J30">
            <v>59.755790714330367</v>
          </cell>
          <cell r="K30">
            <v>-138.58708789265148</v>
          </cell>
        </row>
        <row r="31">
          <cell r="D31" t="str">
            <v>Start-up costs</v>
          </cell>
          <cell r="E31">
            <v>-9.7145460754287196</v>
          </cell>
          <cell r="F31">
            <v>-23.519427340511641</v>
          </cell>
          <cell r="G31">
            <v>13.804881265082921</v>
          </cell>
          <cell r="H31">
            <v>0</v>
          </cell>
          <cell r="I31">
            <v>-111.9729258167837</v>
          </cell>
          <cell r="J31">
            <v>-94.077709362046591</v>
          </cell>
          <cell r="K31">
            <v>-17.89521645473711</v>
          </cell>
        </row>
        <row r="32">
          <cell r="D32" t="str">
            <v>Other industrial variance</v>
          </cell>
          <cell r="E32">
            <v>-98.379868118184561</v>
          </cell>
          <cell r="F32">
            <v>55.511074438111059</v>
          </cell>
          <cell r="G32">
            <v>-153.89094255629561</v>
          </cell>
          <cell r="H32">
            <v>0</v>
          </cell>
          <cell r="I32">
            <v>-117.63292286293154</v>
          </cell>
          <cell r="J32">
            <v>157.9723138181314</v>
          </cell>
          <cell r="K32">
            <v>-275.60523668106293</v>
          </cell>
        </row>
        <row r="33">
          <cell r="D33" t="str">
            <v>Total Direct Labor Variances</v>
          </cell>
          <cell r="E33">
            <v>-137.96649821375485</v>
          </cell>
          <cell r="F33">
            <v>27.636742960778264</v>
          </cell>
          <cell r="G33">
            <v>-165.60324117453311</v>
          </cell>
          <cell r="H33">
            <v>0</v>
          </cell>
          <cell r="I33">
            <v>-381.02352511399368</v>
          </cell>
          <cell r="J33">
            <v>43.753446626190481</v>
          </cell>
          <cell r="K33">
            <v>-424.77697174018419</v>
          </cell>
        </row>
        <row r="34">
          <cell r="D34" t="str">
            <v>% standard cost</v>
          </cell>
          <cell r="E34">
            <v>5.6795049575506698E-2</v>
          </cell>
          <cell r="F34">
            <v>-1.1081980758903763E-2</v>
          </cell>
          <cell r="G34">
            <v>0</v>
          </cell>
          <cell r="H34">
            <v>0</v>
          </cell>
          <cell r="I34">
            <v>3.6813960311718491E-2</v>
          </cell>
          <cell r="J34">
            <v>-4.1628794716853596E-3</v>
          </cell>
        </row>
        <row r="36">
          <cell r="D36" t="str">
            <v>Total Direct Labor Costs</v>
          </cell>
          <cell r="E36">
            <v>-2567.16586056899</v>
          </cell>
          <cell r="F36">
            <v>-2466.2083161522924</v>
          </cell>
          <cell r="G36">
            <v>-100.9575444166976</v>
          </cell>
          <cell r="H36">
            <v>0</v>
          </cell>
          <cell r="I36">
            <v>-10730.997336345261</v>
          </cell>
          <cell r="J36">
            <v>-10466.626909996699</v>
          </cell>
          <cell r="K36">
            <v>-264.37042634856152</v>
          </cell>
        </row>
        <row r="37">
          <cell r="D37" t="str">
            <v>% Product Sales (excl. Monoliths)</v>
          </cell>
          <cell r="E37">
            <v>-4.5132327869332821E-2</v>
          </cell>
          <cell r="F37">
            <v>-4.3549230648581204E-2</v>
          </cell>
          <cell r="G37">
            <v>0</v>
          </cell>
          <cell r="H37">
            <v>0</v>
          </cell>
          <cell r="I37">
            <v>-4.4383057242038206E-2</v>
          </cell>
          <cell r="J37">
            <v>-4.3548653863624345E-2</v>
          </cell>
        </row>
        <row r="38">
          <cell r="D38" t="str">
            <v>Freight-out :</v>
          </cell>
        </row>
        <row r="39">
          <cell r="D39" t="str">
            <v>Regular freight-out</v>
          </cell>
          <cell r="E39">
            <v>-94.602403850086503</v>
          </cell>
          <cell r="F39">
            <v>-101.26639376392046</v>
          </cell>
          <cell r="G39">
            <v>6.6639899138339587</v>
          </cell>
          <cell r="H39">
            <v>0</v>
          </cell>
          <cell r="I39">
            <v>-357.47483940258763</v>
          </cell>
          <cell r="J39">
            <v>-389.97691335041776</v>
          </cell>
          <cell r="K39">
            <v>32.502073947830127</v>
          </cell>
        </row>
        <row r="40">
          <cell r="D40" t="str">
            <v>Exceptional freight-out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</row>
        <row r="42">
          <cell r="D42" t="str">
            <v>Total Freight-out costs</v>
          </cell>
          <cell r="E42">
            <v>-94.602403850086503</v>
          </cell>
          <cell r="F42">
            <v>-101.26639376392046</v>
          </cell>
          <cell r="G42">
            <v>6.6639899138339587</v>
          </cell>
          <cell r="H42">
            <v>0</v>
          </cell>
          <cell r="I42">
            <v>-357.47483940258763</v>
          </cell>
          <cell r="J42">
            <v>-389.97691335041776</v>
          </cell>
          <cell r="K42">
            <v>32.502073947830127</v>
          </cell>
        </row>
        <row r="43">
          <cell r="D43" t="str">
            <v>% Product Sales (excl. Monoliths)</v>
          </cell>
          <cell r="E43">
            <v>-1.6631674537938941E-3</v>
          </cell>
          <cell r="F43">
            <v>-1.7881999302700787E-3</v>
          </cell>
          <cell r="G43">
            <v>0</v>
          </cell>
          <cell r="H43">
            <v>0</v>
          </cell>
          <cell r="I43">
            <v>-1.4785043516930933E-3</v>
          </cell>
          <cell r="J43">
            <v>-1.6225828779739433E-3</v>
          </cell>
        </row>
        <row r="45">
          <cell r="D45" t="str">
            <v>Total Materials + Direct Labor</v>
          </cell>
        </row>
        <row r="46">
          <cell r="D46" t="str">
            <v>Materials + Direct Labor standard costs</v>
          </cell>
          <cell r="E46">
            <v>-51293.43410470926</v>
          </cell>
          <cell r="F46">
            <v>-50650.593268646138</v>
          </cell>
          <cell r="G46">
            <v>-642.84083606312197</v>
          </cell>
          <cell r="H46">
            <v>0</v>
          </cell>
          <cell r="I46">
            <v>-216346.58666870513</v>
          </cell>
          <cell r="J46">
            <v>-213968.07257071693</v>
          </cell>
          <cell r="K46">
            <v>-2378.514097988198</v>
          </cell>
        </row>
        <row r="47">
          <cell r="D47" t="str">
            <v>% Product Sales (excl. Monoliths)</v>
          </cell>
          <cell r="E47">
            <v>-0.90176958221338244</v>
          </cell>
          <cell r="F47">
            <v>-0.89440715705036722</v>
          </cell>
          <cell r="G47">
            <v>0</v>
          </cell>
          <cell r="H47">
            <v>0</v>
          </cell>
          <cell r="I47">
            <v>-0.89480247168777971</v>
          </cell>
          <cell r="J47">
            <v>-0.89026021567171199</v>
          </cell>
        </row>
        <row r="49">
          <cell r="D49" t="str">
            <v>Economic variance</v>
          </cell>
          <cell r="E49">
            <v>17.674655678954558</v>
          </cell>
          <cell r="F49">
            <v>370.60500227366839</v>
          </cell>
          <cell r="G49">
            <v>-352.93034659471385</v>
          </cell>
          <cell r="H49">
            <v>0</v>
          </cell>
          <cell r="I49">
            <v>140.248912524449</v>
          </cell>
          <cell r="J49">
            <v>1263.4386815468549</v>
          </cell>
          <cell r="K49">
            <v>-1123.1897690224059</v>
          </cell>
        </row>
        <row r="50">
          <cell r="D50" t="str">
            <v>Technical variance</v>
          </cell>
          <cell r="E50">
            <v>1.9103227120070443</v>
          </cell>
          <cell r="F50">
            <v>40.110146713602262</v>
          </cell>
          <cell r="G50">
            <v>-38.199824001595218</v>
          </cell>
          <cell r="H50">
            <v>0</v>
          </cell>
          <cell r="I50">
            <v>-85.421066868712387</v>
          </cell>
          <cell r="J50">
            <v>180.83621744874131</v>
          </cell>
          <cell r="K50">
            <v>-266.2572843174537</v>
          </cell>
        </row>
        <row r="51">
          <cell r="D51" t="str">
            <v>Start-up costs</v>
          </cell>
          <cell r="E51">
            <v>-24.739921214347881</v>
          </cell>
          <cell r="F51">
            <v>-55.417435136754371</v>
          </cell>
          <cell r="G51">
            <v>30.67751392240649</v>
          </cell>
          <cell r="H51">
            <v>0</v>
          </cell>
          <cell r="I51">
            <v>-197.63902130779911</v>
          </cell>
          <cell r="J51">
            <v>-215.53423776253626</v>
          </cell>
          <cell r="K51">
            <v>17.895216454737152</v>
          </cell>
        </row>
        <row r="52">
          <cell r="D52" t="str">
            <v>Other industrial variance</v>
          </cell>
          <cell r="E52">
            <v>-110.34140602143127</v>
          </cell>
          <cell r="F52">
            <v>28.522359225376075</v>
          </cell>
          <cell r="G52">
            <v>-138.86376524680733</v>
          </cell>
          <cell r="H52">
            <v>0</v>
          </cell>
          <cell r="I52">
            <v>-248.27926014906461</v>
          </cell>
          <cell r="J52">
            <v>42.891880326301902</v>
          </cell>
          <cell r="K52">
            <v>-291.17114047536654</v>
          </cell>
        </row>
        <row r="53">
          <cell r="D53" t="str">
            <v>Total Standard Cost Variances</v>
          </cell>
          <cell r="E53">
            <v>-115.49634884481755</v>
          </cell>
          <cell r="F53">
            <v>383.82007307589237</v>
          </cell>
          <cell r="G53">
            <v>-499.3164219207099</v>
          </cell>
          <cell r="H53">
            <v>0</v>
          </cell>
          <cell r="I53">
            <v>-391.09043580112711</v>
          </cell>
          <cell r="J53">
            <v>1271.6325415593617</v>
          </cell>
          <cell r="K53">
            <v>-1662.7229773604888</v>
          </cell>
        </row>
        <row r="55">
          <cell r="D55" t="str">
            <v>Freight</v>
          </cell>
          <cell r="E55">
            <v>-94.602403850086503</v>
          </cell>
          <cell r="F55">
            <v>-101.26639376392046</v>
          </cell>
          <cell r="G55">
            <v>6.6639899138339587</v>
          </cell>
          <cell r="H55">
            <v>0</v>
          </cell>
          <cell r="I55">
            <v>-357.47483940258763</v>
          </cell>
          <cell r="J55">
            <v>-389.97691335041776</v>
          </cell>
          <cell r="K55">
            <v>32.502073947830127</v>
          </cell>
        </row>
        <row r="57">
          <cell r="D57" t="str">
            <v>Total Materials + Direct Labor Costs + Freight-out</v>
          </cell>
          <cell r="E57">
            <v>-51503.532857404163</v>
          </cell>
          <cell r="F57">
            <v>-50368.03958933417</v>
          </cell>
          <cell r="G57">
            <v>-1135.4932680699931</v>
          </cell>
          <cell r="H57">
            <v>0</v>
          </cell>
          <cell r="I57">
            <v>-217095.15194390886</v>
          </cell>
          <cell r="J57">
            <v>-213086.41694250799</v>
          </cell>
          <cell r="K57">
            <v>-4008.7350014008698</v>
          </cell>
        </row>
        <row r="58">
          <cell r="D58" t="str">
            <v>% Product Sales (excl. Monoliths)</v>
          </cell>
          <cell r="E58">
            <v>-0.90546324530590372</v>
          </cell>
          <cell r="F58">
            <v>-0.88941771829518534</v>
          </cell>
          <cell r="G58">
            <v>0</v>
          </cell>
          <cell r="H58">
            <v>0</v>
          </cell>
          <cell r="I58">
            <v>-0.89789851340854709</v>
          </cell>
          <cell r="J58">
            <v>-0.88659189768255009</v>
          </cell>
        </row>
        <row r="59">
          <cell r="J59" t="str">
            <v>Average Exchange Rate :</v>
          </cell>
          <cell r="K59">
            <v>6.5595699999999999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46.xml><?xml version="1.0" encoding="utf-8"?>
<externalLink xmlns:r="http://schemas.openxmlformats.org/officeDocument/2006/relationships" xmlns="http://schemas.openxmlformats.org/spreadsheetml/2006/main">
  <externalBook r:id="rId0">
    <sheetNames>
      <sheetName val="Rohrteile"/>
      <sheetName val="Reference data"/>
    </sheetNames>
    <sheetDataSet>
      <sheetData sheetId="0"/>
      <sheetData sheetId="1" refreshError="1"/>
    </sheetDataSet>
  </externalBook>
</externalLink>
</file>

<file path=xl/externalLinks/externalLink47.xml><?xml version="1.0" encoding="utf-8"?>
<externalLink xmlns:r="http://schemas.openxmlformats.org/officeDocument/2006/relationships" xmlns="http://schemas.openxmlformats.org/spreadsheetml/2006/main">
  <externalBook r:id="rId0">
    <sheetNames>
      <sheetName val="Data"/>
      <sheetName val="AS"/>
      <sheetName val="SM"/>
      <sheetName val="TBG"/>
      <sheetName val="IS"/>
      <sheetName val="AST"/>
      <sheetName val="FED"/>
      <sheetName val="SEQ"/>
      <sheetName val="MS"/>
      <sheetName val="ES"/>
      <sheetName val="HQ"/>
      <sheetName val="Top"/>
      <sheetName val="GRP"/>
      <sheetName val="Classic PSA"/>
      <sheetName val="Classic Adapted"/>
      <sheetName val="AS02"/>
      <sheetName val="SM02"/>
      <sheetName val="TBG02"/>
      <sheetName val="IS02"/>
      <sheetName val="AST02"/>
      <sheetName val="FED02"/>
      <sheetName val="SEQ02"/>
      <sheetName val="MS02"/>
      <sheetName val="ES02"/>
      <sheetName val="HQ02"/>
      <sheetName val="Top02"/>
      <sheetName val="GRP02"/>
      <sheetName val="PSA02"/>
      <sheetName val="Rates"/>
      <sheetName val="Rohrteile"/>
      <sheetName val="STANDVAR_b3CTY"/>
      <sheetName val="Classic_PSA"/>
      <sheetName val="Classic_Adapted"/>
      <sheetName val="PARAMETERS"/>
      <sheetName val="Hypothesis"/>
      <sheetName val="Time data per station &amp; variant"/>
      <sheetName val="FA Definitions"/>
      <sheetName val="Dashboard Database"/>
      <sheetName val="Zierleiste FS o.chrom LL"/>
      <sheetName val="graph SOP"/>
      <sheetName val="AaK M"/>
      <sheetName val="Section 1-RFQ"/>
      <sheetName val="31.12.03"/>
      <sheetName val="LOV"/>
      <sheetName val="Instrument"/>
      <sheetName val="Epsilon"/>
      <sheetName val="IIT"/>
      <sheetName val="Sheet3"/>
      <sheetName val="Tables"/>
      <sheetName val="KURS"/>
      <sheetName val="plano contas"/>
      <sheetName val="Classic_PSA1"/>
      <sheetName val="Classic_Adapted1"/>
      <sheetName val="Time_data_per_station_&amp;_variant"/>
      <sheetName val="saxo"/>
      <sheetName val="New Varesop 0602"/>
      <sheetName val="New_Varesop_0602"/>
      <sheetName val="Classic_PSA2"/>
      <sheetName val="Classic_Adapted2"/>
      <sheetName val="New_Varesop_06021"/>
      <sheetName val="Classic_PSA3"/>
      <sheetName val="Classic_Adapted3"/>
      <sheetName val="New_Varesop_06022"/>
      <sheetName val="Classic_PSA4"/>
      <sheetName val="Classic_Adapted4"/>
      <sheetName val="New_Varesop_06023"/>
      <sheetName val="cdg"/>
      <sheetName val="2_3"/>
      <sheetName val="2_4"/>
      <sheetName val="2_5"/>
      <sheetName val="Classic_PSA5"/>
      <sheetName val="Classic_Adapted5"/>
      <sheetName val="Time_data_per_station_&amp;_varian1"/>
      <sheetName val="plano_contas"/>
      <sheetName val="New_Varesop_06024"/>
      <sheetName val="Supplier Table"/>
      <sheetName val="Time_data_per_station_&amp;_varian2"/>
      <sheetName val="Reference data"/>
      <sheetName val="Classic_PSA6"/>
      <sheetName val="Classic_Adapted6"/>
      <sheetName val="Time_data_per_station_&amp;_varian3"/>
      <sheetName val="New_Varesop_06025"/>
      <sheetName val="plano_contas1"/>
      <sheetName val="Premium Fr in"/>
      <sheetName val="Inventory"/>
      <sheetName val="Summary"/>
      <sheetName val="Rate_dec02"/>
      <sheetName val="PRESENTATION"/>
      <sheetName val="Asia analysis"/>
      <sheetName val="variable 1"/>
      <sheetName val="Vendors Industry key"/>
      <sheetName val="PRF"/>
      <sheetName val="Listes"/>
      <sheetName val="Param"/>
      <sheetName val="File_Check"/>
      <sheetName val="P&amp;L"/>
      <sheetName val="报价汇总表 "/>
      <sheetName val="Internal_Data"/>
      <sheetName val="Alter-Data Steps"/>
      <sheetName val="System"/>
      <sheetName val="Master"/>
      <sheetName val="Feuil2"/>
      <sheetName val="constante"/>
      <sheetName val="Page 14-A"/>
      <sheetName val="CONTROLE"/>
      <sheetName val="Nomenclature arborescente"/>
      <sheetName val="Daten"/>
      <sheetName val="Sheet1 (3)"/>
      <sheetName val="Sheet1"/>
      <sheetName val="Descente"/>
      <sheetName val="Divisions"/>
      <sheetName val="Eng. Headcount"/>
      <sheetName val="国产工装"/>
      <sheetName val="ﾗｲﾝ一覧"/>
      <sheetName val="ﾗｲﾝ別工程一覧"/>
      <sheetName val="クエリ10"/>
      <sheetName val=" 项目todolist"/>
      <sheetName val="REX(1)"/>
      <sheetName val="내수1.8GL"/>
      <sheetName val="Additional Recommendations"/>
      <sheetName val="___ Pilling upu_S y"/>
      <sheetName val="2. Definitions"/>
      <sheetName val="RD제품개발투자비(매가)"/>
      <sheetName val="사업장별"/>
      <sheetName val="광주(기본)"/>
      <sheetName val="광주정비"/>
      <sheetName val="광주(의지)"/>
      <sheetName val="구로(기본)"/>
      <sheetName val="구로정비"/>
      <sheetName val="구로(의지)"/>
      <sheetName val="대전(기본)"/>
      <sheetName val="대전정비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정비"/>
      <sheetName val="양산(의지)"/>
      <sheetName val="BNO"/>
      <sheetName val="Total Mkt"/>
      <sheetName val="Page 23"/>
      <sheetName val="Page 24"/>
      <sheetName val="Page 25"/>
      <sheetName val="Page 26"/>
      <sheetName val="Page 30"/>
      <sheetName val="Page 31"/>
      <sheetName val="Page 37"/>
      <sheetName val="Page 39"/>
      <sheetName val="配分案"/>
      <sheetName val="Temp"/>
      <sheetName val="Production Units OEM"/>
      <sheetName val="索赔（按车型）A4"/>
      <sheetName val="制造成本预算表A3"/>
      <sheetName val="销售收入A4"/>
      <sheetName val="销售费用预算表(A4)"/>
      <sheetName val="IOP"/>
      <sheetName val="1998 AFP Exchange Rates"/>
      <sheetName val="损益表（按单位)01"/>
      <sheetName val="PMS"/>
      <sheetName val="Einladungen"/>
      <sheetName val="_BEZUG"/>
      <sheetName val="Dash"/>
      <sheetName val="progress points"/>
      <sheetName val="Price List"/>
      <sheetName val="#REF!"/>
      <sheetName val="Classic_PSA7"/>
      <sheetName val="Classic_Adapted7"/>
      <sheetName val="Time_data_per_station_&amp;_varian4"/>
      <sheetName val="plano_contas2"/>
      <sheetName val="New_Varesop_06026"/>
      <sheetName val="Supplier_Table"/>
      <sheetName val="Reference_data"/>
      <sheetName val="Premium_Fr_in"/>
      <sheetName val="Dashboard_Database"/>
      <sheetName val="Suppliers"/>
      <sheetName val="OLM dwd"/>
      <sheetName val="mapping costs"/>
      <sheetName val="Base"/>
      <sheetName val="AST Global"/>
      <sheetName val="AST Europe"/>
      <sheetName val="AST Europe PC"/>
      <sheetName val="AST Operations"/>
      <sheetName val="ESE"/>
      <sheetName val="ESE-2155"/>
      <sheetName val="OLM"/>
      <sheetName val="MCK"/>
      <sheetName val="MOR"/>
      <sheetName val="MZC"/>
      <sheetName val="STQ"/>
      <sheetName val="AST.Adj"/>
      <sheetName val="LEG"/>
      <sheetName val="WAS"/>
      <sheetName val="AST Central"/>
      <sheetName val="CEN"/>
      <sheetName val="Adj2154"/>
      <sheetName val="AdjA001"/>
      <sheetName val="AST CBU"/>
      <sheetName val="MZN"/>
      <sheetName val="AST China"/>
      <sheetName val="Nanjing"/>
      <sheetName val="Hangzhou"/>
      <sheetName val="Chongqing"/>
      <sheetName val="CC Chongqing"/>
      <sheetName val="Chengdu"/>
      <sheetName val="Elim AST"/>
      <sheetName val="Elim Op"/>
      <sheetName val="Classic_PSA8"/>
      <sheetName val="Classic_Adapted8"/>
      <sheetName val="Time_data_per_station_&amp;_varian5"/>
      <sheetName val="New_Varesop_06027"/>
      <sheetName val="plano_contas3"/>
      <sheetName val="Supplier_Table1"/>
      <sheetName val="Reference_data1"/>
      <sheetName val="Premium_Fr_in1"/>
      <sheetName val="Dashboard_Database1"/>
      <sheetName val="Nomenclature_arborescente"/>
      <sheetName val="OLM_dwd"/>
      <sheetName val="mapping_costs"/>
      <sheetName val="Sheet2"/>
      <sheetName val="Sheet4"/>
      <sheetName val="1611_bis 31.12. "/>
      <sheetName val="ZQSB04 181.GB Mai-Aug 2019"/>
      <sheetName val="ZQSB04 16.12.19"/>
      <sheetName val="Nachbewertungen"/>
      <sheetName val="Import SBI aus SAP"/>
      <sheetName val="Datenkonzept"/>
      <sheetName val="Tabelle2"/>
      <sheetName val="Mono Preise SEP"/>
      <sheetName val="AUG_1494"/>
      <sheetName val="LEI_1611"/>
      <sheetName val="EV AR D"/>
      <sheetName val="wtg cost"/>
      <sheetName val="B2 Parity table"/>
      <sheetName val="M"/>
      <sheetName val="balanceana"/>
      <sheetName val="DMH"/>
      <sheetName val="Macro1"/>
      <sheetName val="Réel"/>
      <sheetName val="Classic_PSA9"/>
      <sheetName val="Classic_Adapted9"/>
      <sheetName val="Time_data_per_station_&amp;_varian6"/>
      <sheetName val="plano_contas4"/>
      <sheetName val="New_Varesop_06028"/>
      <sheetName val="Supplier_Table2"/>
      <sheetName val="Reference_data2"/>
      <sheetName val="Premium_Fr_in2"/>
      <sheetName val="Dashboard_Database2"/>
      <sheetName val="Nomenclature_arborescente1"/>
      <sheetName val="OLM_dwd1"/>
      <sheetName val="mapping_costs1"/>
      <sheetName val="AST_Global"/>
      <sheetName val="AST_Europe"/>
      <sheetName val="AST_Europe_PC"/>
      <sheetName val="AST_Operations"/>
      <sheetName val="AST_Adj"/>
      <sheetName val="AST_Central"/>
      <sheetName val="AST_CBU"/>
      <sheetName val="AST_China"/>
      <sheetName val="CC_Chongqing"/>
      <sheetName val="Elim_AST"/>
      <sheetName val="Elim_Op"/>
      <sheetName val="1611_bis_31_12__"/>
      <sheetName val="ZQSB04_181_GB_Mai-Aug_2019"/>
      <sheetName val="ZQSB04_16_12_19"/>
      <sheetName val="Import_SBI_aus_SAP"/>
      <sheetName val="Mono_Preise_SEP"/>
      <sheetName val="EV_AR_D"/>
      <sheetName val="wtg_cost"/>
      <sheetName val="B2_Parity_table"/>
      <sheetName val="A-100전제"/>
      <sheetName val="Input Sheet"/>
      <sheetName val="FA_Definitions"/>
      <sheetName val="graph_SOP"/>
      <sheetName val="Zierleiste_FS_o_chrom_LL"/>
      <sheetName val="AaK_M"/>
      <sheetName val="报价汇总表_"/>
      <sheetName val="Section_1-RFQ"/>
      <sheetName val="31_12_03"/>
      <sheetName val="Asia_analysis"/>
      <sheetName val="variable_1"/>
      <sheetName val="Vendors_Industry_key"/>
      <sheetName val="Alter-Data_Steps"/>
      <sheetName val="Sheet1_(3)"/>
      <sheetName val="KE30 relevant"/>
      <sheetName val="BRAKE"/>
      <sheetName val="Ideas Entered"/>
      <sheetName val="EurotoolsXRates"/>
      <sheetName val="Plant Strip MTD_LastYr"/>
    </sheetNames>
    <sheetDataSet>
      <sheetData sheetId="0" refreshError="1">
        <row r="4">
          <cell r="J4">
            <v>1</v>
          </cell>
          <cell r="K4" t="str">
            <v>January</v>
          </cell>
        </row>
        <row r="5">
          <cell r="J5">
            <v>2</v>
          </cell>
          <cell r="K5" t="str">
            <v>February</v>
          </cell>
        </row>
        <row r="6">
          <cell r="J6">
            <v>3</v>
          </cell>
          <cell r="K6" t="str">
            <v>March</v>
          </cell>
        </row>
        <row r="7">
          <cell r="J7">
            <v>4</v>
          </cell>
          <cell r="K7" t="str">
            <v>April</v>
          </cell>
        </row>
        <row r="8">
          <cell r="J8">
            <v>5</v>
          </cell>
          <cell r="K8" t="str">
            <v>May</v>
          </cell>
        </row>
        <row r="9">
          <cell r="J9">
            <v>6</v>
          </cell>
          <cell r="K9" t="str">
            <v>June</v>
          </cell>
        </row>
        <row r="10">
          <cell r="J10">
            <v>7</v>
          </cell>
          <cell r="K10" t="str">
            <v>July</v>
          </cell>
        </row>
        <row r="11">
          <cell r="J11">
            <v>8</v>
          </cell>
          <cell r="K11" t="str">
            <v>August</v>
          </cell>
        </row>
        <row r="12">
          <cell r="J12">
            <v>9</v>
          </cell>
          <cell r="K12" t="str">
            <v>September</v>
          </cell>
        </row>
        <row r="13">
          <cell r="J13">
            <v>10</v>
          </cell>
          <cell r="K13" t="str">
            <v>October</v>
          </cell>
        </row>
        <row r="14">
          <cell r="J14">
            <v>11</v>
          </cell>
          <cell r="K14" t="str">
            <v>November</v>
          </cell>
        </row>
        <row r="15">
          <cell r="J15">
            <v>12</v>
          </cell>
          <cell r="K15" t="str">
            <v>December</v>
          </cell>
        </row>
      </sheetData>
      <sheetData sheetId="1">
        <row r="4">
          <cell r="J4">
            <v>1</v>
          </cell>
        </row>
      </sheetData>
      <sheetData sheetId="2">
        <row r="4">
          <cell r="J4">
            <v>1</v>
          </cell>
        </row>
      </sheetData>
      <sheetData sheetId="3">
        <row r="4">
          <cell r="J4">
            <v>1</v>
          </cell>
        </row>
      </sheetData>
      <sheetData sheetId="4">
        <row r="4">
          <cell r="J4">
            <v>1</v>
          </cell>
        </row>
      </sheetData>
      <sheetData sheetId="5">
        <row r="4">
          <cell r="J4">
            <v>1</v>
          </cell>
        </row>
      </sheetData>
      <sheetData sheetId="6">
        <row r="4">
          <cell r="J4">
            <v>1</v>
          </cell>
        </row>
      </sheetData>
      <sheetData sheetId="7">
        <row r="4">
          <cell r="J4">
            <v>1</v>
          </cell>
        </row>
      </sheetData>
      <sheetData sheetId="8">
        <row r="4">
          <cell r="J4">
            <v>1</v>
          </cell>
        </row>
      </sheetData>
      <sheetData sheetId="9">
        <row r="4">
          <cell r="J4">
            <v>1</v>
          </cell>
        </row>
      </sheetData>
      <sheetData sheetId="10">
        <row r="4">
          <cell r="J4">
            <v>1</v>
          </cell>
        </row>
      </sheetData>
      <sheetData sheetId="11">
        <row r="4">
          <cell r="J4">
            <v>1</v>
          </cell>
        </row>
      </sheetData>
      <sheetData sheetId="12">
        <row r="4">
          <cell r="J4">
            <v>1</v>
          </cell>
        </row>
      </sheetData>
      <sheetData sheetId="13">
        <row r="4">
          <cell r="J4">
            <v>1</v>
          </cell>
        </row>
      </sheetData>
      <sheetData sheetId="14">
        <row r="4">
          <cell r="J4">
            <v>1</v>
          </cell>
        </row>
      </sheetData>
      <sheetData sheetId="15">
        <row r="4">
          <cell r="J4">
            <v>1</v>
          </cell>
        </row>
      </sheetData>
      <sheetData sheetId="16">
        <row r="4">
          <cell r="J4">
            <v>1</v>
          </cell>
        </row>
      </sheetData>
      <sheetData sheetId="17">
        <row r="4">
          <cell r="J4">
            <v>1</v>
          </cell>
        </row>
      </sheetData>
      <sheetData sheetId="18">
        <row r="4">
          <cell r="J4">
            <v>1</v>
          </cell>
        </row>
      </sheetData>
      <sheetData sheetId="19">
        <row r="4">
          <cell r="J4">
            <v>1</v>
          </cell>
        </row>
      </sheetData>
      <sheetData sheetId="20">
        <row r="4">
          <cell r="J4">
            <v>1</v>
          </cell>
        </row>
      </sheetData>
      <sheetData sheetId="21">
        <row r="4">
          <cell r="J4">
            <v>1</v>
          </cell>
        </row>
      </sheetData>
      <sheetData sheetId="22">
        <row r="4">
          <cell r="J4">
            <v>1</v>
          </cell>
        </row>
      </sheetData>
      <sheetData sheetId="23">
        <row r="4">
          <cell r="J4">
            <v>1</v>
          </cell>
        </row>
      </sheetData>
      <sheetData sheetId="24">
        <row r="4">
          <cell r="J4">
            <v>1</v>
          </cell>
        </row>
      </sheetData>
      <sheetData sheetId="25">
        <row r="4">
          <cell r="J4">
            <v>1</v>
          </cell>
        </row>
      </sheetData>
      <sheetData sheetId="26">
        <row r="4">
          <cell r="J4">
            <v>1</v>
          </cell>
        </row>
      </sheetData>
      <sheetData sheetId="27">
        <row r="4">
          <cell r="J4">
            <v>1</v>
          </cell>
        </row>
      </sheetData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 refreshError="1"/>
      <sheetData sheetId="76"/>
      <sheetData sheetId="77" refreshError="1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</sheetDataSet>
  </externalBook>
</externalLink>
</file>

<file path=xl/externalLinks/externalLink48.xml><?xml version="1.0" encoding="utf-8"?>
<externalLink xmlns:r="http://schemas.openxmlformats.org/officeDocument/2006/relationships" xmlns="http://schemas.openxmlformats.org/spreadsheetml/2006/main">
  <externalBook r:id="rId0">
    <sheetNames>
      <sheetName val="Params"/>
      <sheetName val="Céram A"/>
      <sheetName val="Base A"/>
      <sheetName val="Base B"/>
      <sheetName val="Base B2"/>
      <sheetName val="France"/>
      <sheetName val="BE"/>
      <sheetName val="ME"/>
      <sheetName val="CR"/>
      <sheetName val="ULI"/>
      <sheetName val="MAT-MOD"/>
      <sheetName val="VCM mensuel"/>
      <sheetName val="VCM"/>
      <sheetName val="DPV"/>
      <sheetName val="MAT-MOD BE"/>
      <sheetName val="MAT-MOD ME"/>
      <sheetName val="Tables"/>
      <sheetName val="PRF"/>
      <sheetName val="Bridge PMT-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2">
          <cell r="A2" t="str">
            <v>1118673216</v>
          </cell>
          <cell r="B2">
            <v>74.468249999999998</v>
          </cell>
          <cell r="E2" t="str">
            <v>1105921099</v>
          </cell>
          <cell r="F2">
            <v>0.49</v>
          </cell>
        </row>
        <row r="3">
          <cell r="A3" t="str">
            <v>1118673316</v>
          </cell>
          <cell r="B3">
            <v>73.06</v>
          </cell>
          <cell r="E3" t="str">
            <v>1106203299</v>
          </cell>
          <cell r="F3">
            <v>0.39987523393636931</v>
          </cell>
        </row>
        <row r="4">
          <cell r="A4" t="str">
            <v>1820762R00</v>
          </cell>
          <cell r="B4">
            <v>51.470549999999996</v>
          </cell>
          <cell r="E4" t="str">
            <v>1108114319</v>
          </cell>
          <cell r="F4">
            <v>10.310650887573965</v>
          </cell>
        </row>
        <row r="5">
          <cell r="A5" t="str">
            <v>1820870C00</v>
          </cell>
          <cell r="B5">
            <v>65.099999999999994</v>
          </cell>
          <cell r="E5" t="str">
            <v>1108260618</v>
          </cell>
          <cell r="F5">
            <v>2.4500000000000002</v>
          </cell>
        </row>
        <row r="6">
          <cell r="A6" t="str">
            <v>1820919R00</v>
          </cell>
          <cell r="B6">
            <v>51.470549999999996</v>
          </cell>
          <cell r="E6" t="str">
            <v>1108285119</v>
          </cell>
          <cell r="F6">
            <v>25.4</v>
          </cell>
        </row>
        <row r="7">
          <cell r="A7" t="str">
            <v>1821295C00</v>
          </cell>
          <cell r="B7">
            <v>67.16</v>
          </cell>
          <cell r="E7" t="str">
            <v>1108316119</v>
          </cell>
          <cell r="F7">
            <v>26.35</v>
          </cell>
        </row>
        <row r="8">
          <cell r="A8" t="str">
            <v>1821388C00</v>
          </cell>
          <cell r="B8">
            <v>75.741299999999995</v>
          </cell>
          <cell r="E8" t="str">
            <v>1108329918</v>
          </cell>
          <cell r="F8">
            <v>4.13</v>
          </cell>
        </row>
        <row r="9">
          <cell r="A9" t="str">
            <v>1821388T00</v>
          </cell>
          <cell r="B9">
            <v>70.233333333333334</v>
          </cell>
          <cell r="E9" t="str">
            <v>1108330018</v>
          </cell>
          <cell r="F9">
            <v>4.13</v>
          </cell>
        </row>
        <row r="10">
          <cell r="A10" t="str">
            <v>1821486R00</v>
          </cell>
          <cell r="B10">
            <v>51.470549999999996</v>
          </cell>
          <cell r="E10" t="str">
            <v>1108331119</v>
          </cell>
          <cell r="F10">
            <v>21.88</v>
          </cell>
        </row>
        <row r="11">
          <cell r="A11" t="str">
            <v>1821562R00</v>
          </cell>
          <cell r="B11">
            <v>48.820949999999996</v>
          </cell>
          <cell r="E11" t="str">
            <v>1108347418</v>
          </cell>
          <cell r="F11">
            <v>3.3519999999999999</v>
          </cell>
        </row>
        <row r="12">
          <cell r="A12" t="str">
            <v>1821573R00</v>
          </cell>
          <cell r="B12">
            <v>46.858333333333334</v>
          </cell>
          <cell r="E12" t="str">
            <v>1108347518</v>
          </cell>
          <cell r="F12">
            <v>3.3519999999999999</v>
          </cell>
        </row>
        <row r="13">
          <cell r="A13" t="str">
            <v>1821783R00</v>
          </cell>
          <cell r="B13">
            <v>51.470549999999996</v>
          </cell>
          <cell r="E13" t="str">
            <v>1108417018</v>
          </cell>
          <cell r="F13">
            <v>0</v>
          </cell>
        </row>
        <row r="14">
          <cell r="A14" t="str">
            <v>1821783T00</v>
          </cell>
          <cell r="B14">
            <v>45.6</v>
          </cell>
          <cell r="E14" t="str">
            <v>1108417099</v>
          </cell>
          <cell r="F14">
            <v>39.535714285714285</v>
          </cell>
        </row>
        <row r="15">
          <cell r="A15" t="str">
            <v>1821814R00</v>
          </cell>
          <cell r="B15">
            <v>70.400000000000006</v>
          </cell>
          <cell r="E15" t="str">
            <v>1108417118</v>
          </cell>
          <cell r="F15">
            <v>2.1040000000000001</v>
          </cell>
        </row>
        <row r="16">
          <cell r="A16" t="str">
            <v>1821821C00</v>
          </cell>
          <cell r="B16">
            <v>93.236000000000004</v>
          </cell>
          <cell r="E16" t="str">
            <v>1108494417</v>
          </cell>
          <cell r="F16">
            <v>25.583333333333332</v>
          </cell>
        </row>
        <row r="17">
          <cell r="A17" t="str">
            <v>1822126C00</v>
          </cell>
          <cell r="B17">
            <v>83.666666666666671</v>
          </cell>
          <cell r="E17" t="str">
            <v>1108496418</v>
          </cell>
          <cell r="F17">
            <v>0.44339622641509435</v>
          </cell>
        </row>
        <row r="18">
          <cell r="A18" t="str">
            <v>1822401C00</v>
          </cell>
          <cell r="B18">
            <v>101.96</v>
          </cell>
          <cell r="E18" t="str">
            <v>1108499017</v>
          </cell>
          <cell r="F18">
            <v>12.791666666666666</v>
          </cell>
        </row>
        <row r="19">
          <cell r="A19" t="str">
            <v>1822665C00</v>
          </cell>
          <cell r="B19">
            <v>58.922549999999994</v>
          </cell>
          <cell r="E19" t="str">
            <v>1108501618</v>
          </cell>
          <cell r="F19">
            <v>0.38</v>
          </cell>
        </row>
        <row r="20">
          <cell r="A20" t="str">
            <v>1822720R00</v>
          </cell>
          <cell r="B20">
            <v>98.883899999999997</v>
          </cell>
          <cell r="E20" t="str">
            <v>1108501718</v>
          </cell>
          <cell r="F20">
            <v>0.22</v>
          </cell>
        </row>
        <row r="21">
          <cell r="A21" t="str">
            <v>1822720T00</v>
          </cell>
          <cell r="B21">
            <v>98.883899999999997</v>
          </cell>
          <cell r="E21" t="str">
            <v>1108501818</v>
          </cell>
          <cell r="F21">
            <v>0.4140625</v>
          </cell>
        </row>
        <row r="22">
          <cell r="A22" t="str">
            <v>1822748R00</v>
          </cell>
          <cell r="B22">
            <v>98.883899999999997</v>
          </cell>
          <cell r="E22" t="str">
            <v>1108509719</v>
          </cell>
          <cell r="F22">
            <v>8.8933333333333326</v>
          </cell>
        </row>
        <row r="23">
          <cell r="A23" t="str">
            <v>1822850R00</v>
          </cell>
          <cell r="B23">
            <v>75.987499999999997</v>
          </cell>
          <cell r="E23" t="str">
            <v>1108529618</v>
          </cell>
          <cell r="F23">
            <v>0.15</v>
          </cell>
        </row>
        <row r="24">
          <cell r="A24" t="str">
            <v>1822850T00</v>
          </cell>
          <cell r="B24">
            <v>72.491399999999999</v>
          </cell>
          <cell r="E24" t="str">
            <v>1108529919</v>
          </cell>
          <cell r="F24">
            <v>9.6571428571428566</v>
          </cell>
        </row>
        <row r="25">
          <cell r="A25" t="str">
            <v>18228550NF</v>
          </cell>
          <cell r="B25">
            <v>6.92</v>
          </cell>
          <cell r="E25" t="str">
            <v>1108539518</v>
          </cell>
          <cell r="F25">
            <v>1.07</v>
          </cell>
        </row>
        <row r="26">
          <cell r="A26" t="str">
            <v>1822966R00</v>
          </cell>
          <cell r="B26">
            <v>78.174999999999997</v>
          </cell>
          <cell r="E26" t="str">
            <v>1108539818</v>
          </cell>
          <cell r="F26">
            <v>0.88</v>
          </cell>
        </row>
        <row r="27">
          <cell r="A27" t="str">
            <v>1822967R00</v>
          </cell>
          <cell r="B27">
            <v>86.787499999999994</v>
          </cell>
          <cell r="E27" t="str">
            <v>1108567519</v>
          </cell>
          <cell r="F27">
            <v>13.779411764705882</v>
          </cell>
        </row>
        <row r="28">
          <cell r="A28" t="str">
            <v>1823118T00</v>
          </cell>
          <cell r="B28">
            <v>34.979999999999997</v>
          </cell>
          <cell r="E28" t="str">
            <v>1108616218</v>
          </cell>
          <cell r="F28">
            <v>0.98124999999999996</v>
          </cell>
        </row>
        <row r="29">
          <cell r="A29" t="str">
            <v>1823409R00</v>
          </cell>
          <cell r="B29">
            <v>27.112903225806452</v>
          </cell>
          <cell r="E29" t="str">
            <v>1108616618</v>
          </cell>
          <cell r="F29">
            <v>0.38967136150234744</v>
          </cell>
        </row>
        <row r="30">
          <cell r="A30" t="str">
            <v>18238751J0</v>
          </cell>
          <cell r="B30">
            <v>98.495599999999996</v>
          </cell>
          <cell r="E30" t="str">
            <v>1108616918</v>
          </cell>
          <cell r="F30">
            <v>0.58536585365853655</v>
          </cell>
        </row>
        <row r="31">
          <cell r="A31" t="str">
            <v>1823917S00</v>
          </cell>
          <cell r="B31">
            <v>77.583333333333329</v>
          </cell>
          <cell r="E31" t="str">
            <v>1108617018</v>
          </cell>
          <cell r="F31">
            <v>0.39179104477611942</v>
          </cell>
        </row>
        <row r="32">
          <cell r="A32" t="str">
            <v>1824198S00</v>
          </cell>
          <cell r="B32">
            <v>77.466666666666669</v>
          </cell>
          <cell r="E32" t="str">
            <v>1108618817</v>
          </cell>
          <cell r="F32">
            <v>9.4642857142857135</v>
          </cell>
        </row>
        <row r="33">
          <cell r="A33" t="str">
            <v>1824955R00</v>
          </cell>
          <cell r="B33">
            <v>72.75595238095238</v>
          </cell>
          <cell r="E33" t="str">
            <v>1108618819</v>
          </cell>
          <cell r="F33">
            <v>9.4642857142857135</v>
          </cell>
        </row>
        <row r="34">
          <cell r="A34" t="str">
            <v>1827076100</v>
          </cell>
          <cell r="B34">
            <v>40.407150000000001</v>
          </cell>
          <cell r="E34" t="str">
            <v>1108619219</v>
          </cell>
          <cell r="F34">
            <v>8.492857142857142</v>
          </cell>
        </row>
        <row r="35">
          <cell r="A35" t="str">
            <v>1827076R00</v>
          </cell>
          <cell r="B35">
            <v>40.407150000000001</v>
          </cell>
          <cell r="E35" t="str">
            <v>1108635015</v>
          </cell>
          <cell r="F35">
            <v>10.138888888888889</v>
          </cell>
        </row>
        <row r="36">
          <cell r="A36" t="str">
            <v>1827274R00</v>
          </cell>
          <cell r="B36">
            <v>89.993249999999989</v>
          </cell>
          <cell r="E36" t="str">
            <v>1108635019</v>
          </cell>
          <cell r="F36">
            <v>10.866666666666667</v>
          </cell>
        </row>
        <row r="37">
          <cell r="A37" t="str">
            <v>1827567R00</v>
          </cell>
          <cell r="B37">
            <v>28.917899999999999</v>
          </cell>
          <cell r="E37" t="str">
            <v>1108638718</v>
          </cell>
          <cell r="F37">
            <v>0.13</v>
          </cell>
        </row>
        <row r="38">
          <cell r="A38" t="str">
            <v>1827586R00</v>
          </cell>
          <cell r="B38">
            <v>38.774999999999999</v>
          </cell>
          <cell r="E38" t="str">
            <v>1108638818</v>
          </cell>
          <cell r="F38">
            <v>0.21</v>
          </cell>
        </row>
        <row r="39">
          <cell r="A39" t="str">
            <v>1827707R00</v>
          </cell>
          <cell r="B39">
            <v>28.917899999999999</v>
          </cell>
          <cell r="E39" t="str">
            <v>1108638918</v>
          </cell>
          <cell r="F39">
            <v>0.21</v>
          </cell>
        </row>
        <row r="40">
          <cell r="A40" t="str">
            <v>1827791R00</v>
          </cell>
          <cell r="B40">
            <v>35.016666666666666</v>
          </cell>
          <cell r="E40" t="str">
            <v>1108672978</v>
          </cell>
          <cell r="F40">
            <v>125.7012987012987</v>
          </cell>
        </row>
        <row r="41">
          <cell r="A41" t="str">
            <v>1827806R00</v>
          </cell>
          <cell r="B41">
            <v>28.917899999999999</v>
          </cell>
          <cell r="E41" t="str">
            <v>1108673178</v>
          </cell>
          <cell r="F41">
            <v>124.60833333333333</v>
          </cell>
        </row>
        <row r="42">
          <cell r="A42" t="str">
            <v>1827943R00</v>
          </cell>
          <cell r="B42">
            <v>24.991379310344829</v>
          </cell>
          <cell r="E42" t="str">
            <v>1108688818</v>
          </cell>
          <cell r="F42">
            <v>1.5079365079365079</v>
          </cell>
        </row>
        <row r="43">
          <cell r="A43" t="str">
            <v>1828657170</v>
          </cell>
          <cell r="B43">
            <v>56.173072499999996</v>
          </cell>
          <cell r="E43" t="str">
            <v>1108693219</v>
          </cell>
          <cell r="F43">
            <v>19.266666666666666</v>
          </cell>
        </row>
        <row r="44">
          <cell r="A44" t="str">
            <v>1828657C70</v>
          </cell>
          <cell r="B44">
            <v>56.173072499999996</v>
          </cell>
          <cell r="E44" t="str">
            <v>1108705717</v>
          </cell>
          <cell r="F44">
            <v>13.512820512820513</v>
          </cell>
        </row>
        <row r="45">
          <cell r="A45" t="str">
            <v>1828657C70</v>
          </cell>
          <cell r="B45">
            <v>56.173072499999996</v>
          </cell>
          <cell r="E45" t="str">
            <v>1108707517</v>
          </cell>
          <cell r="F45">
            <v>27.36</v>
          </cell>
        </row>
        <row r="46">
          <cell r="A46" t="str">
            <v>1828819R00</v>
          </cell>
          <cell r="B46">
            <v>95.111111111111114</v>
          </cell>
          <cell r="E46" t="str">
            <v>1108718718</v>
          </cell>
          <cell r="F46">
            <v>0.76</v>
          </cell>
        </row>
        <row r="47">
          <cell r="A47" t="str">
            <v>1828968100</v>
          </cell>
          <cell r="B47">
            <v>115.58879999999999</v>
          </cell>
          <cell r="E47" t="str">
            <v>1108718818</v>
          </cell>
          <cell r="F47">
            <v>0.64</v>
          </cell>
        </row>
        <row r="48">
          <cell r="A48" t="str">
            <v>1829085100</v>
          </cell>
          <cell r="B48">
            <v>36.131849999999993</v>
          </cell>
          <cell r="E48" t="str">
            <v>1108721919</v>
          </cell>
          <cell r="F48">
            <v>26.95</v>
          </cell>
        </row>
        <row r="49">
          <cell r="A49" t="str">
            <v>1829173C00</v>
          </cell>
          <cell r="B49">
            <v>57.804749999999999</v>
          </cell>
          <cell r="E49" t="str">
            <v>1108753419</v>
          </cell>
          <cell r="F49">
            <v>4.4700665188470063</v>
          </cell>
        </row>
        <row r="50">
          <cell r="A50" t="str">
            <v>1829177T00</v>
          </cell>
          <cell r="B50">
            <v>45.55</v>
          </cell>
          <cell r="E50" t="str">
            <v>1108753619</v>
          </cell>
          <cell r="F50">
            <v>12.201342281879194</v>
          </cell>
        </row>
        <row r="51">
          <cell r="A51" t="str">
            <v>1829217R00</v>
          </cell>
          <cell r="B51">
            <v>124.81454999999998</v>
          </cell>
          <cell r="E51" t="str">
            <v>1108762119</v>
          </cell>
          <cell r="F51">
            <v>10.06</v>
          </cell>
        </row>
        <row r="52">
          <cell r="A52" t="str">
            <v>1829326100</v>
          </cell>
          <cell r="B52">
            <v>66.798900000000003</v>
          </cell>
          <cell r="E52" t="str">
            <v>1108762719</v>
          </cell>
          <cell r="F52">
            <v>18.485714285714284</v>
          </cell>
        </row>
        <row r="53">
          <cell r="A53" t="str">
            <v>1829369R00</v>
          </cell>
          <cell r="B53">
            <v>168.35416666666666</v>
          </cell>
          <cell r="E53" t="str">
            <v>1108764619</v>
          </cell>
          <cell r="F53">
            <v>86.5</v>
          </cell>
        </row>
        <row r="54">
          <cell r="A54" t="str">
            <v>1829680R00</v>
          </cell>
          <cell r="B54">
            <v>111.51089999999999</v>
          </cell>
          <cell r="E54" t="str">
            <v>1108765319</v>
          </cell>
          <cell r="F54">
            <v>12.956521739130435</v>
          </cell>
        </row>
        <row r="55">
          <cell r="A55" t="str">
            <v>1829912100</v>
          </cell>
          <cell r="B55">
            <v>83.189399999999992</v>
          </cell>
          <cell r="E55" t="str">
            <v>1108771518</v>
          </cell>
          <cell r="F55">
            <v>0.66153846153846152</v>
          </cell>
        </row>
        <row r="56">
          <cell r="A56" t="str">
            <v>1829988100</v>
          </cell>
          <cell r="B56">
            <v>209.52539999999999</v>
          </cell>
          <cell r="E56" t="str">
            <v>1108772218</v>
          </cell>
          <cell r="F56">
            <v>1.1000000000000001</v>
          </cell>
        </row>
        <row r="57">
          <cell r="A57" t="str">
            <v>18G0035R00</v>
          </cell>
          <cell r="B57">
            <v>135.46666666666667</v>
          </cell>
          <cell r="E57" t="str">
            <v>1108776118</v>
          </cell>
          <cell r="F57">
            <v>0.31</v>
          </cell>
        </row>
        <row r="58">
          <cell r="A58" t="str">
            <v>18G0494100</v>
          </cell>
          <cell r="B58">
            <v>40.892849999999996</v>
          </cell>
          <cell r="E58" t="str">
            <v>1108776218</v>
          </cell>
          <cell r="F58">
            <v>0.83921568627450982</v>
          </cell>
        </row>
        <row r="59">
          <cell r="A59" t="str">
            <v>18G0494C00</v>
          </cell>
          <cell r="B59">
            <v>40.892849999999996</v>
          </cell>
          <cell r="E59" t="str">
            <v>1108776318</v>
          </cell>
          <cell r="F59">
            <v>0.5903225806451613</v>
          </cell>
        </row>
        <row r="60">
          <cell r="A60" t="str">
            <v>18G0496100</v>
          </cell>
          <cell r="B60">
            <v>65.339549999999988</v>
          </cell>
          <cell r="E60" t="str">
            <v>1108776418</v>
          </cell>
          <cell r="F60">
            <v>2.5393258426966292</v>
          </cell>
        </row>
        <row r="61">
          <cell r="A61" t="str">
            <v>18G0498R00</v>
          </cell>
          <cell r="B61">
            <v>53.020833333333336</v>
          </cell>
          <cell r="E61" t="str">
            <v>1108776518</v>
          </cell>
          <cell r="F61">
            <v>1.2606060606060605</v>
          </cell>
        </row>
        <row r="62">
          <cell r="A62" t="str">
            <v>18G0513170</v>
          </cell>
          <cell r="B62">
            <v>51.308249999999994</v>
          </cell>
          <cell r="E62" t="str">
            <v>1108776618</v>
          </cell>
          <cell r="F62">
            <v>0.188</v>
          </cell>
        </row>
        <row r="63">
          <cell r="A63" t="str">
            <v>18G0538170</v>
          </cell>
          <cell r="B63">
            <v>51.308250000000001</v>
          </cell>
          <cell r="E63" t="str">
            <v>1108776818</v>
          </cell>
          <cell r="F63">
            <v>0.2</v>
          </cell>
        </row>
        <row r="64">
          <cell r="A64" t="str">
            <v>18G0543170</v>
          </cell>
          <cell r="B64">
            <v>68.126800000000003</v>
          </cell>
          <cell r="E64" t="str">
            <v>1108783419</v>
          </cell>
          <cell r="F64">
            <v>14.15</v>
          </cell>
        </row>
        <row r="65">
          <cell r="A65" t="str">
            <v>18G0630100</v>
          </cell>
          <cell r="B65">
            <v>73.810799999999986</v>
          </cell>
          <cell r="E65" t="str">
            <v>1108801818</v>
          </cell>
          <cell r="F65">
            <v>1.5673076923076923</v>
          </cell>
        </row>
        <row r="66">
          <cell r="A66" t="str">
            <v>18G0630R00</v>
          </cell>
          <cell r="B66">
            <v>30.084599999999998</v>
          </cell>
          <cell r="E66" t="str">
            <v>1108802018</v>
          </cell>
          <cell r="F66">
            <v>0.73076923076923073</v>
          </cell>
        </row>
        <row r="67">
          <cell r="A67" t="str">
            <v>18G0679100</v>
          </cell>
          <cell r="B67">
            <v>36.131849999999993</v>
          </cell>
          <cell r="E67" t="str">
            <v>1108802118</v>
          </cell>
          <cell r="F67">
            <v>0.57692307692307687</v>
          </cell>
        </row>
        <row r="68">
          <cell r="A68" t="str">
            <v>18G0679R00</v>
          </cell>
          <cell r="B68">
            <v>36.131849999999993</v>
          </cell>
          <cell r="E68" t="str">
            <v>1108802218</v>
          </cell>
          <cell r="F68">
            <v>0.57943925233644855</v>
          </cell>
        </row>
        <row r="69">
          <cell r="A69" t="str">
            <v>18G0679T00</v>
          </cell>
          <cell r="B69">
            <v>36.131849999999993</v>
          </cell>
          <cell r="E69" t="str">
            <v>1108805619</v>
          </cell>
          <cell r="F69">
            <v>9.6011080332409975</v>
          </cell>
        </row>
        <row r="70">
          <cell r="A70" t="str">
            <v>18G0945T00</v>
          </cell>
          <cell r="B70">
            <v>31.633333333333333</v>
          </cell>
          <cell r="E70" t="str">
            <v>1108820917</v>
          </cell>
          <cell r="F70">
            <v>15.606741573033707</v>
          </cell>
        </row>
        <row r="71">
          <cell r="A71" t="str">
            <v>18G0950R00</v>
          </cell>
          <cell r="B71">
            <v>28.917899999999999</v>
          </cell>
          <cell r="E71" t="str">
            <v>1108823718</v>
          </cell>
          <cell r="F71">
            <v>0.27</v>
          </cell>
        </row>
        <row r="72">
          <cell r="A72" t="str">
            <v>18G1102R00</v>
          </cell>
          <cell r="B72">
            <v>112.92884999999998</v>
          </cell>
          <cell r="E72" t="str">
            <v>1108823818</v>
          </cell>
          <cell r="F72">
            <v>1.37</v>
          </cell>
        </row>
        <row r="73">
          <cell r="A73" t="str">
            <v>18G1164R00</v>
          </cell>
          <cell r="B73">
            <v>35.469450000000002</v>
          </cell>
          <cell r="E73" t="str">
            <v>1108827419</v>
          </cell>
          <cell r="F73">
            <v>11.269021739130435</v>
          </cell>
        </row>
        <row r="74">
          <cell r="A74" t="str">
            <v>18G1165R00</v>
          </cell>
          <cell r="B74">
            <v>35.469450000000002</v>
          </cell>
          <cell r="E74" t="str">
            <v>1108828519</v>
          </cell>
          <cell r="F74">
            <v>16.850000000000001</v>
          </cell>
        </row>
        <row r="75">
          <cell r="A75" t="str">
            <v>18G1165T00</v>
          </cell>
          <cell r="B75">
            <v>35.469450000000002</v>
          </cell>
          <cell r="E75" t="str">
            <v>1108829918</v>
          </cell>
          <cell r="F75">
            <v>0.13333333333333333</v>
          </cell>
        </row>
        <row r="76">
          <cell r="A76" t="str">
            <v>18G1167R00</v>
          </cell>
          <cell r="B76">
            <v>42.041666666666664</v>
          </cell>
          <cell r="E76" t="str">
            <v>1108830018</v>
          </cell>
          <cell r="F76">
            <v>0.30303030303030304</v>
          </cell>
        </row>
        <row r="77">
          <cell r="A77" t="str">
            <v>18G1167T00</v>
          </cell>
          <cell r="B77">
            <v>42.041666666666664</v>
          </cell>
          <cell r="E77" t="str">
            <v>1108835319</v>
          </cell>
          <cell r="F77">
            <v>14.690821256038648</v>
          </cell>
        </row>
        <row r="78">
          <cell r="A78" t="str">
            <v>18G1168R00</v>
          </cell>
          <cell r="B78">
            <v>40.665149999999997</v>
          </cell>
          <cell r="E78" t="str">
            <v>1108835519</v>
          </cell>
          <cell r="F78">
            <v>14.741379310344827</v>
          </cell>
        </row>
        <row r="79">
          <cell r="A79" t="str">
            <v>18G1169R00</v>
          </cell>
          <cell r="B79">
            <v>40.665149999999997</v>
          </cell>
          <cell r="E79" t="str">
            <v>1108836719</v>
          </cell>
          <cell r="F79">
            <v>2.4594095940959408</v>
          </cell>
        </row>
        <row r="80">
          <cell r="A80" t="str">
            <v>18G1312R70</v>
          </cell>
          <cell r="B80">
            <v>85.193955000000017</v>
          </cell>
          <cell r="E80" t="str">
            <v>1108838518</v>
          </cell>
          <cell r="F80">
            <v>1.1290322580645162</v>
          </cell>
        </row>
        <row r="81">
          <cell r="A81" t="str">
            <v>18G1372R70</v>
          </cell>
          <cell r="B81">
            <v>74.785714285714292</v>
          </cell>
          <cell r="E81" t="str">
            <v>1108839719</v>
          </cell>
          <cell r="F81">
            <v>12.75</v>
          </cell>
        </row>
        <row r="82">
          <cell r="A82" t="str">
            <v>18G1596170</v>
          </cell>
          <cell r="B82">
            <v>79.598744999999994</v>
          </cell>
          <cell r="E82" t="str">
            <v>1108841119</v>
          </cell>
          <cell r="F82">
            <v>4.9916666666666663</v>
          </cell>
        </row>
        <row r="83">
          <cell r="A83" t="str">
            <v>18G1596R70</v>
          </cell>
          <cell r="B83">
            <v>59.5</v>
          </cell>
          <cell r="E83" t="str">
            <v>1108843519</v>
          </cell>
          <cell r="F83">
            <v>22.392857142857142</v>
          </cell>
        </row>
        <row r="84">
          <cell r="A84" t="str">
            <v>18G1680100</v>
          </cell>
          <cell r="B84">
            <v>46.026449999999997</v>
          </cell>
          <cell r="E84" t="str">
            <v>1108847019</v>
          </cell>
          <cell r="F84">
            <v>24.21311475409836</v>
          </cell>
        </row>
        <row r="85">
          <cell r="A85" t="str">
            <v>18G1690100</v>
          </cell>
          <cell r="B85">
            <v>46.026449999999997</v>
          </cell>
          <cell r="E85" t="str">
            <v>1108848718</v>
          </cell>
          <cell r="F85">
            <v>1.0590026646364674</v>
          </cell>
        </row>
        <row r="86">
          <cell r="A86" t="str">
            <v>18G1700100</v>
          </cell>
          <cell r="B86">
            <v>65.339549999999988</v>
          </cell>
          <cell r="E86" t="str">
            <v>1108855416</v>
          </cell>
          <cell r="F86">
            <v>2.8083333333333331</v>
          </cell>
        </row>
        <row r="87">
          <cell r="A87" t="str">
            <v>18G1710100</v>
          </cell>
          <cell r="B87">
            <v>65.339549999999988</v>
          </cell>
          <cell r="E87" t="str">
            <v>1108855417</v>
          </cell>
          <cell r="F87">
            <v>5.5906250000000002</v>
          </cell>
        </row>
        <row r="88">
          <cell r="A88" t="str">
            <v>18G1720100</v>
          </cell>
          <cell r="B88">
            <v>65.339549999999988</v>
          </cell>
          <cell r="E88" t="str">
            <v>1108869119</v>
          </cell>
          <cell r="F88">
            <v>8.257142857142858</v>
          </cell>
        </row>
        <row r="89">
          <cell r="A89" t="str">
            <v>18G1730100</v>
          </cell>
          <cell r="B89">
            <v>82.333333333333329</v>
          </cell>
          <cell r="E89" t="str">
            <v>1108870919</v>
          </cell>
          <cell r="F89">
            <v>10.92</v>
          </cell>
        </row>
        <row r="90">
          <cell r="A90" t="str">
            <v>18G1780100</v>
          </cell>
          <cell r="B90">
            <v>193.68989999999997</v>
          </cell>
          <cell r="E90" t="str">
            <v>1108872618</v>
          </cell>
          <cell r="F90">
            <v>0.68</v>
          </cell>
        </row>
        <row r="91">
          <cell r="A91" t="str">
            <v>18G1857R00</v>
          </cell>
          <cell r="B91">
            <v>108.9027</v>
          </cell>
          <cell r="E91" t="str">
            <v>1108872718</v>
          </cell>
          <cell r="F91">
            <v>1.0490566037735849</v>
          </cell>
        </row>
        <row r="92">
          <cell r="A92" t="str">
            <v>18G19151TF</v>
          </cell>
          <cell r="B92">
            <v>30.084599999999998</v>
          </cell>
          <cell r="E92" t="str">
            <v>1108873698</v>
          </cell>
          <cell r="F92">
            <v>1.788</v>
          </cell>
        </row>
        <row r="93">
          <cell r="A93" t="str">
            <v>18G1935100</v>
          </cell>
          <cell r="B93">
            <v>100.60714285714286</v>
          </cell>
          <cell r="E93" t="str">
            <v>1108878417</v>
          </cell>
          <cell r="F93">
            <v>24.733333333333334</v>
          </cell>
        </row>
        <row r="94">
          <cell r="A94" t="str">
            <v>18G1937100</v>
          </cell>
          <cell r="B94">
            <v>223.17704999999998</v>
          </cell>
          <cell r="E94" t="str">
            <v>1108883519</v>
          </cell>
          <cell r="F94">
            <v>5.0514018691588785</v>
          </cell>
        </row>
        <row r="95">
          <cell r="A95" t="str">
            <v>18G1938R00</v>
          </cell>
          <cell r="B95">
            <v>139.92361111111111</v>
          </cell>
          <cell r="E95" t="str">
            <v>1108889719</v>
          </cell>
          <cell r="F95">
            <v>13.580645161290322</v>
          </cell>
        </row>
        <row r="96">
          <cell r="A96" t="str">
            <v>18G1939100</v>
          </cell>
          <cell r="B96">
            <v>14.179499999999999</v>
          </cell>
          <cell r="E96" t="str">
            <v>1108895017</v>
          </cell>
          <cell r="F96">
            <v>4.6785714285714288</v>
          </cell>
        </row>
        <row r="97">
          <cell r="A97" t="str">
            <v>18G1962100</v>
          </cell>
          <cell r="B97">
            <v>51.470549999999996</v>
          </cell>
          <cell r="E97" t="str">
            <v>1108895019</v>
          </cell>
          <cell r="F97">
            <v>4.6785714285714288</v>
          </cell>
        </row>
        <row r="98">
          <cell r="A98" t="str">
            <v>18G1962T70</v>
          </cell>
          <cell r="B98">
            <v>80.667899999999989</v>
          </cell>
          <cell r="E98" t="str">
            <v>1118000919</v>
          </cell>
          <cell r="F98">
            <v>17.017543859649123</v>
          </cell>
        </row>
        <row r="99">
          <cell r="A99" t="str">
            <v>18G2142100</v>
          </cell>
          <cell r="B99">
            <v>5.4751499999999993</v>
          </cell>
          <cell r="E99" t="str">
            <v>1118005118</v>
          </cell>
          <cell r="F99">
            <v>0.33</v>
          </cell>
        </row>
        <row r="100">
          <cell r="A100" t="str">
            <v>18G2452100</v>
          </cell>
          <cell r="B100">
            <v>46.02644999999999</v>
          </cell>
          <cell r="E100" t="str">
            <v>1118005318</v>
          </cell>
          <cell r="F100">
            <v>0.48846153846153845</v>
          </cell>
        </row>
        <row r="101">
          <cell r="A101" t="str">
            <v>18G2452100</v>
          </cell>
          <cell r="B101">
            <v>46.026449999999997</v>
          </cell>
          <cell r="E101" t="str">
            <v>1118006518</v>
          </cell>
          <cell r="F101">
            <v>0.24</v>
          </cell>
        </row>
        <row r="102">
          <cell r="A102" t="str">
            <v>18G2452R00</v>
          </cell>
          <cell r="B102">
            <v>40.283333333333331</v>
          </cell>
          <cell r="E102" t="str">
            <v>1118006618</v>
          </cell>
          <cell r="F102">
            <v>0.28225806451612906</v>
          </cell>
        </row>
        <row r="103">
          <cell r="A103" t="str">
            <v>18G2454100</v>
          </cell>
          <cell r="B103">
            <v>46.026449999999997</v>
          </cell>
          <cell r="E103" t="str">
            <v>1118009319</v>
          </cell>
          <cell r="F103">
            <v>2.8995726495726495</v>
          </cell>
        </row>
        <row r="104">
          <cell r="A104" t="str">
            <v>18G2525100</v>
          </cell>
          <cell r="B104">
            <v>106.175</v>
          </cell>
          <cell r="E104" t="str">
            <v>1118009619</v>
          </cell>
          <cell r="F104">
            <v>11.266666666666667</v>
          </cell>
        </row>
        <row r="105">
          <cell r="A105" t="str">
            <v>18G2562100</v>
          </cell>
          <cell r="B105">
            <v>108.9027</v>
          </cell>
          <cell r="E105" t="str">
            <v>1118017319</v>
          </cell>
          <cell r="F105">
            <v>16.436363636363637</v>
          </cell>
        </row>
        <row r="106">
          <cell r="A106" t="str">
            <v>18G2563100</v>
          </cell>
          <cell r="B106">
            <v>108.9027</v>
          </cell>
          <cell r="E106" t="str">
            <v>1118018019</v>
          </cell>
          <cell r="F106">
            <v>20.154471544715449</v>
          </cell>
        </row>
        <row r="107">
          <cell r="A107" t="str">
            <v>18G28351J0</v>
          </cell>
          <cell r="B107">
            <v>106.93025</v>
          </cell>
          <cell r="E107" t="str">
            <v>1118019318</v>
          </cell>
          <cell r="F107">
            <v>0.21</v>
          </cell>
        </row>
        <row r="108">
          <cell r="A108" t="str">
            <v>18G2895100</v>
          </cell>
          <cell r="B108">
            <v>77.089249999999993</v>
          </cell>
          <cell r="E108" t="str">
            <v>1118020218</v>
          </cell>
          <cell r="F108">
            <v>0.35</v>
          </cell>
        </row>
        <row r="109">
          <cell r="A109" t="str">
            <v>18G2897100</v>
          </cell>
          <cell r="B109">
            <v>77.089249999999993</v>
          </cell>
          <cell r="E109" t="str">
            <v>1118026619</v>
          </cell>
          <cell r="F109">
            <v>13.833333333333334</v>
          </cell>
        </row>
        <row r="110">
          <cell r="A110" t="str">
            <v>18G2897100</v>
          </cell>
          <cell r="B110">
            <v>77.089249999999993</v>
          </cell>
          <cell r="E110" t="str">
            <v>1118031719</v>
          </cell>
          <cell r="F110">
            <v>15.17102615694165</v>
          </cell>
        </row>
        <row r="111">
          <cell r="A111" t="str">
            <v>18G29100PF</v>
          </cell>
          <cell r="B111">
            <v>66.343499999999992</v>
          </cell>
          <cell r="E111" t="str">
            <v>1118032319</v>
          </cell>
          <cell r="F111">
            <v>14.7</v>
          </cell>
        </row>
        <row r="112">
          <cell r="A112" t="str">
            <v>18G2934100</v>
          </cell>
          <cell r="B112">
            <v>47.961899999999993</v>
          </cell>
          <cell r="E112" t="str">
            <v>1118033319</v>
          </cell>
          <cell r="F112">
            <v>16.919811320754718</v>
          </cell>
        </row>
        <row r="113">
          <cell r="A113" t="str">
            <v>18G2934170</v>
          </cell>
          <cell r="B113">
            <v>65.339549999999988</v>
          </cell>
          <cell r="E113" t="str">
            <v>1118035918</v>
          </cell>
          <cell r="F113">
            <v>1.86</v>
          </cell>
        </row>
        <row r="114">
          <cell r="A114" t="str">
            <v>18G2935170</v>
          </cell>
          <cell r="B114">
            <v>72.529177499999989</v>
          </cell>
          <cell r="E114" t="str">
            <v>1118038119</v>
          </cell>
          <cell r="F114">
            <v>17.545454545454547</v>
          </cell>
        </row>
        <row r="115">
          <cell r="A115" t="str">
            <v>18G2935R70</v>
          </cell>
          <cell r="B115">
            <v>72.529177499999989</v>
          </cell>
          <cell r="E115" t="str">
            <v>1118042017</v>
          </cell>
          <cell r="F115">
            <v>26.824999999999999</v>
          </cell>
        </row>
        <row r="116">
          <cell r="A116" t="str">
            <v>18G2939R00</v>
          </cell>
          <cell r="B116">
            <v>144</v>
          </cell>
          <cell r="E116" t="str">
            <v>1118045019</v>
          </cell>
          <cell r="F116">
            <v>17.928934010152282</v>
          </cell>
        </row>
        <row r="117">
          <cell r="A117" t="str">
            <v>18G2942100</v>
          </cell>
          <cell r="B117">
            <v>52.395833333333336</v>
          </cell>
          <cell r="E117" t="str">
            <v>1118047418</v>
          </cell>
          <cell r="F117">
            <v>0.3</v>
          </cell>
        </row>
        <row r="118">
          <cell r="A118" t="str">
            <v>18G2945100</v>
          </cell>
          <cell r="B118">
            <v>65.339549999999988</v>
          </cell>
          <cell r="E118" t="str">
            <v>1118047519</v>
          </cell>
          <cell r="F118">
            <v>32.666666666666664</v>
          </cell>
        </row>
        <row r="119">
          <cell r="A119" t="str">
            <v>18G2945R00</v>
          </cell>
          <cell r="B119">
            <v>56.765625</v>
          </cell>
          <cell r="E119" t="str">
            <v>1118049919</v>
          </cell>
          <cell r="F119">
            <v>21.4</v>
          </cell>
        </row>
        <row r="120">
          <cell r="A120" t="str">
            <v>18G2955100</v>
          </cell>
          <cell r="B120">
            <v>65.339549999999988</v>
          </cell>
          <cell r="E120" t="str">
            <v>1118059119</v>
          </cell>
          <cell r="F120">
            <v>17.64</v>
          </cell>
        </row>
        <row r="121">
          <cell r="A121" t="str">
            <v>18G2955100</v>
          </cell>
          <cell r="B121">
            <v>65.339549999999988</v>
          </cell>
          <cell r="E121" t="str">
            <v>1118059717</v>
          </cell>
          <cell r="F121">
            <v>34.230769230769234</v>
          </cell>
        </row>
        <row r="122">
          <cell r="A122" t="str">
            <v>18G2955100</v>
          </cell>
          <cell r="B122">
            <v>65.339549999999988</v>
          </cell>
          <cell r="E122" t="str">
            <v>1118062719</v>
          </cell>
          <cell r="F122">
            <v>16.659574468085108</v>
          </cell>
        </row>
        <row r="123">
          <cell r="A123" t="str">
            <v>18G2956100</v>
          </cell>
          <cell r="B123">
            <v>65.339550000000003</v>
          </cell>
          <cell r="E123" t="str">
            <v>1118063119</v>
          </cell>
          <cell r="F123">
            <v>19.23076923076923</v>
          </cell>
        </row>
        <row r="124">
          <cell r="A124" t="str">
            <v>18G2956100</v>
          </cell>
          <cell r="B124">
            <v>65.339549999999988</v>
          </cell>
          <cell r="E124" t="str">
            <v>1118066519</v>
          </cell>
          <cell r="F124">
            <v>44.696428571428569</v>
          </cell>
        </row>
        <row r="125">
          <cell r="A125" t="str">
            <v>18G2956100</v>
          </cell>
          <cell r="B125">
            <v>65.339549999999988</v>
          </cell>
          <cell r="E125" t="str">
            <v>1118069818</v>
          </cell>
          <cell r="F125">
            <v>0.94019138755980858</v>
          </cell>
        </row>
        <row r="126">
          <cell r="A126" t="str">
            <v>18G2960100</v>
          </cell>
          <cell r="B126">
            <v>189.53095000000002</v>
          </cell>
          <cell r="E126" t="str">
            <v>1118071518</v>
          </cell>
          <cell r="F126">
            <v>0.03</v>
          </cell>
        </row>
        <row r="127">
          <cell r="A127" t="str">
            <v>18G2982100</v>
          </cell>
          <cell r="B127">
            <v>65.339549999999988</v>
          </cell>
          <cell r="E127" t="str">
            <v>1118072018</v>
          </cell>
          <cell r="F127">
            <v>0.56000000000000005</v>
          </cell>
        </row>
        <row r="128">
          <cell r="A128" t="str">
            <v>18G2982100</v>
          </cell>
          <cell r="B128">
            <v>65.339549999999988</v>
          </cell>
          <cell r="E128" t="str">
            <v>1118072218</v>
          </cell>
          <cell r="F128">
            <v>0.27</v>
          </cell>
        </row>
        <row r="129">
          <cell r="A129" t="str">
            <v>18G2982R00</v>
          </cell>
          <cell r="B129">
            <v>55.357142857142854</v>
          </cell>
          <cell r="E129" t="str">
            <v>1118072618</v>
          </cell>
          <cell r="F129">
            <v>0.81</v>
          </cell>
        </row>
        <row r="130">
          <cell r="A130" t="str">
            <v>18G2997100</v>
          </cell>
          <cell r="B130">
            <v>65.339549999999988</v>
          </cell>
          <cell r="E130" t="str">
            <v>1118082819</v>
          </cell>
          <cell r="F130">
            <v>35.578947368421055</v>
          </cell>
        </row>
        <row r="131">
          <cell r="A131" t="str">
            <v>18G3025100</v>
          </cell>
          <cell r="B131">
            <v>57.556350000000002</v>
          </cell>
          <cell r="E131" t="str">
            <v>1118084717</v>
          </cell>
          <cell r="F131">
            <v>13.49</v>
          </cell>
        </row>
        <row r="132">
          <cell r="A132" t="str">
            <v>18G3027100</v>
          </cell>
          <cell r="B132">
            <v>65.339549999999988</v>
          </cell>
          <cell r="E132" t="str">
            <v>1118084719</v>
          </cell>
          <cell r="F132">
            <v>13.491666666666667</v>
          </cell>
        </row>
        <row r="133">
          <cell r="A133" t="str">
            <v>18G3027100</v>
          </cell>
          <cell r="B133">
            <v>65.339549999999988</v>
          </cell>
          <cell r="E133" t="str">
            <v>1118085519</v>
          </cell>
          <cell r="F133">
            <v>19.908045977011493</v>
          </cell>
        </row>
        <row r="134">
          <cell r="A134" t="str">
            <v>18G3106100</v>
          </cell>
          <cell r="B134">
            <v>110.88989999999998</v>
          </cell>
          <cell r="E134" t="str">
            <v>1118085719</v>
          </cell>
          <cell r="F134">
            <v>19.991666666666667</v>
          </cell>
        </row>
        <row r="135">
          <cell r="A135" t="str">
            <v>18G3115100</v>
          </cell>
          <cell r="B135">
            <v>100.84005000000001</v>
          </cell>
          <cell r="E135" t="str">
            <v>1118086619</v>
          </cell>
          <cell r="F135">
            <v>48.4</v>
          </cell>
        </row>
        <row r="136">
          <cell r="A136" t="str">
            <v>18G3173100</v>
          </cell>
          <cell r="B136">
            <v>142.26074999999997</v>
          </cell>
          <cell r="E136" t="str">
            <v>1118089518</v>
          </cell>
          <cell r="F136">
            <v>0.23953488372093024</v>
          </cell>
        </row>
        <row r="137">
          <cell r="A137" t="str">
            <v>18G3180100</v>
          </cell>
          <cell r="B137">
            <v>65.339549999999988</v>
          </cell>
          <cell r="E137" t="str">
            <v>1118090317</v>
          </cell>
          <cell r="F137">
            <v>6.0428571428571427</v>
          </cell>
        </row>
        <row r="138">
          <cell r="A138" t="str">
            <v>18G3284100</v>
          </cell>
          <cell r="B138">
            <v>70.797619047619051</v>
          </cell>
          <cell r="E138" t="str">
            <v>1118090319</v>
          </cell>
          <cell r="F138">
            <v>6.0428571428571427</v>
          </cell>
        </row>
        <row r="139">
          <cell r="A139" t="str">
            <v>18G3298170</v>
          </cell>
          <cell r="B139">
            <v>46.979274999999994</v>
          </cell>
          <cell r="E139" t="str">
            <v>1118091017</v>
          </cell>
          <cell r="F139">
            <v>13.404761904761905</v>
          </cell>
        </row>
        <row r="140">
          <cell r="A140" t="str">
            <v>18G3304100</v>
          </cell>
          <cell r="B140">
            <v>223.17704999999998</v>
          </cell>
          <cell r="E140" t="str">
            <v>1118091019</v>
          </cell>
          <cell r="F140">
            <v>13.398809523809524</v>
          </cell>
        </row>
        <row r="141">
          <cell r="A141" t="str">
            <v>18G33571J0</v>
          </cell>
          <cell r="B141">
            <v>197.78289999999998</v>
          </cell>
          <cell r="E141" t="str">
            <v>11180995MF</v>
          </cell>
          <cell r="F141">
            <v>2.02</v>
          </cell>
        </row>
        <row r="142">
          <cell r="A142" t="str">
            <v>18G3395100</v>
          </cell>
          <cell r="B142">
            <v>161.13915</v>
          </cell>
          <cell r="E142" t="str">
            <v>11180996MF</v>
          </cell>
          <cell r="F142">
            <v>2.02</v>
          </cell>
        </row>
        <row r="143">
          <cell r="A143" t="str">
            <v>18G3396100</v>
          </cell>
          <cell r="B143">
            <v>152.94999999999999</v>
          </cell>
          <cell r="E143" t="str">
            <v>11180998MF</v>
          </cell>
          <cell r="F143">
            <v>1.85</v>
          </cell>
        </row>
        <row r="144">
          <cell r="A144" t="str">
            <v>18G3405100</v>
          </cell>
          <cell r="B144">
            <v>5.9512499999999999</v>
          </cell>
          <cell r="E144" t="str">
            <v>1118101219</v>
          </cell>
          <cell r="F144">
            <v>18.282051282051281</v>
          </cell>
        </row>
        <row r="145">
          <cell r="A145" t="str">
            <v>18G3405100</v>
          </cell>
          <cell r="B145">
            <v>5.9512499999999999</v>
          </cell>
          <cell r="E145" t="str">
            <v>1118101719</v>
          </cell>
          <cell r="F145">
            <v>16.809374999999999</v>
          </cell>
        </row>
        <row r="146">
          <cell r="A146" t="str">
            <v>18G3406100</v>
          </cell>
          <cell r="B146">
            <v>19.854166666666668</v>
          </cell>
          <cell r="E146" t="str">
            <v>1118102319</v>
          </cell>
          <cell r="F146">
            <v>21.673333333333332</v>
          </cell>
        </row>
        <row r="147">
          <cell r="A147" t="str">
            <v>18G3425100</v>
          </cell>
          <cell r="B147">
            <v>110.88989999999998</v>
          </cell>
          <cell r="E147" t="str">
            <v>1118103519</v>
          </cell>
          <cell r="F147">
            <v>17.964285714285715</v>
          </cell>
        </row>
        <row r="148">
          <cell r="A148" t="str">
            <v>18G3425100</v>
          </cell>
          <cell r="B148">
            <v>110.8899</v>
          </cell>
          <cell r="E148" t="str">
            <v>1118104218</v>
          </cell>
          <cell r="F148">
            <v>0.7</v>
          </cell>
        </row>
        <row r="149">
          <cell r="A149" t="str">
            <v>18G3425R00</v>
          </cell>
          <cell r="B149">
            <v>110.88989999999998</v>
          </cell>
          <cell r="E149" t="str">
            <v>1118104419</v>
          </cell>
          <cell r="F149">
            <v>18.71875</v>
          </cell>
        </row>
        <row r="150">
          <cell r="A150" t="str">
            <v>18G3500100</v>
          </cell>
          <cell r="B150">
            <v>110.52764999999999</v>
          </cell>
          <cell r="E150" t="str">
            <v>1118106219</v>
          </cell>
          <cell r="F150">
            <v>32.78125</v>
          </cell>
        </row>
        <row r="151">
          <cell r="A151" t="str">
            <v>18G3500200</v>
          </cell>
          <cell r="B151">
            <v>110.52764999999999</v>
          </cell>
          <cell r="E151" t="str">
            <v>1118116917</v>
          </cell>
          <cell r="F151">
            <v>14.64</v>
          </cell>
        </row>
        <row r="152">
          <cell r="A152" t="str">
            <v>18G3500300</v>
          </cell>
          <cell r="B152">
            <v>69.642857142857139</v>
          </cell>
          <cell r="E152" t="str">
            <v>1118116919</v>
          </cell>
          <cell r="F152">
            <v>14.64</v>
          </cell>
        </row>
        <row r="153">
          <cell r="A153" t="str">
            <v>18G3511100</v>
          </cell>
          <cell r="B153">
            <v>165.10320000000002</v>
          </cell>
          <cell r="E153" t="str">
            <v>1118117519</v>
          </cell>
          <cell r="F153">
            <v>37.363636363636367</v>
          </cell>
        </row>
        <row r="154">
          <cell r="A154" t="str">
            <v>18G3530100</v>
          </cell>
          <cell r="B154">
            <v>72.657142857142858</v>
          </cell>
          <cell r="E154" t="str">
            <v>1118120219</v>
          </cell>
          <cell r="F154">
            <v>0.86737967914438507</v>
          </cell>
        </row>
        <row r="155">
          <cell r="A155" t="str">
            <v>18G3567100</v>
          </cell>
          <cell r="B155">
            <v>110.88989999999998</v>
          </cell>
          <cell r="E155" t="str">
            <v>1118120619</v>
          </cell>
          <cell r="F155">
            <v>11.188034188034187</v>
          </cell>
        </row>
        <row r="156">
          <cell r="A156" t="str">
            <v>18G3567R00</v>
          </cell>
          <cell r="B156">
            <v>110.88989999999998</v>
          </cell>
          <cell r="E156" t="str">
            <v>1118122419</v>
          </cell>
          <cell r="F156">
            <v>21.074999999999999</v>
          </cell>
        </row>
        <row r="157">
          <cell r="A157" t="str">
            <v>18G3606100</v>
          </cell>
          <cell r="B157">
            <v>40.892849999999996</v>
          </cell>
          <cell r="E157" t="str">
            <v>11181261PF</v>
          </cell>
          <cell r="F157">
            <v>1.7</v>
          </cell>
        </row>
        <row r="158">
          <cell r="A158" t="str">
            <v>18G3606100</v>
          </cell>
          <cell r="B158">
            <v>40.892849999999996</v>
          </cell>
          <cell r="E158" t="str">
            <v>1118131818</v>
          </cell>
          <cell r="F158">
            <v>0.43</v>
          </cell>
        </row>
        <row r="159">
          <cell r="A159" t="str">
            <v>18G3606100</v>
          </cell>
          <cell r="B159">
            <v>40.892849999999996</v>
          </cell>
          <cell r="E159" t="str">
            <v>1118131918</v>
          </cell>
          <cell r="F159">
            <v>1.5</v>
          </cell>
        </row>
        <row r="160">
          <cell r="A160" t="str">
            <v>18G3607100</v>
          </cell>
          <cell r="B160">
            <v>40.892849999999996</v>
          </cell>
          <cell r="E160" t="str">
            <v>1118133219</v>
          </cell>
          <cell r="F160">
            <v>14.474358974358974</v>
          </cell>
        </row>
        <row r="161">
          <cell r="A161" t="str">
            <v>18G3607R00</v>
          </cell>
          <cell r="B161">
            <v>40.892849999999996</v>
          </cell>
          <cell r="E161" t="str">
            <v>1118133504</v>
          </cell>
          <cell r="F161">
            <v>0.68400000000000005</v>
          </cell>
        </row>
        <row r="162">
          <cell r="A162" t="str">
            <v>18G3693100</v>
          </cell>
          <cell r="B162">
            <v>165.10320000000002</v>
          </cell>
          <cell r="E162" t="str">
            <v>1118133604</v>
          </cell>
          <cell r="F162">
            <v>0.68400000000000005</v>
          </cell>
        </row>
        <row r="163">
          <cell r="A163" t="str">
            <v>18G3714100</v>
          </cell>
          <cell r="B163">
            <v>75.762</v>
          </cell>
          <cell r="E163" t="str">
            <v>1118133804</v>
          </cell>
          <cell r="F163">
            <v>0.91544715447154468</v>
          </cell>
        </row>
        <row r="164">
          <cell r="A164" t="str">
            <v>18G3714100</v>
          </cell>
          <cell r="B164">
            <v>75.762</v>
          </cell>
          <cell r="E164" t="str">
            <v>1118134219</v>
          </cell>
          <cell r="F164">
            <v>23.030042918454935</v>
          </cell>
        </row>
        <row r="165">
          <cell r="A165" t="str">
            <v>18G3714100</v>
          </cell>
          <cell r="B165">
            <v>75.762</v>
          </cell>
          <cell r="E165" t="str">
            <v>1118134719</v>
          </cell>
          <cell r="F165">
            <v>14.04</v>
          </cell>
        </row>
        <row r="166">
          <cell r="A166" t="str">
            <v>18G3714200</v>
          </cell>
          <cell r="B166">
            <v>75.762</v>
          </cell>
          <cell r="E166" t="str">
            <v>1118135719</v>
          </cell>
          <cell r="F166">
            <v>1.0998431782540512</v>
          </cell>
        </row>
        <row r="167">
          <cell r="A167" t="str">
            <v>18G3717100</v>
          </cell>
          <cell r="B167">
            <v>104.40289999999999</v>
          </cell>
          <cell r="E167" t="str">
            <v>1118138318</v>
          </cell>
          <cell r="F167">
            <v>2.08</v>
          </cell>
        </row>
        <row r="168">
          <cell r="A168" t="str">
            <v>18G3717100</v>
          </cell>
          <cell r="B168">
            <v>104.4029</v>
          </cell>
          <cell r="E168" t="str">
            <v>1118138876</v>
          </cell>
          <cell r="F168">
            <v>57.5</v>
          </cell>
        </row>
        <row r="169">
          <cell r="A169" t="str">
            <v>18G3735100</v>
          </cell>
          <cell r="B169">
            <v>130.59629999999999</v>
          </cell>
          <cell r="E169" t="str">
            <v>1118140019</v>
          </cell>
          <cell r="F169">
            <v>14.9</v>
          </cell>
        </row>
        <row r="170">
          <cell r="A170" t="str">
            <v>18G3736100</v>
          </cell>
          <cell r="B170">
            <v>130.59629999999999</v>
          </cell>
          <cell r="E170" t="str">
            <v>1118143117</v>
          </cell>
          <cell r="F170">
            <v>23.1</v>
          </cell>
        </row>
        <row r="171">
          <cell r="A171" t="str">
            <v>18G3737100</v>
          </cell>
          <cell r="B171">
            <v>158.38604999999998</v>
          </cell>
          <cell r="E171" t="str">
            <v>1118143119</v>
          </cell>
          <cell r="F171">
            <v>23.1</v>
          </cell>
        </row>
        <row r="172">
          <cell r="A172" t="str">
            <v>18G3738100</v>
          </cell>
          <cell r="B172">
            <v>156</v>
          </cell>
          <cell r="E172" t="str">
            <v>1118144418</v>
          </cell>
          <cell r="F172">
            <v>0.19</v>
          </cell>
        </row>
        <row r="173">
          <cell r="A173" t="str">
            <v>18G37611J0</v>
          </cell>
          <cell r="B173">
            <v>161.9128</v>
          </cell>
          <cell r="E173" t="str">
            <v>1118149719</v>
          </cell>
          <cell r="F173">
            <v>18.066666666666666</v>
          </cell>
        </row>
        <row r="174">
          <cell r="A174" t="str">
            <v>18G3796200</v>
          </cell>
          <cell r="B174">
            <v>201.68010000000001</v>
          </cell>
          <cell r="E174" t="str">
            <v>1118150119</v>
          </cell>
          <cell r="F174">
            <v>40</v>
          </cell>
        </row>
        <row r="175">
          <cell r="A175" t="str">
            <v>18G3855100</v>
          </cell>
          <cell r="B175">
            <v>46.026449999999997</v>
          </cell>
          <cell r="E175" t="str">
            <v>1118152419</v>
          </cell>
          <cell r="F175">
            <v>9.2553191489361701</v>
          </cell>
        </row>
        <row r="176">
          <cell r="A176" t="str">
            <v>18G3855R00</v>
          </cell>
          <cell r="B176">
            <v>46.026449999999997</v>
          </cell>
          <cell r="E176" t="str">
            <v>1118152619</v>
          </cell>
          <cell r="F176">
            <v>9.4428571428571431</v>
          </cell>
        </row>
        <row r="177">
          <cell r="A177" t="str">
            <v>18G3856100</v>
          </cell>
          <cell r="B177">
            <v>46.026449999999997</v>
          </cell>
          <cell r="E177" t="str">
            <v>11181590J8</v>
          </cell>
          <cell r="F177">
            <v>0.83583333333333332</v>
          </cell>
        </row>
        <row r="178">
          <cell r="A178" t="str">
            <v>18G3856100</v>
          </cell>
          <cell r="B178">
            <v>46.026449999999997</v>
          </cell>
          <cell r="E178" t="str">
            <v>1118165619</v>
          </cell>
          <cell r="F178">
            <v>25.980891719745223</v>
          </cell>
        </row>
        <row r="179">
          <cell r="A179" t="str">
            <v>18G3856100</v>
          </cell>
          <cell r="B179">
            <v>46.02644999999999</v>
          </cell>
          <cell r="E179" t="str">
            <v>1118167419</v>
          </cell>
          <cell r="F179">
            <v>37.725000000000001</v>
          </cell>
        </row>
        <row r="180">
          <cell r="A180" t="str">
            <v>18G3857100</v>
          </cell>
          <cell r="B180">
            <v>46.026449999999997</v>
          </cell>
          <cell r="E180" t="str">
            <v>1118180019</v>
          </cell>
          <cell r="F180">
            <v>215.48275862068965</v>
          </cell>
        </row>
        <row r="181">
          <cell r="A181" t="str">
            <v>18G3857100</v>
          </cell>
          <cell r="B181">
            <v>46.026449999999997</v>
          </cell>
          <cell r="E181" t="str">
            <v>1118182719</v>
          </cell>
          <cell r="F181">
            <v>15.86</v>
          </cell>
        </row>
        <row r="182">
          <cell r="A182" t="str">
            <v>18G3857100</v>
          </cell>
          <cell r="B182">
            <v>46.026449999999997</v>
          </cell>
          <cell r="E182" t="str">
            <v>1118183017</v>
          </cell>
          <cell r="F182">
            <v>19.533333333333335</v>
          </cell>
        </row>
        <row r="183">
          <cell r="A183" t="str">
            <v>18G3857100</v>
          </cell>
          <cell r="B183">
            <v>46.026449999999997</v>
          </cell>
          <cell r="E183" t="str">
            <v>1118183019</v>
          </cell>
          <cell r="F183">
            <v>19.533333333333335</v>
          </cell>
        </row>
        <row r="184">
          <cell r="A184" t="str">
            <v>18G3928100</v>
          </cell>
          <cell r="B184">
            <v>201.68010000000001</v>
          </cell>
          <cell r="E184" t="str">
            <v>1118186417</v>
          </cell>
          <cell r="F184">
            <v>136.87096774193549</v>
          </cell>
        </row>
        <row r="185">
          <cell r="A185" t="str">
            <v>18G3929100</v>
          </cell>
          <cell r="B185">
            <v>201.68010000000001</v>
          </cell>
          <cell r="E185" t="str">
            <v>1118186718</v>
          </cell>
          <cell r="F185">
            <v>1.99</v>
          </cell>
        </row>
        <row r="186">
          <cell r="A186" t="str">
            <v>18G4043100</v>
          </cell>
          <cell r="B186">
            <v>179.17919999999998</v>
          </cell>
          <cell r="E186" t="str">
            <v>1118188617</v>
          </cell>
          <cell r="F186">
            <v>50.5</v>
          </cell>
        </row>
        <row r="187">
          <cell r="A187" t="str">
            <v>18G4051R00</v>
          </cell>
          <cell r="B187">
            <v>179.17919999999998</v>
          </cell>
          <cell r="E187" t="str">
            <v>1118188619</v>
          </cell>
          <cell r="F187">
            <v>50.5</v>
          </cell>
        </row>
        <row r="188">
          <cell r="A188" t="str">
            <v>18G4102100</v>
          </cell>
          <cell r="B188">
            <v>44.152500000000003</v>
          </cell>
          <cell r="E188" t="str">
            <v>1118188719</v>
          </cell>
          <cell r="F188">
            <v>54.366666666666667</v>
          </cell>
        </row>
        <row r="189">
          <cell r="A189" t="str">
            <v>18G4138100</v>
          </cell>
          <cell r="B189">
            <v>15.639566395663957</v>
          </cell>
          <cell r="E189" t="str">
            <v>1118192517</v>
          </cell>
          <cell r="F189">
            <v>22.541666666666668</v>
          </cell>
        </row>
        <row r="190">
          <cell r="A190" t="str">
            <v>18G4162100</v>
          </cell>
          <cell r="B190">
            <v>239.87159999999997</v>
          </cell>
          <cell r="E190" t="str">
            <v>1118192617</v>
          </cell>
          <cell r="F190">
            <v>36.472727272727276</v>
          </cell>
        </row>
        <row r="191">
          <cell r="A191" t="str">
            <v>18G4186100</v>
          </cell>
          <cell r="B191">
            <v>26.349399999999999</v>
          </cell>
          <cell r="E191" t="str">
            <v>1118192719</v>
          </cell>
          <cell r="F191">
            <v>29.6</v>
          </cell>
        </row>
        <row r="192">
          <cell r="A192" t="str">
            <v>18G4250100</v>
          </cell>
          <cell r="B192">
            <v>107.96084999999999</v>
          </cell>
          <cell r="E192" t="str">
            <v>1118192819</v>
          </cell>
          <cell r="F192">
            <v>38.016666666666666</v>
          </cell>
        </row>
        <row r="193">
          <cell r="A193" t="str">
            <v>18G4253100</v>
          </cell>
          <cell r="B193">
            <v>107.96084999999999</v>
          </cell>
          <cell r="E193" t="str">
            <v>1118193119</v>
          </cell>
          <cell r="F193">
            <v>24.6</v>
          </cell>
        </row>
        <row r="194">
          <cell r="A194" t="str">
            <v>18G4253R00</v>
          </cell>
          <cell r="B194">
            <v>107.96084999999999</v>
          </cell>
          <cell r="E194" t="str">
            <v>1118193919</v>
          </cell>
          <cell r="F194">
            <v>14.258064516129032</v>
          </cell>
        </row>
        <row r="195">
          <cell r="A195" t="str">
            <v>18G4281100</v>
          </cell>
          <cell r="B195">
            <v>201.68010000000001</v>
          </cell>
          <cell r="E195" t="str">
            <v>1118194219</v>
          </cell>
          <cell r="F195">
            <v>13.551724137931034</v>
          </cell>
        </row>
        <row r="196">
          <cell r="A196" t="str">
            <v>18G4281100</v>
          </cell>
          <cell r="B196">
            <v>201.68010000000001</v>
          </cell>
          <cell r="E196" t="str">
            <v>1118196118</v>
          </cell>
          <cell r="F196">
            <v>1.36</v>
          </cell>
        </row>
        <row r="197">
          <cell r="A197" t="str">
            <v>18G4296100</v>
          </cell>
          <cell r="B197">
            <v>37.86965</v>
          </cell>
          <cell r="E197" t="str">
            <v>1118196204</v>
          </cell>
          <cell r="F197">
            <v>0.98799999999999999</v>
          </cell>
        </row>
        <row r="198">
          <cell r="A198" t="str">
            <v>18G4297100</v>
          </cell>
          <cell r="B198">
            <v>165.10320000000002</v>
          </cell>
          <cell r="E198" t="str">
            <v>1118196519</v>
          </cell>
          <cell r="F198">
            <v>28.393442622950818</v>
          </cell>
        </row>
        <row r="199">
          <cell r="A199" t="str">
            <v>18G4298100</v>
          </cell>
          <cell r="B199">
            <v>165.10320000000002</v>
          </cell>
          <cell r="E199" t="str">
            <v>1118199119</v>
          </cell>
          <cell r="F199">
            <v>21.907142857142858</v>
          </cell>
        </row>
        <row r="200">
          <cell r="A200" t="str">
            <v>18G4349100</v>
          </cell>
          <cell r="B200">
            <v>38.974285714285713</v>
          </cell>
          <cell r="E200" t="str">
            <v>1118211318</v>
          </cell>
          <cell r="F200">
            <v>0.25427728613569323</v>
          </cell>
        </row>
        <row r="201">
          <cell r="A201" t="str">
            <v>18G4392100</v>
          </cell>
          <cell r="B201">
            <v>107.96084999999999</v>
          </cell>
          <cell r="E201" t="str">
            <v>1118229118</v>
          </cell>
          <cell r="F201">
            <v>0.42599999999999999</v>
          </cell>
        </row>
        <row r="202">
          <cell r="A202" t="str">
            <v>18G4392200</v>
          </cell>
          <cell r="B202">
            <v>107.96084999999999</v>
          </cell>
          <cell r="E202" t="str">
            <v>1118248418</v>
          </cell>
          <cell r="F202">
            <v>0.65299631737529296</v>
          </cell>
        </row>
        <row r="203">
          <cell r="A203" t="str">
            <v>18G4396100</v>
          </cell>
          <cell r="B203">
            <v>107.96084999999999</v>
          </cell>
          <cell r="E203" t="str">
            <v>1118258718</v>
          </cell>
          <cell r="F203">
            <v>0.36607142857142855</v>
          </cell>
        </row>
        <row r="204">
          <cell r="A204" t="str">
            <v>18G4396200</v>
          </cell>
          <cell r="B204">
            <v>107.96084999999999</v>
          </cell>
          <cell r="E204" t="str">
            <v>1118260079</v>
          </cell>
          <cell r="F204">
            <v>155.15</v>
          </cell>
        </row>
        <row r="205">
          <cell r="A205" t="str">
            <v>18G4501100</v>
          </cell>
          <cell r="B205">
            <v>195.81164999999999</v>
          </cell>
          <cell r="E205" t="str">
            <v>1118270718</v>
          </cell>
          <cell r="F205">
            <v>0.15906976744186047</v>
          </cell>
        </row>
        <row r="206">
          <cell r="A206" t="str">
            <v>18G4502100</v>
          </cell>
          <cell r="B206">
            <v>195.81164999999999</v>
          </cell>
          <cell r="E206" t="str">
            <v>1118270818</v>
          </cell>
          <cell r="F206">
            <v>0.15906976744186047</v>
          </cell>
        </row>
        <row r="207">
          <cell r="A207" t="str">
            <v>18G4507100</v>
          </cell>
          <cell r="B207">
            <v>195.81164999999999</v>
          </cell>
          <cell r="E207" t="str">
            <v>1118271618</v>
          </cell>
          <cell r="F207">
            <v>0.36799999999999999</v>
          </cell>
        </row>
        <row r="208">
          <cell r="A208" t="str">
            <v>18G4512C70</v>
          </cell>
          <cell r="B208">
            <v>77.023809523809518</v>
          </cell>
          <cell r="E208" t="str">
            <v>1118277418</v>
          </cell>
          <cell r="F208">
            <v>0.40500000000000003</v>
          </cell>
        </row>
        <row r="209">
          <cell r="A209" t="str">
            <v>18G4630100</v>
          </cell>
          <cell r="B209">
            <v>107.96084999999999</v>
          </cell>
          <cell r="E209" t="str">
            <v>1118278418</v>
          </cell>
          <cell r="F209">
            <v>0.59798913043478263</v>
          </cell>
        </row>
        <row r="210">
          <cell r="A210" t="str">
            <v>A06121</v>
          </cell>
          <cell r="B210">
            <v>80.032749999999993</v>
          </cell>
          <cell r="E210" t="str">
            <v>1118278618</v>
          </cell>
          <cell r="F210">
            <v>0.59799999999999998</v>
          </cell>
        </row>
        <row r="211">
          <cell r="A211" t="str">
            <v>A06352</v>
          </cell>
          <cell r="B211">
            <v>80.032749999999993</v>
          </cell>
          <cell r="E211" t="str">
            <v>1118281918</v>
          </cell>
          <cell r="F211">
            <v>0.59799999999999998</v>
          </cell>
        </row>
        <row r="212">
          <cell r="A212" t="str">
            <v>A06473</v>
          </cell>
          <cell r="B212">
            <v>80.032749999999993</v>
          </cell>
          <cell r="E212" t="str">
            <v>1118282418</v>
          </cell>
          <cell r="F212">
            <v>0.5979717493661717</v>
          </cell>
        </row>
        <row r="213">
          <cell r="E213" t="str">
            <v>1118285218</v>
          </cell>
          <cell r="F213">
            <v>0.40100000000000002</v>
          </cell>
        </row>
        <row r="214">
          <cell r="E214" t="str">
            <v>1118288118</v>
          </cell>
          <cell r="F214">
            <v>0.91094527363184075</v>
          </cell>
        </row>
        <row r="215">
          <cell r="E215" t="str">
            <v>1118291518</v>
          </cell>
          <cell r="F215">
            <v>60.714285714285715</v>
          </cell>
        </row>
        <row r="216">
          <cell r="E216" t="str">
            <v>1118291579</v>
          </cell>
          <cell r="F216">
            <v>180.49350649350649</v>
          </cell>
        </row>
        <row r="217">
          <cell r="E217" t="str">
            <v>1118602418</v>
          </cell>
          <cell r="F217">
            <v>0.19</v>
          </cell>
        </row>
        <row r="218">
          <cell r="E218" t="str">
            <v>1118602617</v>
          </cell>
          <cell r="F218">
            <v>25.6</v>
          </cell>
        </row>
        <row r="219">
          <cell r="E219" t="str">
            <v>1118602619</v>
          </cell>
          <cell r="F219">
            <v>25.6</v>
          </cell>
        </row>
        <row r="220">
          <cell r="E220" t="str">
            <v>1118602818</v>
          </cell>
          <cell r="F220">
            <v>1.6910000000000001</v>
          </cell>
        </row>
        <row r="221">
          <cell r="E221" t="str">
            <v>1118603018</v>
          </cell>
          <cell r="F221">
            <v>1.468</v>
          </cell>
        </row>
        <row r="222">
          <cell r="E222" t="str">
            <v>1118603417</v>
          </cell>
          <cell r="F222">
            <v>57.653333333333336</v>
          </cell>
        </row>
        <row r="223">
          <cell r="E223" t="str">
            <v>1118603419</v>
          </cell>
          <cell r="F223">
            <v>57.64</v>
          </cell>
        </row>
        <row r="224">
          <cell r="E224" t="str">
            <v>1118603918</v>
          </cell>
          <cell r="F224">
            <v>2.5166666666666666</v>
          </cell>
        </row>
        <row r="225">
          <cell r="E225" t="str">
            <v>1118605119</v>
          </cell>
          <cell r="F225">
            <v>27.42</v>
          </cell>
        </row>
        <row r="226">
          <cell r="E226" t="str">
            <v>1118605917</v>
          </cell>
          <cell r="F226">
            <v>23.988888888888887</v>
          </cell>
        </row>
        <row r="227">
          <cell r="E227" t="str">
            <v>1118605919</v>
          </cell>
          <cell r="F227">
            <v>23.987500000000001</v>
          </cell>
        </row>
        <row r="228">
          <cell r="E228" t="str">
            <v>1118606117</v>
          </cell>
          <cell r="F228">
            <v>16.02</v>
          </cell>
        </row>
        <row r="229">
          <cell r="E229" t="str">
            <v>1118606119</v>
          </cell>
          <cell r="F229">
            <v>16.02</v>
          </cell>
        </row>
        <row r="230">
          <cell r="E230" t="str">
            <v>1118607619</v>
          </cell>
          <cell r="F230">
            <v>28.155555555555555</v>
          </cell>
        </row>
        <row r="231">
          <cell r="E231" t="str">
            <v>1118608618</v>
          </cell>
          <cell r="F231">
            <v>2.7425000000000002</v>
          </cell>
        </row>
        <row r="232">
          <cell r="E232" t="str">
            <v>1118608718</v>
          </cell>
          <cell r="F232">
            <v>2.08</v>
          </cell>
        </row>
        <row r="233">
          <cell r="E233" t="str">
            <v>1118609619</v>
          </cell>
          <cell r="F233">
            <v>18.076923076923077</v>
          </cell>
        </row>
        <row r="234">
          <cell r="E234" t="str">
            <v>1118613419</v>
          </cell>
          <cell r="F234">
            <v>32.911764705882355</v>
          </cell>
        </row>
        <row r="235">
          <cell r="E235" t="str">
            <v>1118614318</v>
          </cell>
          <cell r="F235">
            <v>17.3</v>
          </cell>
        </row>
        <row r="236">
          <cell r="E236" t="str">
            <v>1118615618</v>
          </cell>
          <cell r="F236">
            <v>1.495483870967742</v>
          </cell>
        </row>
        <row r="237">
          <cell r="E237" t="str">
            <v>1118620318</v>
          </cell>
          <cell r="F237">
            <v>0.38200000000000001</v>
          </cell>
        </row>
        <row r="238">
          <cell r="E238" t="str">
            <v>1118620418</v>
          </cell>
          <cell r="F238">
            <v>0.64</v>
          </cell>
        </row>
        <row r="239">
          <cell r="E239" t="str">
            <v>1118620618</v>
          </cell>
          <cell r="F239">
            <v>0.152</v>
          </cell>
        </row>
        <row r="240">
          <cell r="E240" t="str">
            <v>1118621518</v>
          </cell>
          <cell r="F240">
            <v>1.0904761904761904</v>
          </cell>
        </row>
        <row r="241">
          <cell r="E241" t="str">
            <v>1118621618</v>
          </cell>
          <cell r="F241">
            <v>0.35897435897435898</v>
          </cell>
        </row>
        <row r="242">
          <cell r="E242" t="str">
            <v>1118621718</v>
          </cell>
          <cell r="F242">
            <v>0.82666666666666666</v>
          </cell>
        </row>
        <row r="243">
          <cell r="E243" t="str">
            <v>1118624017</v>
          </cell>
          <cell r="F243">
            <v>109.11538461538461</v>
          </cell>
        </row>
        <row r="244">
          <cell r="E244" t="str">
            <v>1118624019</v>
          </cell>
          <cell r="F244">
            <v>109.13333333333334</v>
          </cell>
        </row>
        <row r="245">
          <cell r="E245" t="str">
            <v>1118627619</v>
          </cell>
          <cell r="F245">
            <v>22.133333333333333</v>
          </cell>
        </row>
        <row r="246">
          <cell r="E246" t="str">
            <v>1118629019</v>
          </cell>
          <cell r="F246">
            <v>39.799999999999997</v>
          </cell>
        </row>
        <row r="247">
          <cell r="E247" t="str">
            <v>1118629919</v>
          </cell>
          <cell r="F247">
            <v>54.55</v>
          </cell>
        </row>
        <row r="248">
          <cell r="E248" t="str">
            <v>1118632719</v>
          </cell>
          <cell r="F248">
            <v>22.625</v>
          </cell>
        </row>
        <row r="249">
          <cell r="E249" t="str">
            <v>1118637717</v>
          </cell>
          <cell r="F249">
            <v>28.972222222222221</v>
          </cell>
        </row>
        <row r="250">
          <cell r="E250" t="str">
            <v>1118638819</v>
          </cell>
          <cell r="F250">
            <v>18.546875</v>
          </cell>
        </row>
        <row r="251">
          <cell r="E251" t="str">
            <v>1118639019</v>
          </cell>
          <cell r="F251">
            <v>15.4</v>
          </cell>
        </row>
        <row r="252">
          <cell r="E252" t="str">
            <v>1118639819</v>
          </cell>
          <cell r="F252">
            <v>162.76923076923077</v>
          </cell>
        </row>
        <row r="253">
          <cell r="E253" t="str">
            <v>1118642119</v>
          </cell>
          <cell r="F253">
            <v>19.53448275862069</v>
          </cell>
        </row>
        <row r="254">
          <cell r="E254" t="str">
            <v>1118650219</v>
          </cell>
          <cell r="F254">
            <v>16.822222222222223</v>
          </cell>
        </row>
        <row r="255">
          <cell r="E255" t="str">
            <v>1118652517</v>
          </cell>
          <cell r="F255">
            <v>20.298245614035089</v>
          </cell>
        </row>
        <row r="256">
          <cell r="E256" t="str">
            <v>1118652519</v>
          </cell>
          <cell r="F256">
            <v>20.298245614035089</v>
          </cell>
        </row>
        <row r="257">
          <cell r="E257" t="str">
            <v>1118652617</v>
          </cell>
          <cell r="F257">
            <v>22.15</v>
          </cell>
        </row>
        <row r="258">
          <cell r="E258" t="str">
            <v>1118652619</v>
          </cell>
          <cell r="F258">
            <v>22.15</v>
          </cell>
        </row>
        <row r="259">
          <cell r="E259" t="str">
            <v>1118656919</v>
          </cell>
          <cell r="F259">
            <v>15.181159420289855</v>
          </cell>
        </row>
        <row r="260">
          <cell r="E260" t="str">
            <v>1118657117</v>
          </cell>
          <cell r="F260">
            <v>14.066666666666666</v>
          </cell>
        </row>
        <row r="261">
          <cell r="E261" t="str">
            <v>1118658719</v>
          </cell>
          <cell r="F261">
            <v>28.7</v>
          </cell>
        </row>
        <row r="262">
          <cell r="E262" t="str">
            <v>1118658918</v>
          </cell>
          <cell r="F262">
            <v>1.66</v>
          </cell>
        </row>
        <row r="263">
          <cell r="E263" t="str">
            <v>1118662519</v>
          </cell>
          <cell r="F263">
            <v>46.214285714285715</v>
          </cell>
        </row>
        <row r="264">
          <cell r="E264" t="str">
            <v>1118662819</v>
          </cell>
          <cell r="F264">
            <v>18.088235294117649</v>
          </cell>
        </row>
        <row r="265">
          <cell r="E265" t="str">
            <v>1118663518</v>
          </cell>
          <cell r="F265">
            <v>0.59166666666666667</v>
          </cell>
        </row>
        <row r="266">
          <cell r="E266" t="str">
            <v>1118668418</v>
          </cell>
          <cell r="F266">
            <v>14.638888888888889</v>
          </cell>
        </row>
        <row r="267">
          <cell r="E267" t="str">
            <v>1118671817</v>
          </cell>
          <cell r="F267">
            <v>13.254901960784315</v>
          </cell>
        </row>
        <row r="268">
          <cell r="E268" t="str">
            <v>1118672017</v>
          </cell>
          <cell r="F268">
            <v>12.607142857142858</v>
          </cell>
        </row>
        <row r="269">
          <cell r="E269" t="str">
            <v>1118672019</v>
          </cell>
          <cell r="F269">
            <v>12.607142857142858</v>
          </cell>
        </row>
        <row r="270">
          <cell r="E270" t="str">
            <v>1118672418</v>
          </cell>
          <cell r="F270">
            <v>0.18</v>
          </cell>
        </row>
        <row r="271">
          <cell r="E271" t="str">
            <v>1118673216</v>
          </cell>
          <cell r="F271">
            <v>146.13636363636363</v>
          </cell>
        </row>
        <row r="272">
          <cell r="E272" t="str">
            <v>1118673316</v>
          </cell>
          <cell r="F272">
            <v>146.12</v>
          </cell>
        </row>
        <row r="273">
          <cell r="E273" t="str">
            <v>1118673517</v>
          </cell>
          <cell r="F273">
            <v>29.054545454545455</v>
          </cell>
        </row>
        <row r="274">
          <cell r="E274" t="str">
            <v>1118673519</v>
          </cell>
          <cell r="F274">
            <v>29.054545454545455</v>
          </cell>
        </row>
        <row r="275">
          <cell r="E275" t="str">
            <v>1118676019</v>
          </cell>
          <cell r="F275">
            <v>4.6760000000000002</v>
          </cell>
        </row>
        <row r="276">
          <cell r="E276" t="str">
            <v>1118676618</v>
          </cell>
          <cell r="F276">
            <v>4.5999999999999996</v>
          </cell>
        </row>
        <row r="277">
          <cell r="E277" t="str">
            <v>1118676817</v>
          </cell>
          <cell r="F277">
            <v>18.82</v>
          </cell>
        </row>
        <row r="278">
          <cell r="E278" t="str">
            <v>1118676819</v>
          </cell>
          <cell r="F278">
            <v>18.82</v>
          </cell>
        </row>
        <row r="279">
          <cell r="E279" t="str">
            <v>1118682019</v>
          </cell>
          <cell r="F279">
            <v>49.590909090909093</v>
          </cell>
        </row>
        <row r="280">
          <cell r="E280" t="str">
            <v>1118682119</v>
          </cell>
          <cell r="F280">
            <v>50.1</v>
          </cell>
        </row>
        <row r="281">
          <cell r="E281" t="str">
            <v>1118683919</v>
          </cell>
          <cell r="F281">
            <v>17.2</v>
          </cell>
        </row>
        <row r="282">
          <cell r="E282" t="str">
            <v>1118684117</v>
          </cell>
          <cell r="F282">
            <v>17.771111111111111</v>
          </cell>
        </row>
        <row r="283">
          <cell r="E283" t="str">
            <v>1118684119</v>
          </cell>
          <cell r="F283">
            <v>17.77</v>
          </cell>
        </row>
        <row r="284">
          <cell r="E284" t="str">
            <v>1118686817</v>
          </cell>
          <cell r="F284">
            <v>40.307692307692307</v>
          </cell>
        </row>
        <row r="285">
          <cell r="E285" t="str">
            <v>1118690318</v>
          </cell>
          <cell r="F285">
            <v>0.37</v>
          </cell>
        </row>
        <row r="286">
          <cell r="E286" t="str">
            <v>11186903MF</v>
          </cell>
          <cell r="F286">
            <v>1.02</v>
          </cell>
        </row>
        <row r="287">
          <cell r="E287" t="str">
            <v>11186903TF</v>
          </cell>
          <cell r="F287">
            <v>0.710291493158834</v>
          </cell>
        </row>
        <row r="288">
          <cell r="E288" t="str">
            <v>1118691400</v>
          </cell>
          <cell r="F288">
            <v>0.17333333333333334</v>
          </cell>
        </row>
        <row r="289">
          <cell r="E289" t="str">
            <v>1118692017</v>
          </cell>
          <cell r="F289">
            <v>33.485714285714288</v>
          </cell>
        </row>
        <row r="290">
          <cell r="E290" t="str">
            <v>1118692019</v>
          </cell>
          <cell r="F290">
            <v>33.5</v>
          </cell>
        </row>
        <row r="291">
          <cell r="E291" t="str">
            <v>1118692718</v>
          </cell>
          <cell r="F291">
            <v>21.77</v>
          </cell>
        </row>
        <row r="292">
          <cell r="E292" t="str">
            <v>1118692719</v>
          </cell>
          <cell r="F292">
            <v>11.58</v>
          </cell>
        </row>
        <row r="293">
          <cell r="E293" t="str">
            <v>1118693419</v>
          </cell>
          <cell r="F293">
            <v>36.466666666666669</v>
          </cell>
        </row>
        <row r="294">
          <cell r="E294" t="str">
            <v>1118693519</v>
          </cell>
          <cell r="F294">
            <v>24.46</v>
          </cell>
        </row>
        <row r="295">
          <cell r="E295" t="str">
            <v>1118694019</v>
          </cell>
          <cell r="F295">
            <v>24.65</v>
          </cell>
        </row>
        <row r="296">
          <cell r="E296" t="str">
            <v>1118696018</v>
          </cell>
          <cell r="F296">
            <v>0.4</v>
          </cell>
        </row>
        <row r="297">
          <cell r="E297" t="str">
            <v>1118696719</v>
          </cell>
          <cell r="F297">
            <v>26.714285714285715</v>
          </cell>
        </row>
        <row r="298">
          <cell r="E298" t="str">
            <v>1118696918</v>
          </cell>
          <cell r="F298">
            <v>2.2999999999999998</v>
          </cell>
        </row>
        <row r="299">
          <cell r="E299" t="str">
            <v>1118697118</v>
          </cell>
          <cell r="F299">
            <v>0.32</v>
          </cell>
        </row>
        <row r="300">
          <cell r="E300" t="str">
            <v>1118697218</v>
          </cell>
          <cell r="F300">
            <v>0.59</v>
          </cell>
        </row>
        <row r="301">
          <cell r="E301" t="str">
            <v>1118697418</v>
          </cell>
          <cell r="F301">
            <v>0.80555555555555558</v>
          </cell>
        </row>
        <row r="302">
          <cell r="E302" t="str">
            <v>1118699619</v>
          </cell>
          <cell r="F302">
            <v>31.327272727272728</v>
          </cell>
        </row>
        <row r="303">
          <cell r="E303" t="str">
            <v>1118703619</v>
          </cell>
          <cell r="F303">
            <v>32.351351351351354</v>
          </cell>
        </row>
        <row r="304">
          <cell r="E304" t="str">
            <v>1118705419</v>
          </cell>
          <cell r="F304">
            <v>11.678947368421053</v>
          </cell>
        </row>
        <row r="305">
          <cell r="E305" t="str">
            <v>1118706417</v>
          </cell>
          <cell r="F305">
            <v>23.09090909090909</v>
          </cell>
        </row>
        <row r="306">
          <cell r="E306" t="str">
            <v>1118706419</v>
          </cell>
          <cell r="F306">
            <v>23.086956521739129</v>
          </cell>
        </row>
        <row r="307">
          <cell r="E307" t="str">
            <v>1118708517</v>
          </cell>
          <cell r="F307">
            <v>12.986666666666666</v>
          </cell>
        </row>
        <row r="308">
          <cell r="E308" t="str">
            <v>1118712818</v>
          </cell>
          <cell r="F308">
            <v>0.83</v>
          </cell>
        </row>
        <row r="309">
          <cell r="E309" t="str">
            <v>1118712918</v>
          </cell>
          <cell r="F309">
            <v>1.1923076923076923</v>
          </cell>
        </row>
        <row r="310">
          <cell r="E310" t="str">
            <v>1118717419</v>
          </cell>
          <cell r="F310">
            <v>39.46875</v>
          </cell>
        </row>
        <row r="311">
          <cell r="E311" t="str">
            <v>1118720719</v>
          </cell>
          <cell r="F311">
            <v>12.398496240601503</v>
          </cell>
        </row>
        <row r="312">
          <cell r="E312" t="str">
            <v>1118721519</v>
          </cell>
          <cell r="F312">
            <v>23.902439024390244</v>
          </cell>
        </row>
        <row r="313">
          <cell r="E313" t="str">
            <v>1118723018</v>
          </cell>
          <cell r="F313">
            <v>0.69287469287469283</v>
          </cell>
        </row>
        <row r="314">
          <cell r="E314" t="str">
            <v>1118724417</v>
          </cell>
          <cell r="F314">
            <v>24.927272727272726</v>
          </cell>
        </row>
        <row r="315">
          <cell r="E315" t="str">
            <v>1118724718</v>
          </cell>
          <cell r="F315">
            <v>0.52</v>
          </cell>
        </row>
        <row r="316">
          <cell r="E316" t="str">
            <v>1810022100</v>
          </cell>
          <cell r="F316">
            <v>0.42599999999999999</v>
          </cell>
        </row>
        <row r="317">
          <cell r="E317" t="str">
            <v>1810064100</v>
          </cell>
          <cell r="F317">
            <v>0.5539823008849557</v>
          </cell>
        </row>
        <row r="318">
          <cell r="E318" t="str">
            <v>1810086100</v>
          </cell>
          <cell r="F318">
            <v>0.21793721973094171</v>
          </cell>
        </row>
        <row r="319">
          <cell r="E319" t="str">
            <v>1810115100</v>
          </cell>
          <cell r="F319">
            <v>0.64268292682926831</v>
          </cell>
        </row>
        <row r="320">
          <cell r="E320" t="str">
            <v>1810163100</v>
          </cell>
          <cell r="F320">
            <v>7.0370370370370375E-2</v>
          </cell>
        </row>
        <row r="321">
          <cell r="E321" t="str">
            <v>1810396100</v>
          </cell>
          <cell r="F321">
            <v>0.36875000000000002</v>
          </cell>
        </row>
        <row r="322">
          <cell r="E322" t="str">
            <v>1810469100</v>
          </cell>
          <cell r="F322">
            <v>0.40102564102564103</v>
          </cell>
        </row>
        <row r="323">
          <cell r="E323" t="str">
            <v>1810494100</v>
          </cell>
          <cell r="F323">
            <v>0.59599999999999997</v>
          </cell>
        </row>
        <row r="324">
          <cell r="E324" t="str">
            <v>1810495100</v>
          </cell>
          <cell r="F324">
            <v>0.59599999999999997</v>
          </cell>
        </row>
        <row r="325">
          <cell r="E325" t="str">
            <v>1810511100</v>
          </cell>
          <cell r="F325">
            <v>0.47599999999999998</v>
          </cell>
        </row>
        <row r="326">
          <cell r="E326" t="str">
            <v>1810513100</v>
          </cell>
          <cell r="F326">
            <v>0.31624999999999998</v>
          </cell>
        </row>
        <row r="327">
          <cell r="E327" t="str">
            <v>1810514100</v>
          </cell>
          <cell r="F327">
            <v>0.18833333333333332</v>
          </cell>
        </row>
        <row r="328">
          <cell r="E328" t="str">
            <v>1810536100</v>
          </cell>
          <cell r="F328">
            <v>0.19801553062985333</v>
          </cell>
        </row>
        <row r="329">
          <cell r="E329" t="str">
            <v>1810553100</v>
          </cell>
          <cell r="F329">
            <v>0.37214285714285716</v>
          </cell>
        </row>
        <row r="330">
          <cell r="E330" t="str">
            <v>1810627100</v>
          </cell>
          <cell r="F330">
            <v>0.22291666666666668</v>
          </cell>
        </row>
        <row r="331">
          <cell r="E331" t="str">
            <v>1810701100</v>
          </cell>
          <cell r="F331">
            <v>0.45</v>
          </cell>
        </row>
        <row r="332">
          <cell r="E332" t="str">
            <v>1811404093</v>
          </cell>
          <cell r="F332">
            <v>0.3860103626943005</v>
          </cell>
        </row>
        <row r="333">
          <cell r="E333" t="str">
            <v>1820009T00</v>
          </cell>
          <cell r="F333">
            <v>66.658823529411762</v>
          </cell>
        </row>
        <row r="334">
          <cell r="E334" t="str">
            <v>1820021R00</v>
          </cell>
          <cell r="F334">
            <v>19.688442211055275</v>
          </cell>
        </row>
        <row r="335">
          <cell r="E335" t="str">
            <v>1820029100</v>
          </cell>
          <cell r="F335">
            <v>1.5040137614678899</v>
          </cell>
        </row>
        <row r="336">
          <cell r="E336" t="str">
            <v>1820044100</v>
          </cell>
          <cell r="F336">
            <v>2.2999999999999998</v>
          </cell>
        </row>
        <row r="337">
          <cell r="E337" t="str">
            <v>1820045100</v>
          </cell>
          <cell r="F337">
            <v>2.2999999999999998</v>
          </cell>
        </row>
        <row r="338">
          <cell r="E338" t="str">
            <v>1820107R00</v>
          </cell>
          <cell r="F338">
            <v>22.028571428571428</v>
          </cell>
        </row>
        <row r="339">
          <cell r="E339" t="str">
            <v>1820132R00</v>
          </cell>
          <cell r="F339">
            <v>26.92</v>
          </cell>
        </row>
        <row r="340">
          <cell r="E340" t="str">
            <v>1820132T00</v>
          </cell>
          <cell r="F340">
            <v>26.92</v>
          </cell>
        </row>
        <row r="341">
          <cell r="E341" t="str">
            <v>18201360MF</v>
          </cell>
          <cell r="F341">
            <v>2.08</v>
          </cell>
        </row>
        <row r="342">
          <cell r="E342" t="str">
            <v>1820146C70</v>
          </cell>
          <cell r="F342">
            <v>148.03846153846155</v>
          </cell>
        </row>
        <row r="343">
          <cell r="E343" t="str">
            <v>1820162100</v>
          </cell>
          <cell r="F343">
            <v>0.69030732860520094</v>
          </cell>
        </row>
        <row r="344">
          <cell r="E344" t="str">
            <v>1820163100</v>
          </cell>
          <cell r="F344">
            <v>0.52570093457943923</v>
          </cell>
        </row>
        <row r="345">
          <cell r="E345" t="str">
            <v>1820185R00</v>
          </cell>
          <cell r="F345">
            <v>17.939743589743589</v>
          </cell>
        </row>
        <row r="346">
          <cell r="E346" t="str">
            <v>1820195R00</v>
          </cell>
          <cell r="F346">
            <v>25.14</v>
          </cell>
        </row>
        <row r="347">
          <cell r="E347" t="str">
            <v>1820206R00</v>
          </cell>
          <cell r="F347">
            <v>42.375</v>
          </cell>
        </row>
        <row r="348">
          <cell r="E348" t="str">
            <v>1820209R00</v>
          </cell>
          <cell r="F348">
            <v>22.289817232375977</v>
          </cell>
        </row>
        <row r="349">
          <cell r="E349" t="str">
            <v>1820211R00</v>
          </cell>
          <cell r="F349">
            <v>21.88</v>
          </cell>
        </row>
        <row r="350">
          <cell r="E350" t="str">
            <v>1820225C00</v>
          </cell>
          <cell r="F350">
            <v>19.976190476190474</v>
          </cell>
        </row>
        <row r="351">
          <cell r="E351" t="str">
            <v>18202260MF</v>
          </cell>
          <cell r="F351">
            <v>19.16</v>
          </cell>
        </row>
        <row r="352">
          <cell r="E352" t="str">
            <v>1820242T00</v>
          </cell>
          <cell r="F352">
            <v>27.15</v>
          </cell>
        </row>
        <row r="353">
          <cell r="E353" t="str">
            <v>1820254R00</v>
          </cell>
          <cell r="F353">
            <v>26.98</v>
          </cell>
        </row>
        <row r="354">
          <cell r="E354" t="str">
            <v>1820254T00</v>
          </cell>
          <cell r="F354">
            <v>26.98</v>
          </cell>
        </row>
        <row r="355">
          <cell r="E355" t="str">
            <v>18202600MF</v>
          </cell>
          <cell r="F355">
            <v>59.36</v>
          </cell>
        </row>
        <row r="356">
          <cell r="E356" t="str">
            <v>18202641J0</v>
          </cell>
          <cell r="F356">
            <v>0.37933333333333336</v>
          </cell>
        </row>
        <row r="357">
          <cell r="E357" t="str">
            <v>1820273R00</v>
          </cell>
          <cell r="F357">
            <v>39.9</v>
          </cell>
        </row>
        <row r="358">
          <cell r="E358" t="str">
            <v>1820306R00</v>
          </cell>
          <cell r="F358">
            <v>21.58</v>
          </cell>
        </row>
        <row r="359">
          <cell r="E359" t="str">
            <v>1820306T00</v>
          </cell>
          <cell r="F359">
            <v>21.58</v>
          </cell>
        </row>
        <row r="360">
          <cell r="E360" t="str">
            <v>1820310100</v>
          </cell>
          <cell r="F360">
            <v>2.2999999999999998</v>
          </cell>
        </row>
        <row r="361">
          <cell r="E361" t="str">
            <v>1820311100</v>
          </cell>
          <cell r="F361">
            <v>2.2999999999999998</v>
          </cell>
        </row>
        <row r="362">
          <cell r="E362" t="str">
            <v>1820347R00</v>
          </cell>
          <cell r="F362">
            <v>19.511627906976745</v>
          </cell>
        </row>
        <row r="363">
          <cell r="E363" t="str">
            <v>1820368F00</v>
          </cell>
          <cell r="F363">
            <v>18.7198347107438</v>
          </cell>
        </row>
        <row r="364">
          <cell r="E364" t="str">
            <v>1820385100</v>
          </cell>
          <cell r="F364">
            <v>0.88030303030303025</v>
          </cell>
        </row>
        <row r="365">
          <cell r="E365" t="str">
            <v>1820386100</v>
          </cell>
          <cell r="F365">
            <v>0.43003003003003004</v>
          </cell>
        </row>
        <row r="366">
          <cell r="E366" t="str">
            <v>18203910MF</v>
          </cell>
          <cell r="F366">
            <v>4</v>
          </cell>
        </row>
        <row r="367">
          <cell r="E367" t="str">
            <v>1820412100</v>
          </cell>
          <cell r="F367">
            <v>0.6701754385964912</v>
          </cell>
        </row>
        <row r="368">
          <cell r="E368" t="str">
            <v>1820433R00</v>
          </cell>
          <cell r="F368">
            <v>26.395833333333332</v>
          </cell>
        </row>
        <row r="369">
          <cell r="E369" t="str">
            <v>1820438100</v>
          </cell>
          <cell r="F369">
            <v>1.33</v>
          </cell>
        </row>
        <row r="370">
          <cell r="E370" t="str">
            <v>1820456R0G</v>
          </cell>
          <cell r="F370">
            <v>20.310104529616726</v>
          </cell>
        </row>
        <row r="371">
          <cell r="E371" t="str">
            <v>1820478R00</v>
          </cell>
          <cell r="F371">
            <v>23.78</v>
          </cell>
        </row>
        <row r="372">
          <cell r="E372" t="str">
            <v>1820497100</v>
          </cell>
          <cell r="F372">
            <v>0.79</v>
          </cell>
        </row>
        <row r="373">
          <cell r="E373" t="str">
            <v>1820509R00</v>
          </cell>
          <cell r="F373">
            <v>27.322222222222223</v>
          </cell>
        </row>
        <row r="374">
          <cell r="E374" t="str">
            <v>1820510R00</v>
          </cell>
          <cell r="F374">
            <v>26.972222222222221</v>
          </cell>
        </row>
        <row r="375">
          <cell r="E375" t="str">
            <v>1820514R00</v>
          </cell>
          <cell r="F375">
            <v>44.374149659863946</v>
          </cell>
        </row>
        <row r="376">
          <cell r="E376" t="str">
            <v>1820518R00</v>
          </cell>
          <cell r="F376">
            <v>40.259740259740262</v>
          </cell>
        </row>
        <row r="377">
          <cell r="E377" t="str">
            <v>1820524100</v>
          </cell>
          <cell r="F377">
            <v>1.8125</v>
          </cell>
        </row>
        <row r="378">
          <cell r="E378" t="str">
            <v>1820525100</v>
          </cell>
          <cell r="F378">
            <v>1.8107843137254902</v>
          </cell>
        </row>
        <row r="379">
          <cell r="E379" t="str">
            <v>1820567R00</v>
          </cell>
          <cell r="F379">
            <v>32.020000000000003</v>
          </cell>
        </row>
        <row r="380">
          <cell r="E380" t="str">
            <v>1820597R00</v>
          </cell>
          <cell r="F380">
            <v>20.92</v>
          </cell>
        </row>
        <row r="381">
          <cell r="E381" t="str">
            <v>1820601R00</v>
          </cell>
          <cell r="F381">
            <v>30.02</v>
          </cell>
        </row>
        <row r="382">
          <cell r="E382" t="str">
            <v>1820605R00</v>
          </cell>
          <cell r="F382">
            <v>31.5</v>
          </cell>
        </row>
        <row r="383">
          <cell r="E383" t="str">
            <v>1820627T00</v>
          </cell>
          <cell r="F383">
            <v>63.015873015873019</v>
          </cell>
        </row>
        <row r="384">
          <cell r="E384" t="str">
            <v>1820632T00</v>
          </cell>
          <cell r="F384">
            <v>17.549295774647888</v>
          </cell>
        </row>
        <row r="385">
          <cell r="E385" t="str">
            <v>1820649100</v>
          </cell>
          <cell r="F385">
            <v>3.3504398826979473</v>
          </cell>
        </row>
        <row r="386">
          <cell r="E386" t="str">
            <v>1820664R00</v>
          </cell>
          <cell r="F386">
            <v>116.10526315789474</v>
          </cell>
        </row>
        <row r="387">
          <cell r="E387" t="str">
            <v>1820696100</v>
          </cell>
          <cell r="F387">
            <v>8.74</v>
          </cell>
        </row>
        <row r="388">
          <cell r="E388" t="str">
            <v>1820702100</v>
          </cell>
          <cell r="F388">
            <v>3.81</v>
          </cell>
        </row>
        <row r="389">
          <cell r="E389" t="str">
            <v>18207191J0</v>
          </cell>
          <cell r="F389">
            <v>0.52917771883289122</v>
          </cell>
        </row>
        <row r="390">
          <cell r="E390" t="str">
            <v>1820727R00</v>
          </cell>
          <cell r="F390">
            <v>0</v>
          </cell>
        </row>
        <row r="391">
          <cell r="E391" t="str">
            <v>1820741R00</v>
          </cell>
          <cell r="F391">
            <v>27.83050847457627</v>
          </cell>
        </row>
        <row r="392">
          <cell r="E392" t="str">
            <v>1820741T00</v>
          </cell>
          <cell r="F392">
            <v>27.827160493827162</v>
          </cell>
        </row>
        <row r="393">
          <cell r="E393" t="str">
            <v>1820744T00</v>
          </cell>
          <cell r="F393">
            <v>29.555555555555557</v>
          </cell>
        </row>
        <row r="394">
          <cell r="E394" t="str">
            <v>1820760T00</v>
          </cell>
          <cell r="F394">
            <v>7.8833333333333337</v>
          </cell>
        </row>
        <row r="395">
          <cell r="E395" t="str">
            <v>1820762R00</v>
          </cell>
          <cell r="F395">
            <v>105.43333333333334</v>
          </cell>
        </row>
        <row r="396">
          <cell r="E396" t="str">
            <v>1820778T00</v>
          </cell>
          <cell r="F396">
            <v>29.454545454545453</v>
          </cell>
        </row>
        <row r="397">
          <cell r="E397" t="str">
            <v>1820790R00</v>
          </cell>
          <cell r="F397">
            <v>108.86</v>
          </cell>
        </row>
        <row r="398">
          <cell r="E398" t="str">
            <v>1820793C00</v>
          </cell>
          <cell r="F398">
            <v>17.290909090909089</v>
          </cell>
        </row>
        <row r="399">
          <cell r="E399" t="str">
            <v>1820793T00</v>
          </cell>
          <cell r="F399">
            <v>17.290909090909089</v>
          </cell>
        </row>
        <row r="400">
          <cell r="E400" t="str">
            <v>1820810R00</v>
          </cell>
          <cell r="F400">
            <v>116.2463768115942</v>
          </cell>
        </row>
        <row r="401">
          <cell r="E401" t="str">
            <v>1820822T00</v>
          </cell>
          <cell r="F401">
            <v>17.440000000000001</v>
          </cell>
        </row>
        <row r="402">
          <cell r="E402" t="str">
            <v>1820834R00</v>
          </cell>
          <cell r="F402">
            <v>47.914893617021278</v>
          </cell>
        </row>
        <row r="403">
          <cell r="E403" t="str">
            <v>1820851R00</v>
          </cell>
          <cell r="F403">
            <v>14.576470588235294</v>
          </cell>
        </row>
        <row r="404">
          <cell r="E404" t="str">
            <v>1820854R00</v>
          </cell>
          <cell r="F404">
            <v>34.770000000000003</v>
          </cell>
        </row>
        <row r="405">
          <cell r="E405" t="str">
            <v>1820863R00</v>
          </cell>
          <cell r="F405">
            <v>29.66</v>
          </cell>
        </row>
        <row r="406">
          <cell r="E406" t="str">
            <v>1820863T00</v>
          </cell>
          <cell r="F406">
            <v>29.66</v>
          </cell>
        </row>
        <row r="407">
          <cell r="E407" t="str">
            <v>1820866R00</v>
          </cell>
          <cell r="F407">
            <v>28.919254658385093</v>
          </cell>
        </row>
        <row r="408">
          <cell r="E408" t="str">
            <v>1820870C00</v>
          </cell>
          <cell r="F408">
            <v>134.61224489795919</v>
          </cell>
        </row>
        <row r="409">
          <cell r="E409" t="str">
            <v>1820887100</v>
          </cell>
          <cell r="F409">
            <v>1.1583333333333334</v>
          </cell>
        </row>
        <row r="410">
          <cell r="E410" t="str">
            <v>18208930MF</v>
          </cell>
          <cell r="F410">
            <v>0.78</v>
          </cell>
        </row>
        <row r="411">
          <cell r="E411" t="str">
            <v>1820897T00</v>
          </cell>
          <cell r="F411">
            <v>46.567999999999998</v>
          </cell>
        </row>
        <row r="412">
          <cell r="E412" t="str">
            <v>1820913T00</v>
          </cell>
          <cell r="F412">
            <v>30.956521739130434</v>
          </cell>
        </row>
        <row r="413">
          <cell r="E413" t="str">
            <v>1820919R00</v>
          </cell>
          <cell r="F413">
            <v>95.5</v>
          </cell>
        </row>
        <row r="414">
          <cell r="E414" t="str">
            <v>1820952R00</v>
          </cell>
          <cell r="F414">
            <v>29.68</v>
          </cell>
        </row>
        <row r="415">
          <cell r="E415" t="str">
            <v>1820997R00</v>
          </cell>
          <cell r="F415">
            <v>39.49</v>
          </cell>
        </row>
        <row r="416">
          <cell r="E416" t="str">
            <v>1820997T00</v>
          </cell>
          <cell r="F416">
            <v>39.49</v>
          </cell>
        </row>
        <row r="417">
          <cell r="E417" t="str">
            <v>1821021100</v>
          </cell>
          <cell r="F417">
            <v>15.370833333333334</v>
          </cell>
        </row>
        <row r="418">
          <cell r="E418" t="str">
            <v>1821033R00</v>
          </cell>
          <cell r="F418">
            <v>31.369565217391305</v>
          </cell>
        </row>
        <row r="419">
          <cell r="E419" t="str">
            <v>1821034R00</v>
          </cell>
          <cell r="F419">
            <v>31.375</v>
          </cell>
        </row>
        <row r="420">
          <cell r="E420" t="str">
            <v>1821051R00</v>
          </cell>
          <cell r="F420">
            <v>22.727272727272727</v>
          </cell>
        </row>
        <row r="421">
          <cell r="E421" t="str">
            <v>1821060R00</v>
          </cell>
          <cell r="F421">
            <v>21.696969696969695</v>
          </cell>
        </row>
        <row r="422">
          <cell r="E422" t="str">
            <v>1821060T00</v>
          </cell>
          <cell r="F422">
            <v>21.696969696969695</v>
          </cell>
        </row>
        <row r="423">
          <cell r="E423" t="str">
            <v>1821073R00</v>
          </cell>
          <cell r="F423">
            <v>24.4</v>
          </cell>
        </row>
        <row r="424">
          <cell r="E424" t="str">
            <v>1821089R00</v>
          </cell>
          <cell r="F424">
            <v>27.48936170212766</v>
          </cell>
        </row>
        <row r="425">
          <cell r="E425" t="str">
            <v>1821091T00</v>
          </cell>
          <cell r="F425">
            <v>31.350877192982455</v>
          </cell>
        </row>
        <row r="426">
          <cell r="E426" t="str">
            <v>1821104R00</v>
          </cell>
          <cell r="F426">
            <v>29.555555555555557</v>
          </cell>
        </row>
        <row r="427">
          <cell r="E427" t="str">
            <v>1821105R00</v>
          </cell>
          <cell r="F427">
            <v>11.421875</v>
          </cell>
        </row>
        <row r="428">
          <cell r="E428" t="str">
            <v>1821126R00</v>
          </cell>
          <cell r="F428">
            <v>21.5</v>
          </cell>
        </row>
        <row r="429">
          <cell r="E429" t="str">
            <v>1821137R00</v>
          </cell>
          <cell r="F429">
            <v>126.46875</v>
          </cell>
        </row>
        <row r="430">
          <cell r="E430" t="str">
            <v>1821150100</v>
          </cell>
          <cell r="F430">
            <v>0.56000000000000005</v>
          </cell>
        </row>
        <row r="431">
          <cell r="E431" t="str">
            <v>1821227R00</v>
          </cell>
          <cell r="F431">
            <v>8.4010695187165769</v>
          </cell>
        </row>
        <row r="432">
          <cell r="E432" t="str">
            <v>1821229R00</v>
          </cell>
          <cell r="F432">
            <v>8.4090909090909083</v>
          </cell>
        </row>
        <row r="433">
          <cell r="E433" t="str">
            <v>1821233T00</v>
          </cell>
          <cell r="F433">
            <v>24.485714285714284</v>
          </cell>
        </row>
        <row r="434">
          <cell r="E434" t="str">
            <v>1821287R00</v>
          </cell>
          <cell r="F434">
            <v>158.81481481481481</v>
          </cell>
        </row>
        <row r="435">
          <cell r="E435" t="str">
            <v>1821295C00</v>
          </cell>
          <cell r="F435">
            <v>134.32</v>
          </cell>
        </row>
        <row r="436">
          <cell r="E436" t="str">
            <v>1821311T00</v>
          </cell>
          <cell r="F436">
            <v>38.523809523809526</v>
          </cell>
        </row>
        <row r="437">
          <cell r="E437" t="str">
            <v>1821348T00</v>
          </cell>
          <cell r="F437">
            <v>49.508474576271183</v>
          </cell>
        </row>
        <row r="438">
          <cell r="E438" t="str">
            <v>1821352C00</v>
          </cell>
          <cell r="F438">
            <v>140.16666666666666</v>
          </cell>
        </row>
        <row r="439">
          <cell r="E439" t="str">
            <v>1821353100</v>
          </cell>
          <cell r="F439">
            <v>24.472727272727273</v>
          </cell>
        </row>
        <row r="440">
          <cell r="E440" t="str">
            <v>1821353T00</v>
          </cell>
          <cell r="F440">
            <v>24.16</v>
          </cell>
        </row>
        <row r="441">
          <cell r="E441" t="str">
            <v>18213610MF</v>
          </cell>
          <cell r="F441">
            <v>13</v>
          </cell>
        </row>
        <row r="442">
          <cell r="E442" t="str">
            <v>1821365T00</v>
          </cell>
          <cell r="F442">
            <v>64.708333333333329</v>
          </cell>
        </row>
        <row r="443">
          <cell r="E443" t="str">
            <v>18213700MF</v>
          </cell>
          <cell r="F443">
            <v>3</v>
          </cell>
        </row>
        <row r="444">
          <cell r="E444" t="str">
            <v>18213710MF</v>
          </cell>
          <cell r="F444">
            <v>1</v>
          </cell>
        </row>
        <row r="445">
          <cell r="E445" t="str">
            <v>18213720MF</v>
          </cell>
          <cell r="F445">
            <v>1</v>
          </cell>
        </row>
        <row r="446">
          <cell r="E446" t="str">
            <v>18213730MF</v>
          </cell>
          <cell r="F446">
            <v>1</v>
          </cell>
        </row>
        <row r="447">
          <cell r="E447" t="str">
            <v>18213740MF</v>
          </cell>
          <cell r="F447">
            <v>0.5</v>
          </cell>
        </row>
        <row r="448">
          <cell r="E448" t="str">
            <v>18213780MF</v>
          </cell>
          <cell r="F448">
            <v>1.5</v>
          </cell>
        </row>
        <row r="449">
          <cell r="E449" t="str">
            <v>18213790MF</v>
          </cell>
          <cell r="F449">
            <v>0.5</v>
          </cell>
        </row>
        <row r="450">
          <cell r="E450" t="str">
            <v>1821388C00</v>
          </cell>
          <cell r="F450">
            <v>153.46666666666667</v>
          </cell>
        </row>
        <row r="451">
          <cell r="E451" t="str">
            <v>1821388T00</v>
          </cell>
          <cell r="F451">
            <v>140.46666666666667</v>
          </cell>
        </row>
        <row r="452">
          <cell r="E452" t="str">
            <v>1821418R00</v>
          </cell>
          <cell r="F452">
            <v>135.37383177570092</v>
          </cell>
        </row>
        <row r="453">
          <cell r="E453" t="str">
            <v>1821418T00</v>
          </cell>
          <cell r="F453">
            <v>135.36111111111111</v>
          </cell>
        </row>
        <row r="454">
          <cell r="E454" t="str">
            <v>1821424100</v>
          </cell>
          <cell r="F454">
            <v>2.4404761904761907</v>
          </cell>
        </row>
        <row r="455">
          <cell r="E455" t="str">
            <v>1821428100</v>
          </cell>
          <cell r="F455">
            <v>1.4414285714285715</v>
          </cell>
        </row>
        <row r="456">
          <cell r="E456" t="str">
            <v>1821429100</v>
          </cell>
          <cell r="F456">
            <v>2.4404761904761907</v>
          </cell>
        </row>
        <row r="457">
          <cell r="E457" t="str">
            <v>1821434R00</v>
          </cell>
          <cell r="F457">
            <v>70.078947368421055</v>
          </cell>
        </row>
        <row r="458">
          <cell r="E458" t="str">
            <v>1821452R00</v>
          </cell>
          <cell r="F458">
            <v>24.87037037037037</v>
          </cell>
        </row>
        <row r="459">
          <cell r="E459" t="str">
            <v>1821452T00</v>
          </cell>
          <cell r="F459">
            <v>24.872222222222224</v>
          </cell>
        </row>
        <row r="460">
          <cell r="E460" t="str">
            <v>1821470R00</v>
          </cell>
          <cell r="F460">
            <v>38.375</v>
          </cell>
        </row>
        <row r="461">
          <cell r="E461" t="str">
            <v>1821470T00</v>
          </cell>
          <cell r="F461">
            <v>38.375</v>
          </cell>
        </row>
        <row r="462">
          <cell r="E462" t="str">
            <v>1821475R00</v>
          </cell>
          <cell r="F462">
            <v>149.1090909090909</v>
          </cell>
        </row>
        <row r="463">
          <cell r="E463" t="str">
            <v>1821484R00</v>
          </cell>
          <cell r="F463">
            <v>26.84</v>
          </cell>
        </row>
        <row r="464">
          <cell r="E464" t="str">
            <v>1821484T00</v>
          </cell>
          <cell r="F464">
            <v>26.84</v>
          </cell>
        </row>
        <row r="465">
          <cell r="E465" t="str">
            <v>1821486R00</v>
          </cell>
          <cell r="F465">
            <v>103.125</v>
          </cell>
        </row>
        <row r="466">
          <cell r="E466" t="str">
            <v>1821486T00</v>
          </cell>
          <cell r="F466">
            <v>107.98039215686275</v>
          </cell>
        </row>
        <row r="467">
          <cell r="E467" t="str">
            <v>1821489R70</v>
          </cell>
          <cell r="F467">
            <v>133.19999999999999</v>
          </cell>
        </row>
        <row r="468">
          <cell r="E468" t="str">
            <v>1821503R00</v>
          </cell>
          <cell r="F468">
            <v>29.104166666666668</v>
          </cell>
        </row>
        <row r="469">
          <cell r="E469" t="str">
            <v>1821507100</v>
          </cell>
          <cell r="F469">
            <v>0.4689655172413793</v>
          </cell>
        </row>
        <row r="470">
          <cell r="E470" t="str">
            <v>1821509100</v>
          </cell>
          <cell r="F470">
            <v>3.23</v>
          </cell>
        </row>
        <row r="471">
          <cell r="E471" t="str">
            <v>1821510100</v>
          </cell>
          <cell r="F471">
            <v>0.71</v>
          </cell>
        </row>
        <row r="472">
          <cell r="E472" t="str">
            <v>1821521R00</v>
          </cell>
          <cell r="F472">
            <v>30.12</v>
          </cell>
        </row>
        <row r="473">
          <cell r="E473" t="str">
            <v>18215300MF</v>
          </cell>
          <cell r="F473">
            <v>0.02</v>
          </cell>
        </row>
        <row r="474">
          <cell r="E474" t="str">
            <v>18215301TF</v>
          </cell>
          <cell r="F474">
            <v>3.0864197530864197E-4</v>
          </cell>
        </row>
        <row r="475">
          <cell r="E475" t="str">
            <v>1821562R00</v>
          </cell>
          <cell r="F475">
            <v>97.3</v>
          </cell>
        </row>
        <row r="476">
          <cell r="E476" t="str">
            <v>1821562T00</v>
          </cell>
          <cell r="F476">
            <v>102.06666666666666</v>
          </cell>
        </row>
        <row r="477">
          <cell r="E477" t="str">
            <v>1821565100</v>
          </cell>
          <cell r="F477">
            <v>1.796</v>
          </cell>
        </row>
        <row r="478">
          <cell r="E478" t="str">
            <v>1821566100</v>
          </cell>
          <cell r="F478">
            <v>1.7961538461538462</v>
          </cell>
        </row>
        <row r="479">
          <cell r="E479" t="str">
            <v>1821568100</v>
          </cell>
          <cell r="F479">
            <v>1.3288888888888888</v>
          </cell>
        </row>
        <row r="480">
          <cell r="E480" t="str">
            <v>1821573R00</v>
          </cell>
          <cell r="F480">
            <v>93.716666666666669</v>
          </cell>
        </row>
        <row r="481">
          <cell r="E481" t="str">
            <v>1821573T00</v>
          </cell>
          <cell r="F481">
            <v>98.483333333333334</v>
          </cell>
        </row>
        <row r="482">
          <cell r="E482" t="str">
            <v>1821606R00</v>
          </cell>
          <cell r="F482">
            <v>13.22</v>
          </cell>
        </row>
        <row r="483">
          <cell r="E483" t="str">
            <v>1821612R00</v>
          </cell>
          <cell r="F483">
            <v>36.549999999999997</v>
          </cell>
        </row>
        <row r="484">
          <cell r="E484" t="str">
            <v>1821612T00</v>
          </cell>
          <cell r="F484">
            <v>36.549999999999997</v>
          </cell>
        </row>
        <row r="485">
          <cell r="E485" t="str">
            <v>1821613R00</v>
          </cell>
          <cell r="F485">
            <v>36.475000000000001</v>
          </cell>
        </row>
        <row r="486">
          <cell r="E486" t="str">
            <v>1821613T00</v>
          </cell>
          <cell r="F486">
            <v>36.466666666666669</v>
          </cell>
        </row>
        <row r="487">
          <cell r="E487" t="str">
            <v>1821614R00</v>
          </cell>
          <cell r="F487">
            <v>28.15</v>
          </cell>
        </row>
        <row r="488">
          <cell r="E488" t="str">
            <v>1821614T00</v>
          </cell>
          <cell r="F488">
            <v>28.15</v>
          </cell>
        </row>
        <row r="489">
          <cell r="E489" t="str">
            <v>1821616T00</v>
          </cell>
          <cell r="F489">
            <v>31.3</v>
          </cell>
        </row>
        <row r="490">
          <cell r="E490" t="str">
            <v>1821626R00</v>
          </cell>
          <cell r="F490">
            <v>102.925</v>
          </cell>
        </row>
        <row r="491">
          <cell r="E491" t="str">
            <v>1821645R00</v>
          </cell>
          <cell r="F491">
            <v>17.899999999999999</v>
          </cell>
        </row>
        <row r="492">
          <cell r="E492" t="str">
            <v>1821648R00</v>
          </cell>
          <cell r="F492">
            <v>28.412037037037038</v>
          </cell>
        </row>
        <row r="493">
          <cell r="E493" t="str">
            <v>1821655R00</v>
          </cell>
          <cell r="F493">
            <v>23.479166666666668</v>
          </cell>
        </row>
        <row r="494">
          <cell r="E494" t="str">
            <v>1821655T00</v>
          </cell>
          <cell r="F494">
            <v>23.479166666666668</v>
          </cell>
        </row>
        <row r="495">
          <cell r="E495" t="str">
            <v>1821675R00</v>
          </cell>
          <cell r="F495">
            <v>30.761111111111113</v>
          </cell>
        </row>
        <row r="496">
          <cell r="E496" t="str">
            <v>1821678R00</v>
          </cell>
          <cell r="F496">
            <v>29.290909090909089</v>
          </cell>
        </row>
        <row r="497">
          <cell r="E497" t="str">
            <v>1821679100</v>
          </cell>
          <cell r="F497">
            <v>0.76</v>
          </cell>
        </row>
        <row r="498">
          <cell r="E498" t="str">
            <v>1821683R00</v>
          </cell>
          <cell r="F498">
            <v>26.19</v>
          </cell>
        </row>
        <row r="499">
          <cell r="E499" t="str">
            <v>1821684100</v>
          </cell>
          <cell r="F499">
            <v>1.7381818181818183</v>
          </cell>
        </row>
        <row r="500">
          <cell r="E500" t="str">
            <v>1821686R00</v>
          </cell>
          <cell r="F500">
            <v>157.57499999999999</v>
          </cell>
        </row>
        <row r="501">
          <cell r="E501" t="str">
            <v>1821687R00</v>
          </cell>
          <cell r="F501">
            <v>168.86666666666667</v>
          </cell>
        </row>
        <row r="502">
          <cell r="E502" t="str">
            <v>1821709R00</v>
          </cell>
          <cell r="F502">
            <v>16.970238095238095</v>
          </cell>
        </row>
        <row r="503">
          <cell r="E503" t="str">
            <v>1821709T00</v>
          </cell>
          <cell r="F503">
            <v>16.977272727272727</v>
          </cell>
        </row>
        <row r="504">
          <cell r="E504" t="str">
            <v>1821733120</v>
          </cell>
          <cell r="F504">
            <v>23</v>
          </cell>
        </row>
        <row r="505">
          <cell r="E505" t="str">
            <v>1821744C00</v>
          </cell>
          <cell r="F505">
            <v>23.251396648044693</v>
          </cell>
        </row>
        <row r="506">
          <cell r="E506" t="str">
            <v>1821747T00</v>
          </cell>
          <cell r="F506">
            <v>40.225806451612904</v>
          </cell>
        </row>
        <row r="507">
          <cell r="E507" t="str">
            <v>1821750100</v>
          </cell>
          <cell r="F507">
            <v>0.43002481389578162</v>
          </cell>
        </row>
        <row r="508">
          <cell r="E508" t="str">
            <v>1821751R00</v>
          </cell>
          <cell r="F508">
            <v>9.7333333333333325</v>
          </cell>
        </row>
        <row r="509">
          <cell r="E509" t="str">
            <v>1821754R00</v>
          </cell>
          <cell r="F509">
            <v>49.25</v>
          </cell>
        </row>
        <row r="510">
          <cell r="E510" t="str">
            <v>1821767R00</v>
          </cell>
          <cell r="F510">
            <v>53.85</v>
          </cell>
        </row>
        <row r="511">
          <cell r="E511" t="str">
            <v>1821774R00</v>
          </cell>
          <cell r="F511">
            <v>65.86666666666666</v>
          </cell>
        </row>
        <row r="512">
          <cell r="E512" t="str">
            <v>1821780R00</v>
          </cell>
          <cell r="F512">
            <v>25.758333333333333</v>
          </cell>
        </row>
        <row r="513">
          <cell r="E513" t="str">
            <v>1821780T00</v>
          </cell>
          <cell r="F513">
            <v>25.760416666666668</v>
          </cell>
        </row>
        <row r="514">
          <cell r="E514" t="str">
            <v>1821781R00</v>
          </cell>
          <cell r="F514">
            <v>25.45</v>
          </cell>
        </row>
        <row r="515">
          <cell r="E515" t="str">
            <v>1821781T00</v>
          </cell>
          <cell r="F515">
            <v>25.45</v>
          </cell>
        </row>
        <row r="516">
          <cell r="E516" t="str">
            <v>1821783R00</v>
          </cell>
          <cell r="F516">
            <v>91.211111111111109</v>
          </cell>
        </row>
        <row r="517">
          <cell r="E517" t="str">
            <v>1821783T00</v>
          </cell>
          <cell r="F517">
            <v>91.2</v>
          </cell>
        </row>
        <row r="518">
          <cell r="E518" t="str">
            <v>1821787R00</v>
          </cell>
          <cell r="F518">
            <v>26.245283018867923</v>
          </cell>
        </row>
        <row r="519">
          <cell r="E519" t="str">
            <v>1821787T00</v>
          </cell>
          <cell r="F519">
            <v>26.244444444444444</v>
          </cell>
        </row>
        <row r="520">
          <cell r="E520" t="str">
            <v>1821792100</v>
          </cell>
          <cell r="F520">
            <v>0.88</v>
          </cell>
        </row>
        <row r="521">
          <cell r="E521" t="str">
            <v>1821793100</v>
          </cell>
          <cell r="F521">
            <v>0.78974358974358971</v>
          </cell>
        </row>
        <row r="522">
          <cell r="E522" t="str">
            <v>1821794100</v>
          </cell>
          <cell r="F522">
            <v>0.35966257668711654</v>
          </cell>
        </row>
        <row r="523">
          <cell r="E523" t="str">
            <v>1821795100</v>
          </cell>
          <cell r="F523">
            <v>0.36</v>
          </cell>
        </row>
        <row r="524">
          <cell r="E524" t="str">
            <v>1821797100</v>
          </cell>
          <cell r="F524">
            <v>0.34016064257028111</v>
          </cell>
        </row>
        <row r="525">
          <cell r="E525" t="str">
            <v>1821799T00</v>
          </cell>
          <cell r="F525">
            <v>9.2911392405063289</v>
          </cell>
        </row>
        <row r="526">
          <cell r="E526" t="str">
            <v>1821814R00</v>
          </cell>
          <cell r="F526">
            <v>140.80000000000001</v>
          </cell>
        </row>
        <row r="527">
          <cell r="E527" t="str">
            <v>1821821C00</v>
          </cell>
          <cell r="F527">
            <v>186.47200000000001</v>
          </cell>
        </row>
        <row r="528">
          <cell r="E528" t="str">
            <v>1821844R00</v>
          </cell>
          <cell r="F528">
            <v>29.223404255319149</v>
          </cell>
        </row>
        <row r="529">
          <cell r="E529" t="str">
            <v>1821854R00</v>
          </cell>
          <cell r="F529">
            <v>18.818181818181817</v>
          </cell>
        </row>
        <row r="530">
          <cell r="E530" t="str">
            <v>1821878R00</v>
          </cell>
          <cell r="F530">
            <v>167.94444444444446</v>
          </cell>
        </row>
        <row r="531">
          <cell r="E531" t="str">
            <v>1821885C00</v>
          </cell>
          <cell r="F531">
            <v>161.75862068965517</v>
          </cell>
        </row>
        <row r="532">
          <cell r="E532" t="str">
            <v>1821888C00</v>
          </cell>
          <cell r="F532">
            <v>202.56666666666666</v>
          </cell>
        </row>
        <row r="533">
          <cell r="E533" t="str">
            <v>1821901C00</v>
          </cell>
          <cell r="F533">
            <v>153.93333333333334</v>
          </cell>
        </row>
        <row r="534">
          <cell r="E534" t="str">
            <v>1821901T00</v>
          </cell>
          <cell r="F534">
            <v>153.93333333333334</v>
          </cell>
        </row>
        <row r="535">
          <cell r="E535" t="str">
            <v>1821912R00</v>
          </cell>
          <cell r="F535">
            <v>17.579610538373426</v>
          </cell>
        </row>
        <row r="536">
          <cell r="E536" t="str">
            <v>1821933R00</v>
          </cell>
          <cell r="F536">
            <v>17.504424778761063</v>
          </cell>
        </row>
        <row r="537">
          <cell r="E537" t="str">
            <v>1821939T00</v>
          </cell>
          <cell r="F537">
            <v>47.25</v>
          </cell>
        </row>
        <row r="538">
          <cell r="E538" t="str">
            <v>1821943R00</v>
          </cell>
          <cell r="F538">
            <v>27.013513513513512</v>
          </cell>
        </row>
        <row r="539">
          <cell r="E539" t="str">
            <v>1821948R00</v>
          </cell>
          <cell r="F539">
            <v>28.920152091254753</v>
          </cell>
        </row>
        <row r="540">
          <cell r="E540" t="str">
            <v>1821963R00</v>
          </cell>
          <cell r="F540">
            <v>20.72</v>
          </cell>
        </row>
        <row r="541">
          <cell r="E541" t="str">
            <v>1821964R00</v>
          </cell>
          <cell r="F541">
            <v>24.02</v>
          </cell>
        </row>
        <row r="542">
          <cell r="E542" t="str">
            <v>1821968100</v>
          </cell>
          <cell r="F542">
            <v>1.0770355923939541</v>
          </cell>
        </row>
        <row r="543">
          <cell r="E543" t="str">
            <v>18220010MF</v>
          </cell>
          <cell r="F543">
            <v>0.5</v>
          </cell>
        </row>
        <row r="544">
          <cell r="E544" t="str">
            <v>18220030MF</v>
          </cell>
          <cell r="F544">
            <v>0.5</v>
          </cell>
        </row>
        <row r="545">
          <cell r="E545" t="str">
            <v>1822004R00</v>
          </cell>
          <cell r="F545">
            <v>10.838487972508592</v>
          </cell>
        </row>
        <row r="546">
          <cell r="E546" t="str">
            <v>1822007R00</v>
          </cell>
          <cell r="F546">
            <v>31.577777777777779</v>
          </cell>
        </row>
        <row r="547">
          <cell r="E547" t="str">
            <v>1822025200</v>
          </cell>
          <cell r="F547">
            <v>15.083333333333334</v>
          </cell>
        </row>
        <row r="548">
          <cell r="E548" t="str">
            <v>1822025R00</v>
          </cell>
          <cell r="F548">
            <v>16.809374999999999</v>
          </cell>
        </row>
        <row r="549">
          <cell r="E549" t="str">
            <v>1822034200</v>
          </cell>
          <cell r="F549">
            <v>21.84</v>
          </cell>
        </row>
        <row r="550">
          <cell r="E550" t="str">
            <v>1822034R00</v>
          </cell>
          <cell r="F550">
            <v>26.230666666666668</v>
          </cell>
        </row>
        <row r="551">
          <cell r="E551" t="str">
            <v>1822042C00</v>
          </cell>
          <cell r="F551">
            <v>15.574999999999999</v>
          </cell>
        </row>
        <row r="552">
          <cell r="E552" t="str">
            <v>1822042R00</v>
          </cell>
          <cell r="F552">
            <v>15.574999999999999</v>
          </cell>
        </row>
        <row r="553">
          <cell r="E553" t="str">
            <v>1822051170</v>
          </cell>
          <cell r="F553">
            <v>100.53703703703704</v>
          </cell>
        </row>
        <row r="554">
          <cell r="E554" t="str">
            <v>1822051200</v>
          </cell>
          <cell r="F554">
            <v>100.53703703703704</v>
          </cell>
        </row>
        <row r="555">
          <cell r="E555" t="str">
            <v>1822053100</v>
          </cell>
          <cell r="F555">
            <v>2.3430769230769233</v>
          </cell>
        </row>
        <row r="556">
          <cell r="E556" t="str">
            <v>1822054100</v>
          </cell>
          <cell r="F556">
            <v>2.3427083333333334</v>
          </cell>
        </row>
        <row r="557">
          <cell r="E557" t="str">
            <v>1822061R00</v>
          </cell>
          <cell r="F557">
            <v>182.5</v>
          </cell>
        </row>
        <row r="558">
          <cell r="E558" t="str">
            <v>1822066R00</v>
          </cell>
          <cell r="F558">
            <v>182.96666666666667</v>
          </cell>
        </row>
        <row r="559">
          <cell r="E559" t="str">
            <v>1822076T00</v>
          </cell>
          <cell r="F559">
            <v>57.208333333333336</v>
          </cell>
        </row>
        <row r="560">
          <cell r="E560" t="str">
            <v>1822090R00</v>
          </cell>
          <cell r="F560">
            <v>56</v>
          </cell>
        </row>
        <row r="561">
          <cell r="E561" t="str">
            <v>1822096100</v>
          </cell>
          <cell r="F561">
            <v>1.99</v>
          </cell>
        </row>
        <row r="562">
          <cell r="E562" t="str">
            <v>1822103R00</v>
          </cell>
          <cell r="F562">
            <v>44.44</v>
          </cell>
        </row>
        <row r="563">
          <cell r="E563" t="str">
            <v>1822117R00</v>
          </cell>
          <cell r="F563">
            <v>28.5</v>
          </cell>
        </row>
        <row r="564">
          <cell r="E564" t="str">
            <v>1822126100</v>
          </cell>
          <cell r="F564">
            <v>172.66666666666666</v>
          </cell>
        </row>
        <row r="565">
          <cell r="E565" t="str">
            <v>1822126C00</v>
          </cell>
          <cell r="F565">
            <v>167.33333333333334</v>
          </cell>
        </row>
        <row r="566">
          <cell r="E566" t="str">
            <v>1822138R00</v>
          </cell>
          <cell r="F566">
            <v>41.05833333333333</v>
          </cell>
        </row>
        <row r="567">
          <cell r="E567" t="str">
            <v>1822147R00</v>
          </cell>
          <cell r="F567">
            <v>29.523076923076925</v>
          </cell>
        </row>
        <row r="568">
          <cell r="E568" t="str">
            <v>1822151R00</v>
          </cell>
          <cell r="F568">
            <v>159.68333333333334</v>
          </cell>
        </row>
        <row r="569">
          <cell r="E569" t="str">
            <v>1822155R00</v>
          </cell>
          <cell r="F569">
            <v>162.86666666666667</v>
          </cell>
        </row>
        <row r="570">
          <cell r="E570" t="str">
            <v>1822197100</v>
          </cell>
          <cell r="F570">
            <v>66.400000000000006</v>
          </cell>
        </row>
        <row r="571">
          <cell r="E571" t="str">
            <v>1822197R00</v>
          </cell>
          <cell r="F571">
            <v>65.375</v>
          </cell>
        </row>
        <row r="572">
          <cell r="E572" t="str">
            <v>1822246R00</v>
          </cell>
          <cell r="F572">
            <v>26.984615384615385</v>
          </cell>
        </row>
        <row r="573">
          <cell r="E573" t="str">
            <v>1822248R00</v>
          </cell>
          <cell r="F573">
            <v>28.225000000000001</v>
          </cell>
        </row>
        <row r="574">
          <cell r="E574" t="str">
            <v>1822250R0E</v>
          </cell>
          <cell r="F574">
            <v>27.27807486631016</v>
          </cell>
        </row>
        <row r="575">
          <cell r="E575" t="str">
            <v>18222510MF</v>
          </cell>
          <cell r="F575">
            <v>1.6666666666666667</v>
          </cell>
        </row>
        <row r="576">
          <cell r="E576" t="str">
            <v>1822252R00</v>
          </cell>
          <cell r="F576">
            <v>35.159340659340657</v>
          </cell>
        </row>
        <row r="577">
          <cell r="E577" t="str">
            <v>1822283R00</v>
          </cell>
          <cell r="F577">
            <v>22.69</v>
          </cell>
        </row>
        <row r="578">
          <cell r="E578" t="str">
            <v>1822283T00</v>
          </cell>
          <cell r="F578">
            <v>22.69</v>
          </cell>
        </row>
        <row r="579">
          <cell r="E579" t="str">
            <v>1822291R00</v>
          </cell>
          <cell r="F579">
            <v>51.3</v>
          </cell>
        </row>
        <row r="580">
          <cell r="E580" t="str">
            <v>1822312R00</v>
          </cell>
          <cell r="F580">
            <v>21.47994467496542</v>
          </cell>
        </row>
        <row r="581">
          <cell r="E581" t="str">
            <v>1822321T00</v>
          </cell>
          <cell r="F581">
            <v>14.547619047619047</v>
          </cell>
        </row>
        <row r="582">
          <cell r="E582" t="str">
            <v>1822324T00</v>
          </cell>
          <cell r="F582">
            <v>10.951086956521738</v>
          </cell>
        </row>
        <row r="583">
          <cell r="E583" t="str">
            <v>1822335R00</v>
          </cell>
          <cell r="F583">
            <v>32.384615384615387</v>
          </cell>
        </row>
        <row r="584">
          <cell r="E584" t="str">
            <v>1822336R00</v>
          </cell>
          <cell r="F584">
            <v>29.796610169491526</v>
          </cell>
        </row>
        <row r="585">
          <cell r="E585" t="str">
            <v>1822340T00</v>
          </cell>
          <cell r="F585">
            <v>43.135416666666664</v>
          </cell>
        </row>
        <row r="586">
          <cell r="E586" t="str">
            <v>1822352T00</v>
          </cell>
          <cell r="F586">
            <v>55.04</v>
          </cell>
        </row>
        <row r="587">
          <cell r="E587" t="str">
            <v>1822361100</v>
          </cell>
          <cell r="F587">
            <v>18.331666666666667</v>
          </cell>
        </row>
        <row r="588">
          <cell r="E588" t="str">
            <v>1822361R00</v>
          </cell>
          <cell r="F588">
            <v>21.32</v>
          </cell>
        </row>
        <row r="589">
          <cell r="E589" t="str">
            <v>1822372R00</v>
          </cell>
          <cell r="F589">
            <v>32.6875</v>
          </cell>
        </row>
        <row r="590">
          <cell r="E590" t="str">
            <v>1822376R00</v>
          </cell>
          <cell r="F590">
            <v>23.375</v>
          </cell>
        </row>
        <row r="591">
          <cell r="E591" t="str">
            <v>1822386R00</v>
          </cell>
          <cell r="F591">
            <v>61.018691588785046</v>
          </cell>
        </row>
        <row r="592">
          <cell r="E592" t="str">
            <v>1822401C00</v>
          </cell>
          <cell r="F592">
            <v>203.92</v>
          </cell>
        </row>
        <row r="593">
          <cell r="E593" t="str">
            <v>1822404C00</v>
          </cell>
          <cell r="F593">
            <v>214.88888888888889</v>
          </cell>
        </row>
        <row r="594">
          <cell r="E594" t="str">
            <v>1822412R00</v>
          </cell>
          <cell r="F594">
            <v>21.787878787878789</v>
          </cell>
        </row>
        <row r="595">
          <cell r="E595" t="str">
            <v>18224771J0</v>
          </cell>
          <cell r="F595">
            <v>22.178125000000001</v>
          </cell>
        </row>
        <row r="596">
          <cell r="E596" t="str">
            <v>18224890MF</v>
          </cell>
          <cell r="F596">
            <v>0.5</v>
          </cell>
        </row>
        <row r="597">
          <cell r="E597" t="str">
            <v>18224891J0</v>
          </cell>
          <cell r="F597">
            <v>0.50700000000000001</v>
          </cell>
        </row>
        <row r="598">
          <cell r="E598" t="str">
            <v>18224931TF</v>
          </cell>
          <cell r="F598">
            <v>0.41</v>
          </cell>
        </row>
        <row r="599">
          <cell r="E599" t="str">
            <v>1822494R00</v>
          </cell>
          <cell r="F599">
            <v>137.9</v>
          </cell>
        </row>
        <row r="600">
          <cell r="E600" t="str">
            <v>1822496R00</v>
          </cell>
          <cell r="F600">
            <v>54.05</v>
          </cell>
        </row>
        <row r="601">
          <cell r="E601" t="str">
            <v>1822502R00</v>
          </cell>
          <cell r="F601">
            <v>30.22</v>
          </cell>
        </row>
        <row r="602">
          <cell r="E602" t="str">
            <v>1822504100</v>
          </cell>
          <cell r="F602">
            <v>0.47945205479452052</v>
          </cell>
        </row>
        <row r="603">
          <cell r="E603" t="str">
            <v>1822507R00</v>
          </cell>
          <cell r="F603">
            <v>20.641666666666666</v>
          </cell>
        </row>
        <row r="604">
          <cell r="E604" t="str">
            <v>1822513R00</v>
          </cell>
          <cell r="F604">
            <v>33.479999999999997</v>
          </cell>
        </row>
        <row r="605">
          <cell r="E605" t="str">
            <v>18225142J0</v>
          </cell>
          <cell r="F605">
            <v>0</v>
          </cell>
        </row>
        <row r="606">
          <cell r="E606" t="str">
            <v>1822517100</v>
          </cell>
          <cell r="F606">
            <v>81.45</v>
          </cell>
        </row>
        <row r="607">
          <cell r="E607" t="str">
            <v>1822520R00</v>
          </cell>
          <cell r="F607">
            <v>87.433333333333337</v>
          </cell>
        </row>
        <row r="608">
          <cell r="E608" t="str">
            <v>1822522R00</v>
          </cell>
          <cell r="F608">
            <v>34.880000000000003</v>
          </cell>
        </row>
        <row r="609">
          <cell r="E609" t="str">
            <v>1822551C00</v>
          </cell>
          <cell r="F609">
            <v>17.705882352941178</v>
          </cell>
        </row>
        <row r="610">
          <cell r="E610" t="str">
            <v>1822552R00</v>
          </cell>
          <cell r="F610">
            <v>21.395061728395063</v>
          </cell>
        </row>
        <row r="611">
          <cell r="E611" t="str">
            <v>1822594100</v>
          </cell>
          <cell r="F611">
            <v>2.3759999999999999</v>
          </cell>
        </row>
        <row r="612">
          <cell r="E612" t="str">
            <v>1822595100</v>
          </cell>
          <cell r="F612">
            <v>2.375</v>
          </cell>
        </row>
        <row r="613">
          <cell r="E613" t="str">
            <v>1822599R00</v>
          </cell>
          <cell r="F613">
            <v>35.314814814814817</v>
          </cell>
        </row>
        <row r="614">
          <cell r="E614" t="str">
            <v>1822599T00</v>
          </cell>
          <cell r="F614">
            <v>35.309090909090912</v>
          </cell>
        </row>
        <row r="615">
          <cell r="E615" t="str">
            <v>1822622R00</v>
          </cell>
          <cell r="F615">
            <v>26.4375</v>
          </cell>
        </row>
        <row r="616">
          <cell r="E616" t="str">
            <v>1822623R00</v>
          </cell>
          <cell r="F616">
            <v>26.65625</v>
          </cell>
        </row>
        <row r="617">
          <cell r="E617" t="str">
            <v>1822626R00</v>
          </cell>
          <cell r="F617">
            <v>21.78125</v>
          </cell>
        </row>
        <row r="618">
          <cell r="E618" t="str">
            <v>1822631R00</v>
          </cell>
          <cell r="F618">
            <v>8.2624999999999993</v>
          </cell>
        </row>
        <row r="619">
          <cell r="E619" t="str">
            <v>1822633R00</v>
          </cell>
          <cell r="F619">
            <v>17.651105651105652</v>
          </cell>
        </row>
        <row r="620">
          <cell r="E620" t="str">
            <v>1822639R00</v>
          </cell>
          <cell r="F620">
            <v>23.1</v>
          </cell>
        </row>
        <row r="621">
          <cell r="E621" t="str">
            <v>1822642R00</v>
          </cell>
          <cell r="F621">
            <v>24.341666666666665</v>
          </cell>
        </row>
        <row r="622">
          <cell r="E622" t="str">
            <v>1822644R00</v>
          </cell>
          <cell r="F622">
            <v>26.3</v>
          </cell>
        </row>
        <row r="623">
          <cell r="E623" t="str">
            <v>1822647R00</v>
          </cell>
          <cell r="F623">
            <v>27</v>
          </cell>
        </row>
        <row r="624">
          <cell r="E624" t="str">
            <v>1822652R00</v>
          </cell>
          <cell r="F624">
            <v>19.891666666666666</v>
          </cell>
        </row>
        <row r="625">
          <cell r="E625" t="str">
            <v>1822655R00</v>
          </cell>
          <cell r="F625">
            <v>19.886363636363637</v>
          </cell>
        </row>
        <row r="626">
          <cell r="E626" t="str">
            <v>1822665C00</v>
          </cell>
          <cell r="F626">
            <v>131.25555555555556</v>
          </cell>
        </row>
        <row r="627">
          <cell r="E627" t="str">
            <v>18226760MF</v>
          </cell>
          <cell r="F627">
            <v>8.3333333333333329E-2</v>
          </cell>
        </row>
        <row r="628">
          <cell r="E628" t="str">
            <v>18226761TF</v>
          </cell>
          <cell r="F628">
            <v>0.03</v>
          </cell>
        </row>
        <row r="629">
          <cell r="E629" t="str">
            <v>18226770MF</v>
          </cell>
          <cell r="F629">
            <v>0.16666666666666666</v>
          </cell>
        </row>
        <row r="630">
          <cell r="E630" t="str">
            <v>18226771TF</v>
          </cell>
          <cell r="F630">
            <v>7.0000000000000007E-2</v>
          </cell>
        </row>
        <row r="631">
          <cell r="E631" t="str">
            <v>1822693R00</v>
          </cell>
          <cell r="F631">
            <v>81.96</v>
          </cell>
        </row>
        <row r="632">
          <cell r="E632" t="str">
            <v>1822693T00</v>
          </cell>
          <cell r="F632">
            <v>81.972222222222229</v>
          </cell>
        </row>
        <row r="633">
          <cell r="E633" t="str">
            <v>1822720R00</v>
          </cell>
          <cell r="F633">
            <v>197.32499999999999</v>
          </cell>
        </row>
        <row r="634">
          <cell r="E634" t="str">
            <v>1822720T00</v>
          </cell>
          <cell r="F634">
            <v>197.32499999999999</v>
          </cell>
        </row>
        <row r="635">
          <cell r="E635" t="str">
            <v>1822729R00</v>
          </cell>
          <cell r="F635">
            <v>290</v>
          </cell>
        </row>
        <row r="636">
          <cell r="E636" t="str">
            <v>1822730R00</v>
          </cell>
          <cell r="F636">
            <v>152.05714285714285</v>
          </cell>
        </row>
        <row r="637">
          <cell r="E637" t="str">
            <v>1822740100</v>
          </cell>
          <cell r="F637">
            <v>0.21</v>
          </cell>
        </row>
        <row r="638">
          <cell r="E638" t="str">
            <v>1822748R00</v>
          </cell>
          <cell r="F638">
            <v>166.78807947019868</v>
          </cell>
        </row>
        <row r="639">
          <cell r="E639" t="str">
            <v>1822779T00</v>
          </cell>
          <cell r="F639">
            <v>35.233333333333334</v>
          </cell>
        </row>
        <row r="640">
          <cell r="E640" t="str">
            <v>1822784R00</v>
          </cell>
          <cell r="F640">
            <v>18.53</v>
          </cell>
        </row>
        <row r="641">
          <cell r="E641" t="str">
            <v>1822787R00</v>
          </cell>
          <cell r="F641">
            <v>20.045454545454547</v>
          </cell>
        </row>
        <row r="642">
          <cell r="E642" t="str">
            <v>1822810R00</v>
          </cell>
          <cell r="F642">
            <v>150.51968503937007</v>
          </cell>
        </row>
        <row r="643">
          <cell r="E643" t="str">
            <v>1822837R00</v>
          </cell>
          <cell r="F643">
            <v>23.44</v>
          </cell>
        </row>
        <row r="644">
          <cell r="E644" t="str">
            <v>1822838R00</v>
          </cell>
          <cell r="F644">
            <v>21</v>
          </cell>
        </row>
        <row r="645">
          <cell r="E645" t="str">
            <v>1822847C00</v>
          </cell>
          <cell r="F645">
            <v>28.05</v>
          </cell>
        </row>
        <row r="646">
          <cell r="E646" t="str">
            <v>1822850R00</v>
          </cell>
          <cell r="F646">
            <v>151.97499999999999</v>
          </cell>
        </row>
        <row r="647">
          <cell r="E647" t="str">
            <v>1822850T00</v>
          </cell>
          <cell r="F647">
            <v>151.97499999999999</v>
          </cell>
        </row>
        <row r="648">
          <cell r="E648" t="str">
            <v>18228550NF</v>
          </cell>
          <cell r="F648">
            <v>13.84</v>
          </cell>
        </row>
        <row r="649">
          <cell r="E649" t="str">
            <v>1822857R00</v>
          </cell>
          <cell r="F649">
            <v>27.857142857142858</v>
          </cell>
        </row>
        <row r="650">
          <cell r="E650" t="str">
            <v>1822857T00</v>
          </cell>
          <cell r="F650">
            <v>27.857142857142858</v>
          </cell>
        </row>
        <row r="651">
          <cell r="E651" t="str">
            <v>18228720MF</v>
          </cell>
          <cell r="F651">
            <v>0.25</v>
          </cell>
        </row>
        <row r="652">
          <cell r="E652" t="str">
            <v>1822887100</v>
          </cell>
          <cell r="F652">
            <v>21</v>
          </cell>
        </row>
        <row r="653">
          <cell r="E653" t="str">
            <v>1822891100</v>
          </cell>
          <cell r="F653">
            <v>0.45</v>
          </cell>
        </row>
        <row r="654">
          <cell r="E654" t="str">
            <v>1822903R00</v>
          </cell>
          <cell r="F654">
            <v>31.933333333333334</v>
          </cell>
        </row>
        <row r="655">
          <cell r="E655" t="str">
            <v>1822917R00</v>
          </cell>
          <cell r="F655">
            <v>34.609523809523807</v>
          </cell>
        </row>
        <row r="656">
          <cell r="E656" t="str">
            <v>1822917T00</v>
          </cell>
          <cell r="F656">
            <v>34.61904761904762</v>
          </cell>
        </row>
        <row r="657">
          <cell r="E657" t="str">
            <v>1822921T0B</v>
          </cell>
          <cell r="F657">
            <v>21.870192307692307</v>
          </cell>
        </row>
        <row r="658">
          <cell r="E658" t="str">
            <v>1822923T0B</v>
          </cell>
          <cell r="F658">
            <v>22.190374331550803</v>
          </cell>
        </row>
        <row r="659">
          <cell r="E659" t="str">
            <v>1822926R00</v>
          </cell>
          <cell r="F659">
            <v>22.419047619047618</v>
          </cell>
        </row>
        <row r="660">
          <cell r="E660" t="str">
            <v>1822933R00</v>
          </cell>
          <cell r="F660">
            <v>31.3</v>
          </cell>
        </row>
        <row r="661">
          <cell r="E661" t="str">
            <v>1822933T00</v>
          </cell>
          <cell r="F661">
            <v>31.3</v>
          </cell>
        </row>
        <row r="662">
          <cell r="E662" t="str">
            <v>1822937100</v>
          </cell>
          <cell r="F662">
            <v>5.32</v>
          </cell>
        </row>
        <row r="663">
          <cell r="E663" t="str">
            <v>1822937R00</v>
          </cell>
          <cell r="F663">
            <v>5.4535087719298243</v>
          </cell>
        </row>
        <row r="664">
          <cell r="E664" t="str">
            <v>1822939T00</v>
          </cell>
          <cell r="F664">
            <v>15.78888888888889</v>
          </cell>
        </row>
        <row r="665">
          <cell r="E665" t="str">
            <v>1822966R00</v>
          </cell>
          <cell r="F665">
            <v>156.35</v>
          </cell>
        </row>
        <row r="666">
          <cell r="E666" t="str">
            <v>1822966T00</v>
          </cell>
          <cell r="F666">
            <v>162.44999999999999</v>
          </cell>
        </row>
        <row r="667">
          <cell r="E667" t="str">
            <v>1822967R00</v>
          </cell>
          <cell r="F667">
            <v>173.57499999999999</v>
          </cell>
        </row>
        <row r="668">
          <cell r="E668" t="str">
            <v>1822967T00</v>
          </cell>
          <cell r="F668">
            <v>190.625</v>
          </cell>
        </row>
        <row r="669">
          <cell r="E669" t="str">
            <v>182297220A</v>
          </cell>
          <cell r="F669">
            <v>13.009756097560976</v>
          </cell>
        </row>
        <row r="670">
          <cell r="E670" t="str">
            <v>1822972C00</v>
          </cell>
          <cell r="F670">
            <v>15.357142857142858</v>
          </cell>
        </row>
        <row r="671">
          <cell r="E671" t="str">
            <v>1822972R00</v>
          </cell>
          <cell r="F671">
            <v>15.361702127659575</v>
          </cell>
        </row>
        <row r="672">
          <cell r="E672" t="str">
            <v>1822973R0A</v>
          </cell>
          <cell r="F672">
            <v>21.799819657348962</v>
          </cell>
        </row>
        <row r="673">
          <cell r="E673" t="str">
            <v>1822990200</v>
          </cell>
          <cell r="F673">
            <v>34.65</v>
          </cell>
        </row>
        <row r="674">
          <cell r="E674" t="str">
            <v>1822990R00</v>
          </cell>
          <cell r="F674">
            <v>44.22</v>
          </cell>
        </row>
        <row r="675">
          <cell r="E675" t="str">
            <v>1822991100</v>
          </cell>
          <cell r="F675">
            <v>5.9320000000000004</v>
          </cell>
        </row>
        <row r="676">
          <cell r="E676" t="str">
            <v>1823067R00</v>
          </cell>
          <cell r="F676">
            <v>70.862499999999997</v>
          </cell>
        </row>
        <row r="677">
          <cell r="E677" t="str">
            <v>18230720NF</v>
          </cell>
          <cell r="F677">
            <v>0.43</v>
          </cell>
        </row>
        <row r="678">
          <cell r="E678" t="str">
            <v>18230780NF</v>
          </cell>
          <cell r="F678">
            <v>3.3</v>
          </cell>
        </row>
        <row r="679">
          <cell r="E679" t="str">
            <v>18230800NF</v>
          </cell>
          <cell r="F679">
            <v>1.1200000000000001</v>
          </cell>
        </row>
        <row r="680">
          <cell r="E680" t="str">
            <v>18230800VF</v>
          </cell>
          <cell r="F680">
            <v>1.21</v>
          </cell>
        </row>
        <row r="681">
          <cell r="E681" t="str">
            <v>18230810NF</v>
          </cell>
          <cell r="F681">
            <v>1.1200000000000001</v>
          </cell>
        </row>
        <row r="682">
          <cell r="E682" t="str">
            <v>18230810VF</v>
          </cell>
          <cell r="F682">
            <v>1.21</v>
          </cell>
        </row>
        <row r="683">
          <cell r="E683" t="str">
            <v>18230820NF</v>
          </cell>
          <cell r="F683">
            <v>0.49</v>
          </cell>
        </row>
        <row r="684">
          <cell r="E684" t="str">
            <v>18230840NF</v>
          </cell>
          <cell r="F684">
            <v>12.1</v>
          </cell>
        </row>
        <row r="685">
          <cell r="E685" t="str">
            <v>18230901J0</v>
          </cell>
          <cell r="F685">
            <v>0.50697991147429344</v>
          </cell>
        </row>
        <row r="686">
          <cell r="E686" t="str">
            <v>18230911J0</v>
          </cell>
          <cell r="F686">
            <v>0.47971014492753622</v>
          </cell>
        </row>
        <row r="687">
          <cell r="E687" t="str">
            <v>18230931J0</v>
          </cell>
          <cell r="F687">
            <v>0.58679245283018866</v>
          </cell>
        </row>
        <row r="688">
          <cell r="E688" t="str">
            <v>1823118T00</v>
          </cell>
          <cell r="F688">
            <v>69.959999999999994</v>
          </cell>
        </row>
        <row r="689">
          <cell r="E689" t="str">
            <v>1823152100</v>
          </cell>
          <cell r="F689">
            <v>0.54513888888888884</v>
          </cell>
        </row>
        <row r="690">
          <cell r="E690" t="str">
            <v>1823153100</v>
          </cell>
          <cell r="F690">
            <v>0.52888888888888885</v>
          </cell>
        </row>
        <row r="691">
          <cell r="E691" t="str">
            <v>1823155100</v>
          </cell>
          <cell r="F691">
            <v>0.64808652246256238</v>
          </cell>
        </row>
        <row r="692">
          <cell r="E692" t="str">
            <v>1823175100</v>
          </cell>
          <cell r="F692">
            <v>41.708333333333336</v>
          </cell>
        </row>
        <row r="693">
          <cell r="E693" t="str">
            <v>1823175T00</v>
          </cell>
          <cell r="F693">
            <v>54.196428571428569</v>
          </cell>
        </row>
        <row r="694">
          <cell r="E694" t="str">
            <v>1823204T00</v>
          </cell>
          <cell r="F694">
            <v>107.01333333333334</v>
          </cell>
        </row>
        <row r="695">
          <cell r="E695" t="str">
            <v>1823209200</v>
          </cell>
          <cell r="F695">
            <v>13.29</v>
          </cell>
        </row>
        <row r="696">
          <cell r="E696" t="str">
            <v>1823209R00</v>
          </cell>
          <cell r="F696">
            <v>16.981249999999999</v>
          </cell>
        </row>
        <row r="697">
          <cell r="E697" t="str">
            <v>1823209T00</v>
          </cell>
          <cell r="F697">
            <v>16.975000000000001</v>
          </cell>
        </row>
        <row r="698">
          <cell r="E698" t="str">
            <v>1823226R00</v>
          </cell>
          <cell r="F698">
            <v>27.1</v>
          </cell>
        </row>
        <row r="699">
          <cell r="E699" t="str">
            <v>1823226T00</v>
          </cell>
          <cell r="F699">
            <v>27.1</v>
          </cell>
        </row>
        <row r="700">
          <cell r="E700" t="str">
            <v>1823249R0A</v>
          </cell>
          <cell r="F700">
            <v>24.250724637681159</v>
          </cell>
        </row>
        <row r="701">
          <cell r="E701" t="str">
            <v>1823255100</v>
          </cell>
          <cell r="F701">
            <v>16.5</v>
          </cell>
        </row>
        <row r="702">
          <cell r="E702" t="str">
            <v>1823260R00</v>
          </cell>
          <cell r="F702">
            <v>42.268749999999997</v>
          </cell>
        </row>
        <row r="703">
          <cell r="E703" t="str">
            <v>1823260T00</v>
          </cell>
          <cell r="F703">
            <v>42.274999999999999</v>
          </cell>
        </row>
        <row r="704">
          <cell r="E704" t="str">
            <v>1823263T00</v>
          </cell>
          <cell r="F704">
            <v>65.291666666666671</v>
          </cell>
        </row>
        <row r="705">
          <cell r="E705" t="str">
            <v>18232640MF</v>
          </cell>
          <cell r="F705">
            <v>80</v>
          </cell>
        </row>
        <row r="706">
          <cell r="E706" t="str">
            <v>1823264100</v>
          </cell>
          <cell r="F706">
            <v>23.906403940886701</v>
          </cell>
        </row>
        <row r="707">
          <cell r="E707" t="str">
            <v>18232650MF</v>
          </cell>
          <cell r="F707">
            <v>0.5</v>
          </cell>
        </row>
        <row r="708">
          <cell r="E708" t="str">
            <v>1823272100</v>
          </cell>
          <cell r="F708">
            <v>0.2840267077555213</v>
          </cell>
        </row>
        <row r="709">
          <cell r="E709" t="str">
            <v>1823279R00</v>
          </cell>
          <cell r="F709">
            <v>32.142857142857146</v>
          </cell>
        </row>
        <row r="710">
          <cell r="E710" t="str">
            <v>1823366100</v>
          </cell>
          <cell r="F710">
            <v>12.566666666666666</v>
          </cell>
        </row>
        <row r="711">
          <cell r="E711" t="str">
            <v>1823393R00</v>
          </cell>
          <cell r="F711">
            <v>18.279166666666665</v>
          </cell>
        </row>
        <row r="712">
          <cell r="E712" t="str">
            <v>1823406R00</v>
          </cell>
          <cell r="F712">
            <v>48.533333333333331</v>
          </cell>
        </row>
        <row r="713">
          <cell r="E713" t="str">
            <v>1823409R00</v>
          </cell>
          <cell r="F713">
            <v>54.225806451612904</v>
          </cell>
        </row>
        <row r="714">
          <cell r="E714" t="str">
            <v>1823427R00</v>
          </cell>
          <cell r="F714">
            <v>441.64</v>
          </cell>
        </row>
        <row r="715">
          <cell r="E715" t="str">
            <v>1823429R00</v>
          </cell>
          <cell r="F715">
            <v>22.416666666666668</v>
          </cell>
        </row>
        <row r="716">
          <cell r="E716" t="str">
            <v>1823432R00</v>
          </cell>
          <cell r="F716">
            <v>32.61904761904762</v>
          </cell>
        </row>
        <row r="717">
          <cell r="E717" t="str">
            <v>1823432T00</v>
          </cell>
          <cell r="F717">
            <v>32.61904761904762</v>
          </cell>
        </row>
        <row r="718">
          <cell r="E718" t="str">
            <v>1823435200</v>
          </cell>
          <cell r="F718">
            <v>36.357142857142854</v>
          </cell>
        </row>
        <row r="719">
          <cell r="E719" t="str">
            <v>1823441100</v>
          </cell>
          <cell r="F719">
            <v>21.816666666666666</v>
          </cell>
        </row>
        <row r="720">
          <cell r="E720" t="str">
            <v>1823441R00</v>
          </cell>
          <cell r="F720">
            <v>22.750188111361926</v>
          </cell>
        </row>
        <row r="721">
          <cell r="E721" t="str">
            <v>1823446R00</v>
          </cell>
          <cell r="F721">
            <v>34.619999999999997</v>
          </cell>
        </row>
        <row r="722">
          <cell r="E722" t="str">
            <v>1823461R00</v>
          </cell>
          <cell r="F722">
            <v>31.2</v>
          </cell>
        </row>
        <row r="723">
          <cell r="E723" t="str">
            <v>1823462R00</v>
          </cell>
          <cell r="F723">
            <v>32.866666666666667</v>
          </cell>
        </row>
        <row r="724">
          <cell r="E724" t="str">
            <v>1823470R00</v>
          </cell>
          <cell r="F724">
            <v>37.331578947368421</v>
          </cell>
        </row>
        <row r="725">
          <cell r="E725" t="str">
            <v>1823473R00</v>
          </cell>
          <cell r="F725">
            <v>65.722222222222229</v>
          </cell>
        </row>
        <row r="726">
          <cell r="E726" t="str">
            <v>1823476T00</v>
          </cell>
          <cell r="F726">
            <v>36.950000000000003</v>
          </cell>
        </row>
        <row r="727">
          <cell r="E727" t="str">
            <v>1823484R00</v>
          </cell>
          <cell r="F727">
            <v>188.34285714285716</v>
          </cell>
        </row>
        <row r="728">
          <cell r="E728" t="str">
            <v>1823486R00</v>
          </cell>
          <cell r="F728">
            <v>78.586538461538467</v>
          </cell>
        </row>
        <row r="729">
          <cell r="E729" t="str">
            <v>182350810B</v>
          </cell>
          <cell r="F729">
            <v>24.71</v>
          </cell>
        </row>
        <row r="730">
          <cell r="E730" t="str">
            <v>1823508T0B</v>
          </cell>
          <cell r="F730">
            <v>33.4</v>
          </cell>
        </row>
        <row r="731">
          <cell r="E731" t="str">
            <v>18235230NF</v>
          </cell>
          <cell r="F731">
            <v>0.24</v>
          </cell>
        </row>
        <row r="732">
          <cell r="E732" t="str">
            <v>1823589R00</v>
          </cell>
          <cell r="F732">
            <v>26.057142857142857</v>
          </cell>
        </row>
        <row r="733">
          <cell r="E733" t="str">
            <v>1823600100</v>
          </cell>
          <cell r="F733">
            <v>0.47826086956521741</v>
          </cell>
        </row>
        <row r="734">
          <cell r="E734" t="str">
            <v>1823601100</v>
          </cell>
          <cell r="F734">
            <v>1.3534136546184738</v>
          </cell>
        </row>
        <row r="735">
          <cell r="E735" t="str">
            <v>1823602100</v>
          </cell>
          <cell r="F735">
            <v>1.0598639455782313</v>
          </cell>
        </row>
        <row r="736">
          <cell r="E736" t="str">
            <v>1823603T00</v>
          </cell>
          <cell r="F736">
            <v>28.866666666666667</v>
          </cell>
        </row>
        <row r="737">
          <cell r="E737" t="str">
            <v>1823615R00</v>
          </cell>
          <cell r="F737">
            <v>77.59375</v>
          </cell>
        </row>
        <row r="738">
          <cell r="E738" t="str">
            <v>1823628R00</v>
          </cell>
          <cell r="F738">
            <v>77.977272727272734</v>
          </cell>
        </row>
        <row r="739">
          <cell r="E739" t="str">
            <v>1823635R00</v>
          </cell>
          <cell r="F739">
            <v>76.260869565217391</v>
          </cell>
        </row>
        <row r="740">
          <cell r="E740" t="str">
            <v>1823641R00</v>
          </cell>
          <cell r="F740">
            <v>21.875</v>
          </cell>
        </row>
        <row r="741">
          <cell r="E741" t="str">
            <v>1823644R00</v>
          </cell>
          <cell r="F741">
            <v>21.549107142857142</v>
          </cell>
        </row>
        <row r="742">
          <cell r="E742" t="str">
            <v>1823662100</v>
          </cell>
          <cell r="F742">
            <v>1.5508196721311476</v>
          </cell>
        </row>
        <row r="743">
          <cell r="E743" t="str">
            <v>1823663100</v>
          </cell>
          <cell r="F743">
            <v>1.1888888888888889</v>
          </cell>
        </row>
        <row r="744">
          <cell r="E744" t="str">
            <v>1823670T00</v>
          </cell>
          <cell r="F744">
            <v>78.444444444444443</v>
          </cell>
        </row>
        <row r="745">
          <cell r="E745" t="str">
            <v>1823680100</v>
          </cell>
          <cell r="F745">
            <v>2.11</v>
          </cell>
        </row>
        <row r="746">
          <cell r="E746" t="str">
            <v>1823681100</v>
          </cell>
          <cell r="F746">
            <v>0.99</v>
          </cell>
        </row>
        <row r="747">
          <cell r="E747" t="str">
            <v>1823684100</v>
          </cell>
          <cell r="F747">
            <v>0.96</v>
          </cell>
        </row>
        <row r="748">
          <cell r="E748" t="str">
            <v>1823685100</v>
          </cell>
          <cell r="F748">
            <v>1.1505791505791505</v>
          </cell>
        </row>
        <row r="749">
          <cell r="E749" t="str">
            <v>1823688100</v>
          </cell>
          <cell r="F749">
            <v>1.540983606557377</v>
          </cell>
        </row>
        <row r="750">
          <cell r="E750" t="str">
            <v>1823717100</v>
          </cell>
          <cell r="F750">
            <v>21.45</v>
          </cell>
        </row>
        <row r="751">
          <cell r="E751" t="str">
            <v>1823717S00</v>
          </cell>
          <cell r="F751">
            <v>25.470588235294116</v>
          </cell>
        </row>
        <row r="752">
          <cell r="E752" t="str">
            <v>1823719R00</v>
          </cell>
          <cell r="F752">
            <v>23.959615384615386</v>
          </cell>
        </row>
        <row r="753">
          <cell r="E753" t="str">
            <v>1823721S00</v>
          </cell>
          <cell r="F753">
            <v>35.59375</v>
          </cell>
        </row>
        <row r="754">
          <cell r="E754" t="str">
            <v>1823728C00</v>
          </cell>
          <cell r="F754">
            <v>159.75862068965517</v>
          </cell>
        </row>
        <row r="755">
          <cell r="E755" t="str">
            <v>1823733R00</v>
          </cell>
          <cell r="F755">
            <v>19.02</v>
          </cell>
        </row>
        <row r="756">
          <cell r="E756" t="str">
            <v>1823735R00</v>
          </cell>
          <cell r="F756">
            <v>22.02</v>
          </cell>
        </row>
        <row r="757">
          <cell r="E757" t="str">
            <v>1823737R00</v>
          </cell>
          <cell r="F757">
            <v>20.85</v>
          </cell>
        </row>
        <row r="758">
          <cell r="E758" t="str">
            <v>1823750R0B</v>
          </cell>
          <cell r="F758">
            <v>31.148936170212767</v>
          </cell>
        </row>
        <row r="759">
          <cell r="E759" t="str">
            <v>1823755R00</v>
          </cell>
          <cell r="F759">
            <v>26.619517543859651</v>
          </cell>
        </row>
        <row r="760">
          <cell r="E760" t="str">
            <v>1823755T00</v>
          </cell>
          <cell r="F760">
            <v>26.62037037037037</v>
          </cell>
        </row>
        <row r="761">
          <cell r="E761" t="str">
            <v>18237580PF</v>
          </cell>
          <cell r="F761">
            <v>0.63</v>
          </cell>
        </row>
        <row r="762">
          <cell r="E762" t="str">
            <v>18237651J0</v>
          </cell>
          <cell r="F762">
            <v>0.57625000000000004</v>
          </cell>
        </row>
        <row r="763">
          <cell r="E763" t="str">
            <v>18237731J0</v>
          </cell>
          <cell r="F763">
            <v>0.36989247311827955</v>
          </cell>
        </row>
        <row r="764">
          <cell r="E764" t="str">
            <v>1823776100</v>
          </cell>
          <cell r="F764">
            <v>0.37</v>
          </cell>
        </row>
        <row r="765">
          <cell r="E765" t="str">
            <v>1823792R00</v>
          </cell>
          <cell r="F765">
            <v>23.095238095238095</v>
          </cell>
        </row>
        <row r="766">
          <cell r="E766" t="str">
            <v>1823792T00</v>
          </cell>
          <cell r="F766">
            <v>23.095238095238095</v>
          </cell>
        </row>
        <row r="767">
          <cell r="E767" t="str">
            <v>18237961J0</v>
          </cell>
          <cell r="F767">
            <v>0.18496732026143792</v>
          </cell>
        </row>
        <row r="768">
          <cell r="E768" t="str">
            <v>18237971J0</v>
          </cell>
          <cell r="F768">
            <v>0.43812499999999999</v>
          </cell>
        </row>
        <row r="769">
          <cell r="E769" t="str">
            <v>18237981J0</v>
          </cell>
          <cell r="F769">
            <v>0.4375</v>
          </cell>
        </row>
        <row r="770">
          <cell r="E770" t="str">
            <v>1823801100</v>
          </cell>
          <cell r="F770">
            <v>0.58838383838383834</v>
          </cell>
        </row>
        <row r="771">
          <cell r="E771" t="str">
            <v>1823802100</v>
          </cell>
          <cell r="F771">
            <v>0.6241860465116279</v>
          </cell>
        </row>
        <row r="772">
          <cell r="E772" t="str">
            <v>18238041J0</v>
          </cell>
          <cell r="F772">
            <v>0.185</v>
          </cell>
        </row>
        <row r="773">
          <cell r="E773" t="str">
            <v>18238061J0</v>
          </cell>
          <cell r="F773">
            <v>0.185</v>
          </cell>
        </row>
        <row r="774">
          <cell r="E774" t="str">
            <v>1823814R00</v>
          </cell>
          <cell r="F774">
            <v>23.133333333333333</v>
          </cell>
        </row>
        <row r="775">
          <cell r="E775" t="str">
            <v>1823814T00</v>
          </cell>
          <cell r="F775">
            <v>23.133333333333333</v>
          </cell>
        </row>
        <row r="776">
          <cell r="E776" t="str">
            <v>18238191J0</v>
          </cell>
          <cell r="F776">
            <v>0.42</v>
          </cell>
        </row>
        <row r="777">
          <cell r="E777" t="str">
            <v>1823827100</v>
          </cell>
          <cell r="F777">
            <v>0.19</v>
          </cell>
        </row>
        <row r="778">
          <cell r="E778" t="str">
            <v>1823830100</v>
          </cell>
          <cell r="F778">
            <v>0.19</v>
          </cell>
        </row>
        <row r="779">
          <cell r="E779" t="str">
            <v>18238751J0</v>
          </cell>
          <cell r="F779">
            <v>131.84848484848484</v>
          </cell>
        </row>
        <row r="780">
          <cell r="E780" t="str">
            <v>18238760MF</v>
          </cell>
          <cell r="F780">
            <v>3</v>
          </cell>
        </row>
        <row r="781">
          <cell r="E781" t="str">
            <v>1823876100</v>
          </cell>
          <cell r="F781">
            <v>0.94</v>
          </cell>
        </row>
        <row r="782">
          <cell r="E782" t="str">
            <v>1823912R00</v>
          </cell>
          <cell r="F782">
            <v>80.07083333333334</v>
          </cell>
        </row>
        <row r="783">
          <cell r="E783" t="str">
            <v>1823912T00</v>
          </cell>
          <cell r="F783">
            <v>80.066666666666663</v>
          </cell>
        </row>
        <row r="784">
          <cell r="E784" t="str">
            <v>1823917S00</v>
          </cell>
          <cell r="F784">
            <v>155.16666666666666</v>
          </cell>
        </row>
        <row r="785">
          <cell r="E785" t="str">
            <v>18239791TF</v>
          </cell>
          <cell r="F785">
            <v>0.54004524886877825</v>
          </cell>
        </row>
        <row r="786">
          <cell r="E786" t="str">
            <v>1824015T00</v>
          </cell>
          <cell r="F786">
            <v>171.05</v>
          </cell>
        </row>
        <row r="787">
          <cell r="E787" t="str">
            <v>1824056100</v>
          </cell>
          <cell r="F787">
            <v>74.03125</v>
          </cell>
        </row>
        <row r="788">
          <cell r="E788" t="str">
            <v>1824056R00</v>
          </cell>
          <cell r="F788">
            <v>90.722891566265062</v>
          </cell>
        </row>
        <row r="789">
          <cell r="E789" t="str">
            <v>1824061R00</v>
          </cell>
          <cell r="F789">
            <v>87.766666666666666</v>
          </cell>
        </row>
        <row r="790">
          <cell r="E790" t="str">
            <v>1824063C00</v>
          </cell>
          <cell r="F790">
            <v>16.59</v>
          </cell>
        </row>
        <row r="791">
          <cell r="E791" t="str">
            <v>1824065C00</v>
          </cell>
          <cell r="F791">
            <v>17.574999999999999</v>
          </cell>
        </row>
        <row r="792">
          <cell r="E792" t="str">
            <v>1824065T00</v>
          </cell>
          <cell r="F792">
            <v>17.625</v>
          </cell>
        </row>
        <row r="793">
          <cell r="E793" t="str">
            <v>1824084R00</v>
          </cell>
          <cell r="F793">
            <v>87.571428571428569</v>
          </cell>
        </row>
        <row r="794">
          <cell r="E794" t="str">
            <v>1824084T00</v>
          </cell>
          <cell r="F794">
            <v>87.571428571428569</v>
          </cell>
        </row>
        <row r="795">
          <cell r="E795" t="str">
            <v>1824095C0A</v>
          </cell>
          <cell r="F795">
            <v>26.92</v>
          </cell>
        </row>
        <row r="796">
          <cell r="E796" t="str">
            <v>1824098R00</v>
          </cell>
          <cell r="F796">
            <v>30.155555555555555</v>
          </cell>
        </row>
        <row r="797">
          <cell r="E797" t="str">
            <v>1824105R00</v>
          </cell>
          <cell r="F797">
            <v>37.799999999999997</v>
          </cell>
        </row>
        <row r="798">
          <cell r="E798" t="str">
            <v>18241170MF</v>
          </cell>
          <cell r="F798">
            <v>5.666666666666667</v>
          </cell>
        </row>
        <row r="799">
          <cell r="E799" t="str">
            <v>18241300NF</v>
          </cell>
          <cell r="F799">
            <v>0.62</v>
          </cell>
        </row>
        <row r="800">
          <cell r="E800" t="str">
            <v>18241300VF</v>
          </cell>
          <cell r="F800">
            <v>0.87</v>
          </cell>
        </row>
        <row r="801">
          <cell r="E801" t="str">
            <v>18241301TF</v>
          </cell>
          <cell r="F801">
            <v>1.01</v>
          </cell>
        </row>
        <row r="802">
          <cell r="E802" t="str">
            <v>18241350NF</v>
          </cell>
          <cell r="F802">
            <v>3.97</v>
          </cell>
        </row>
        <row r="803">
          <cell r="E803" t="str">
            <v>1824163C00</v>
          </cell>
          <cell r="F803">
            <v>277.76666666666665</v>
          </cell>
        </row>
        <row r="804">
          <cell r="E804" t="str">
            <v>1824163T00</v>
          </cell>
          <cell r="F804">
            <v>277.76666666666665</v>
          </cell>
        </row>
        <row r="805">
          <cell r="E805" t="str">
            <v>1824178R00</v>
          </cell>
          <cell r="F805">
            <v>65.301587301587304</v>
          </cell>
        </row>
        <row r="806">
          <cell r="E806" t="str">
            <v>1824198S00</v>
          </cell>
          <cell r="F806">
            <v>154.93333333333334</v>
          </cell>
        </row>
        <row r="807">
          <cell r="E807" t="str">
            <v>1824264R00</v>
          </cell>
          <cell r="F807">
            <v>49.5</v>
          </cell>
        </row>
        <row r="808">
          <cell r="E808" t="str">
            <v>1824270100</v>
          </cell>
          <cell r="F808">
            <v>1.5649999999999999</v>
          </cell>
        </row>
        <row r="809">
          <cell r="E809" t="str">
            <v>1824271100</v>
          </cell>
          <cell r="F809">
            <v>1.5649999999999999</v>
          </cell>
        </row>
        <row r="810">
          <cell r="E810" t="str">
            <v>1824276100</v>
          </cell>
          <cell r="F810">
            <v>13.183333333333334</v>
          </cell>
        </row>
        <row r="811">
          <cell r="E811" t="str">
            <v>1824276R00</v>
          </cell>
          <cell r="F811">
            <v>13.65</v>
          </cell>
        </row>
        <row r="812">
          <cell r="E812" t="str">
            <v>18242781TF</v>
          </cell>
          <cell r="F812">
            <v>0.19111111111111112</v>
          </cell>
        </row>
        <row r="813">
          <cell r="E813" t="str">
            <v>18242791TF</v>
          </cell>
          <cell r="F813">
            <v>0.19111111111111112</v>
          </cell>
        </row>
        <row r="814">
          <cell r="E814" t="str">
            <v>18242801TF</v>
          </cell>
          <cell r="F814">
            <v>0.61</v>
          </cell>
        </row>
        <row r="815">
          <cell r="E815" t="str">
            <v>18242821TF</v>
          </cell>
          <cell r="F815">
            <v>1.88</v>
          </cell>
        </row>
        <row r="816">
          <cell r="E816" t="str">
            <v>18242831TF</v>
          </cell>
          <cell r="F816">
            <v>2.4</v>
          </cell>
        </row>
        <row r="817">
          <cell r="E817" t="str">
            <v>18242851TF</v>
          </cell>
          <cell r="F817">
            <v>0.32</v>
          </cell>
        </row>
        <row r="818">
          <cell r="E818" t="str">
            <v>18242861TF</v>
          </cell>
          <cell r="F818">
            <v>0.88</v>
          </cell>
        </row>
        <row r="819">
          <cell r="E819" t="str">
            <v>18242871TF</v>
          </cell>
          <cell r="F819">
            <v>1.0392523364485982</v>
          </cell>
        </row>
        <row r="820">
          <cell r="E820" t="str">
            <v>18243000PF</v>
          </cell>
          <cell r="F820">
            <v>0.89</v>
          </cell>
        </row>
        <row r="821">
          <cell r="E821" t="str">
            <v>18243501TF</v>
          </cell>
          <cell r="F821">
            <v>0.2</v>
          </cell>
        </row>
        <row r="822">
          <cell r="E822" t="str">
            <v>18243511TF</v>
          </cell>
          <cell r="F822">
            <v>0.2</v>
          </cell>
        </row>
        <row r="823">
          <cell r="E823" t="str">
            <v>18243521TF</v>
          </cell>
          <cell r="F823">
            <v>2.12</v>
          </cell>
        </row>
        <row r="824">
          <cell r="E824" t="str">
            <v>18243551TF</v>
          </cell>
          <cell r="F824">
            <v>0.54</v>
          </cell>
        </row>
        <row r="825">
          <cell r="E825" t="str">
            <v>18243561TF</v>
          </cell>
          <cell r="F825">
            <v>0.38</v>
          </cell>
        </row>
        <row r="826">
          <cell r="E826" t="str">
            <v>18243571TF</v>
          </cell>
          <cell r="F826">
            <v>0.37931034482758619</v>
          </cell>
        </row>
        <row r="827">
          <cell r="E827" t="str">
            <v>18243581TF</v>
          </cell>
          <cell r="F827">
            <v>1.34</v>
          </cell>
        </row>
        <row r="828">
          <cell r="E828" t="str">
            <v>18243591TF</v>
          </cell>
          <cell r="F828">
            <v>1.0206185567010309</v>
          </cell>
        </row>
        <row r="829">
          <cell r="E829" t="str">
            <v>18243601TF</v>
          </cell>
          <cell r="F829">
            <v>1.06</v>
          </cell>
        </row>
        <row r="830">
          <cell r="E830" t="str">
            <v>1824413100</v>
          </cell>
          <cell r="F830">
            <v>68.179203539823007</v>
          </cell>
        </row>
        <row r="831">
          <cell r="E831" t="str">
            <v>1824414300</v>
          </cell>
          <cell r="F831">
            <v>109.25</v>
          </cell>
        </row>
        <row r="832">
          <cell r="E832" t="str">
            <v>18244401TF</v>
          </cell>
          <cell r="F832">
            <v>0.38055555555555554</v>
          </cell>
        </row>
        <row r="833">
          <cell r="E833" t="str">
            <v>18244621J0</v>
          </cell>
          <cell r="F833">
            <v>0.53997655334114891</v>
          </cell>
        </row>
        <row r="834">
          <cell r="E834" t="str">
            <v>18244631J0</v>
          </cell>
          <cell r="F834">
            <v>0.27200000000000002</v>
          </cell>
        </row>
        <row r="835">
          <cell r="E835" t="str">
            <v>1824464100</v>
          </cell>
          <cell r="F835">
            <v>0.70019801980198015</v>
          </cell>
        </row>
        <row r="836">
          <cell r="E836" t="str">
            <v>1824465100</v>
          </cell>
          <cell r="F836">
            <v>0.7</v>
          </cell>
        </row>
        <row r="837">
          <cell r="E837" t="str">
            <v>18244991J0</v>
          </cell>
          <cell r="F837">
            <v>0.625</v>
          </cell>
        </row>
        <row r="838">
          <cell r="E838" t="str">
            <v>18245011J0</v>
          </cell>
          <cell r="F838">
            <v>0.41</v>
          </cell>
        </row>
        <row r="839">
          <cell r="E839" t="str">
            <v>1824521C00</v>
          </cell>
          <cell r="F839">
            <v>114.15</v>
          </cell>
        </row>
        <row r="840">
          <cell r="E840" t="str">
            <v>1824584R00</v>
          </cell>
          <cell r="F840">
            <v>1.6</v>
          </cell>
        </row>
        <row r="841">
          <cell r="E841" t="str">
            <v>1824593R70</v>
          </cell>
          <cell r="F841">
            <v>1.5118644067796609</v>
          </cell>
        </row>
        <row r="842">
          <cell r="E842" t="str">
            <v>1824642R00</v>
          </cell>
          <cell r="F842">
            <v>38.822222222222223</v>
          </cell>
        </row>
        <row r="843">
          <cell r="E843" t="str">
            <v>1824656R0A</v>
          </cell>
          <cell r="F843">
            <v>19.090702947845806</v>
          </cell>
        </row>
        <row r="844">
          <cell r="E844" t="str">
            <v>1824713R00</v>
          </cell>
          <cell r="F844">
            <v>21.138461538461538</v>
          </cell>
        </row>
        <row r="845">
          <cell r="E845" t="str">
            <v>1824749100</v>
          </cell>
          <cell r="F845">
            <v>41.247159090909093</v>
          </cell>
        </row>
        <row r="846">
          <cell r="E846" t="str">
            <v>1824788100</v>
          </cell>
          <cell r="F846">
            <v>2.2999999999999998</v>
          </cell>
        </row>
        <row r="847">
          <cell r="E847" t="str">
            <v>1824789100</v>
          </cell>
          <cell r="F847">
            <v>2.2999999999999998</v>
          </cell>
        </row>
        <row r="848">
          <cell r="E848" t="str">
            <v>1824792C00</v>
          </cell>
          <cell r="F848">
            <v>111.7</v>
          </cell>
        </row>
        <row r="849">
          <cell r="E849" t="str">
            <v>1824794100</v>
          </cell>
          <cell r="F849">
            <v>0.67638888888888893</v>
          </cell>
        </row>
        <row r="850">
          <cell r="E850" t="str">
            <v>1824795100</v>
          </cell>
          <cell r="F850">
            <v>0.56451612903225812</v>
          </cell>
        </row>
        <row r="851">
          <cell r="E851" t="str">
            <v>18248061OR</v>
          </cell>
          <cell r="F851">
            <v>19.399999999999999</v>
          </cell>
        </row>
        <row r="852">
          <cell r="E852" t="str">
            <v>1824806ROR</v>
          </cell>
          <cell r="F852">
            <v>21.809722222222224</v>
          </cell>
        </row>
        <row r="853">
          <cell r="E853" t="str">
            <v>1824819R00</v>
          </cell>
          <cell r="F853">
            <v>17.689795918367349</v>
          </cell>
        </row>
        <row r="854">
          <cell r="E854" t="str">
            <v>18248221OR</v>
          </cell>
          <cell r="F854">
            <v>22.65</v>
          </cell>
        </row>
        <row r="855">
          <cell r="E855" t="str">
            <v>1824822ROR</v>
          </cell>
          <cell r="F855">
            <v>23.779776674937967</v>
          </cell>
        </row>
        <row r="856">
          <cell r="E856" t="str">
            <v>18248520NF</v>
          </cell>
          <cell r="F856">
            <v>0.22</v>
          </cell>
        </row>
        <row r="857">
          <cell r="E857" t="str">
            <v>18248521TF</v>
          </cell>
          <cell r="F857">
            <v>0.22</v>
          </cell>
        </row>
        <row r="858">
          <cell r="E858" t="str">
            <v>18248530NF</v>
          </cell>
          <cell r="F858">
            <v>0.56999999999999995</v>
          </cell>
        </row>
        <row r="859">
          <cell r="E859" t="str">
            <v>18248531J0</v>
          </cell>
          <cell r="F859">
            <v>0.40687499999999999</v>
          </cell>
        </row>
        <row r="860">
          <cell r="E860" t="str">
            <v>18248541J0</v>
          </cell>
          <cell r="F860">
            <v>0.309</v>
          </cell>
        </row>
        <row r="861">
          <cell r="E861" t="str">
            <v>18248550NF</v>
          </cell>
          <cell r="F861">
            <v>0.82</v>
          </cell>
        </row>
        <row r="862">
          <cell r="E862" t="str">
            <v>18248551TF</v>
          </cell>
          <cell r="F862">
            <v>0.82</v>
          </cell>
        </row>
        <row r="863">
          <cell r="E863" t="str">
            <v>1824864R00</v>
          </cell>
          <cell r="F863">
            <v>11.975</v>
          </cell>
        </row>
        <row r="864">
          <cell r="E864" t="str">
            <v>1824865R00</v>
          </cell>
          <cell r="F864">
            <v>10.06</v>
          </cell>
        </row>
        <row r="865">
          <cell r="E865" t="str">
            <v>18248781J0</v>
          </cell>
          <cell r="F865">
            <v>0.60416666666666663</v>
          </cell>
        </row>
        <row r="866">
          <cell r="E866" t="str">
            <v>18248810NF</v>
          </cell>
          <cell r="F866">
            <v>0.53058823529411769</v>
          </cell>
        </row>
        <row r="867">
          <cell r="E867" t="str">
            <v>18248811J0</v>
          </cell>
          <cell r="F867">
            <v>0.60375000000000001</v>
          </cell>
        </row>
        <row r="868">
          <cell r="E868" t="str">
            <v>18248811TF</v>
          </cell>
          <cell r="F868">
            <v>0.53</v>
          </cell>
        </row>
        <row r="869">
          <cell r="E869" t="str">
            <v>18248851TF</v>
          </cell>
          <cell r="F869">
            <v>3.14</v>
          </cell>
        </row>
        <row r="870">
          <cell r="E870" t="str">
            <v>18248860NF</v>
          </cell>
          <cell r="F870">
            <v>1.0914285714285714</v>
          </cell>
        </row>
        <row r="871">
          <cell r="E871" t="str">
            <v>18248861J0</v>
          </cell>
          <cell r="F871">
            <v>0.69399999999999995</v>
          </cell>
        </row>
        <row r="872">
          <cell r="E872" t="str">
            <v>1824899R00</v>
          </cell>
          <cell r="F872">
            <v>3.25</v>
          </cell>
        </row>
        <row r="873">
          <cell r="E873" t="str">
            <v>1824900R00</v>
          </cell>
          <cell r="F873">
            <v>51.539682539682538</v>
          </cell>
        </row>
        <row r="874">
          <cell r="E874" t="str">
            <v>1824926100</v>
          </cell>
          <cell r="F874">
            <v>0.26</v>
          </cell>
        </row>
        <row r="875">
          <cell r="E875" t="str">
            <v>1824931R00</v>
          </cell>
          <cell r="F875">
            <v>16.066666666666666</v>
          </cell>
        </row>
        <row r="876">
          <cell r="E876" t="str">
            <v>1824940R00</v>
          </cell>
          <cell r="F876">
            <v>29.457142857142856</v>
          </cell>
        </row>
        <row r="877">
          <cell r="E877" t="str">
            <v>1824955R00</v>
          </cell>
          <cell r="F877">
            <v>145.51190476190476</v>
          </cell>
        </row>
        <row r="878">
          <cell r="E878" t="str">
            <v>1824955T00</v>
          </cell>
          <cell r="F878">
            <v>139.96428571428572</v>
          </cell>
        </row>
        <row r="879">
          <cell r="E879" t="str">
            <v>1825398100</v>
          </cell>
          <cell r="F879">
            <v>2.879344786256492</v>
          </cell>
        </row>
        <row r="880">
          <cell r="E880" t="str">
            <v>1825401100</v>
          </cell>
          <cell r="F880">
            <v>2.2996289424860854</v>
          </cell>
        </row>
        <row r="881">
          <cell r="E881" t="str">
            <v>18257250NF</v>
          </cell>
          <cell r="F881">
            <v>17.266666666666666</v>
          </cell>
        </row>
        <row r="882">
          <cell r="E882" t="str">
            <v>18257250VF</v>
          </cell>
          <cell r="F882">
            <v>13.809640522875817</v>
          </cell>
        </row>
        <row r="883">
          <cell r="E883" t="str">
            <v>1827050R00</v>
          </cell>
          <cell r="F883">
            <v>76.088888888888889</v>
          </cell>
        </row>
        <row r="884">
          <cell r="E884" t="str">
            <v>1827050T00</v>
          </cell>
          <cell r="F884">
            <v>76.083333333333329</v>
          </cell>
        </row>
        <row r="885">
          <cell r="E885" t="str">
            <v>18270661J0</v>
          </cell>
          <cell r="F885">
            <v>0.57597069597069595</v>
          </cell>
        </row>
        <row r="886">
          <cell r="E886" t="str">
            <v>18270681J0</v>
          </cell>
          <cell r="F886">
            <v>0.6380368098159509</v>
          </cell>
        </row>
        <row r="887">
          <cell r="E887" t="str">
            <v>1827076100</v>
          </cell>
          <cell r="F887">
            <v>95.083333333333329</v>
          </cell>
        </row>
        <row r="888">
          <cell r="E888" t="str">
            <v>1827076R00</v>
          </cell>
          <cell r="F888">
            <v>90.898305084745758</v>
          </cell>
        </row>
        <row r="889">
          <cell r="E889" t="str">
            <v>18270781J0</v>
          </cell>
          <cell r="F889">
            <v>0.92416666666666669</v>
          </cell>
        </row>
        <row r="890">
          <cell r="E890" t="str">
            <v>18270970PF</v>
          </cell>
          <cell r="F890">
            <v>0.56999999999999995</v>
          </cell>
        </row>
        <row r="891">
          <cell r="E891" t="str">
            <v>18270980PF</v>
          </cell>
          <cell r="F891">
            <v>0.98</v>
          </cell>
        </row>
        <row r="892">
          <cell r="E892" t="str">
            <v>1827120R00</v>
          </cell>
          <cell r="F892">
            <v>20.68</v>
          </cell>
        </row>
        <row r="893">
          <cell r="E893" t="str">
            <v>18271221J0</v>
          </cell>
          <cell r="F893">
            <v>0.25700000000000001</v>
          </cell>
        </row>
        <row r="894">
          <cell r="E894" t="str">
            <v>1827144R00</v>
          </cell>
          <cell r="F894">
            <v>17.25</v>
          </cell>
        </row>
        <row r="895">
          <cell r="E895" t="str">
            <v>1827147R00</v>
          </cell>
          <cell r="F895">
            <v>23.88</v>
          </cell>
        </row>
        <row r="896">
          <cell r="E896" t="str">
            <v>1827147T00</v>
          </cell>
          <cell r="F896">
            <v>23.872727272727271</v>
          </cell>
        </row>
        <row r="897">
          <cell r="E897" t="str">
            <v>18271501TF</v>
          </cell>
          <cell r="F897">
            <v>0.13</v>
          </cell>
        </row>
        <row r="898">
          <cell r="E898" t="str">
            <v>1827152100</v>
          </cell>
          <cell r="F898">
            <v>1.1931818181818181</v>
          </cell>
        </row>
        <row r="899">
          <cell r="E899" t="str">
            <v>18271521TF</v>
          </cell>
          <cell r="F899">
            <v>0.7</v>
          </cell>
        </row>
        <row r="900">
          <cell r="E900" t="str">
            <v>1827152R00</v>
          </cell>
          <cell r="F900">
            <v>1.3164141414141415</v>
          </cell>
        </row>
        <row r="901">
          <cell r="E901" t="str">
            <v>18271620NF</v>
          </cell>
          <cell r="F901">
            <v>0.68</v>
          </cell>
        </row>
        <row r="902">
          <cell r="E902" t="str">
            <v>1827162100</v>
          </cell>
          <cell r="F902">
            <v>0.42518518518518517</v>
          </cell>
        </row>
        <row r="903">
          <cell r="E903" t="str">
            <v>18271621J0</v>
          </cell>
          <cell r="F903">
            <v>0.41999132697311364</v>
          </cell>
        </row>
        <row r="904">
          <cell r="E904" t="str">
            <v>18271621TF</v>
          </cell>
          <cell r="F904">
            <v>0.66225776684097204</v>
          </cell>
        </row>
        <row r="905">
          <cell r="E905" t="str">
            <v>18271630NF</v>
          </cell>
          <cell r="F905">
            <v>0.68</v>
          </cell>
        </row>
        <row r="906">
          <cell r="E906" t="str">
            <v>18271631TF</v>
          </cell>
          <cell r="F906">
            <v>0.63</v>
          </cell>
        </row>
        <row r="907">
          <cell r="E907" t="str">
            <v>18271640NF</v>
          </cell>
          <cell r="F907">
            <v>0.68</v>
          </cell>
        </row>
        <row r="908">
          <cell r="E908" t="str">
            <v>1827164100</v>
          </cell>
          <cell r="F908">
            <v>0.42</v>
          </cell>
        </row>
        <row r="909">
          <cell r="E909" t="str">
            <v>18271641J0</v>
          </cell>
          <cell r="F909">
            <v>0.42</v>
          </cell>
        </row>
        <row r="910">
          <cell r="E910" t="str">
            <v>18271641TF</v>
          </cell>
          <cell r="F910">
            <v>0.63354037267080743</v>
          </cell>
        </row>
        <row r="911">
          <cell r="E911" t="str">
            <v>18271651TF</v>
          </cell>
          <cell r="F911">
            <v>1.37030191004313</v>
          </cell>
        </row>
        <row r="912">
          <cell r="E912" t="str">
            <v>18271661TF</v>
          </cell>
          <cell r="F912">
            <v>0.73</v>
          </cell>
        </row>
        <row r="913">
          <cell r="E913" t="str">
            <v>18271701NF</v>
          </cell>
          <cell r="F913">
            <v>0.54993386243386244</v>
          </cell>
        </row>
        <row r="914">
          <cell r="E914" t="str">
            <v>18271730PF</v>
          </cell>
          <cell r="F914">
            <v>0.36</v>
          </cell>
        </row>
        <row r="915">
          <cell r="E915" t="str">
            <v>18271731J0</v>
          </cell>
          <cell r="F915">
            <v>0.27106666666666668</v>
          </cell>
        </row>
        <row r="916">
          <cell r="E916" t="str">
            <v>18271731TF</v>
          </cell>
          <cell r="F916">
            <v>0.73</v>
          </cell>
        </row>
        <row r="917">
          <cell r="E917" t="str">
            <v>18271830NF</v>
          </cell>
          <cell r="F917">
            <v>1.41</v>
          </cell>
        </row>
        <row r="918">
          <cell r="E918" t="str">
            <v>18271831TF</v>
          </cell>
          <cell r="F918">
            <v>1.4100221217658939</v>
          </cell>
        </row>
        <row r="919">
          <cell r="E919" t="str">
            <v>18271881TF</v>
          </cell>
          <cell r="F919">
            <v>1.250144927536232</v>
          </cell>
        </row>
        <row r="920">
          <cell r="E920" t="str">
            <v>1827213100</v>
          </cell>
          <cell r="F920">
            <v>0.92</v>
          </cell>
        </row>
        <row r="921">
          <cell r="E921" t="str">
            <v>1827231R00</v>
          </cell>
          <cell r="F921">
            <v>24.540740740740741</v>
          </cell>
        </row>
        <row r="922">
          <cell r="E922" t="str">
            <v>1827231T00</v>
          </cell>
          <cell r="F922">
            <v>24.541666666666668</v>
          </cell>
        </row>
        <row r="923">
          <cell r="E923" t="str">
            <v>18272561J0</v>
          </cell>
          <cell r="F923">
            <v>0.50208333333333333</v>
          </cell>
        </row>
        <row r="924">
          <cell r="E924" t="str">
            <v>1827274R00</v>
          </cell>
          <cell r="F924">
            <v>149.78571428571428</v>
          </cell>
        </row>
        <row r="925">
          <cell r="E925" t="str">
            <v>1827274T00</v>
          </cell>
          <cell r="F925">
            <v>144.28571428571428</v>
          </cell>
        </row>
        <row r="926">
          <cell r="E926" t="str">
            <v>1827331200</v>
          </cell>
          <cell r="F926">
            <v>175.68965517241378</v>
          </cell>
        </row>
        <row r="927">
          <cell r="E927" t="str">
            <v>1827346100</v>
          </cell>
          <cell r="F927">
            <v>0.47068965517241379</v>
          </cell>
        </row>
        <row r="928">
          <cell r="E928" t="str">
            <v>1827371100</v>
          </cell>
          <cell r="F928">
            <v>1.4688679245283018</v>
          </cell>
        </row>
        <row r="929">
          <cell r="E929" t="str">
            <v>1827372100</v>
          </cell>
          <cell r="F929">
            <v>1.4688679245283018</v>
          </cell>
        </row>
        <row r="930">
          <cell r="E930" t="str">
            <v>1827382R00</v>
          </cell>
          <cell r="F930">
            <v>23.939285714285713</v>
          </cell>
        </row>
        <row r="931">
          <cell r="E931" t="str">
            <v>1827382T00</v>
          </cell>
          <cell r="F931">
            <v>23.942857142857143</v>
          </cell>
        </row>
        <row r="932">
          <cell r="E932" t="str">
            <v>1827390C00</v>
          </cell>
          <cell r="F932">
            <v>23.918367346938776</v>
          </cell>
        </row>
        <row r="933">
          <cell r="E933" t="str">
            <v>1827409100</v>
          </cell>
          <cell r="F933">
            <v>18.353333333333332</v>
          </cell>
        </row>
        <row r="934">
          <cell r="E934" t="str">
            <v>1827409R00</v>
          </cell>
          <cell r="F934">
            <v>21.74</v>
          </cell>
        </row>
        <row r="935">
          <cell r="E935" t="str">
            <v>18274131J0</v>
          </cell>
          <cell r="F935">
            <v>1.5922155688622754</v>
          </cell>
        </row>
        <row r="936">
          <cell r="E936" t="str">
            <v>18274141J0</v>
          </cell>
          <cell r="F936">
            <v>1.591549295774648</v>
          </cell>
        </row>
        <row r="937">
          <cell r="E937" t="str">
            <v>18274160NF</v>
          </cell>
          <cell r="F937">
            <v>1.6906666666666668</v>
          </cell>
        </row>
        <row r="938">
          <cell r="E938" t="str">
            <v>18274161J0</v>
          </cell>
          <cell r="F938">
            <v>1.575</v>
          </cell>
        </row>
        <row r="939">
          <cell r="E939" t="str">
            <v>18274170NF</v>
          </cell>
          <cell r="F939">
            <v>1.6906666666666668</v>
          </cell>
        </row>
        <row r="940">
          <cell r="E940" t="str">
            <v>18274171J0</v>
          </cell>
          <cell r="F940">
            <v>1.575</v>
          </cell>
        </row>
        <row r="941">
          <cell r="E941" t="str">
            <v>1827422R00</v>
          </cell>
          <cell r="F941">
            <v>97.26</v>
          </cell>
        </row>
        <row r="942">
          <cell r="E942" t="str">
            <v>1827432100</v>
          </cell>
          <cell r="F942">
            <v>17.119751166407465</v>
          </cell>
        </row>
        <row r="943">
          <cell r="E943" t="str">
            <v>1827436100</v>
          </cell>
          <cell r="F943">
            <v>1.89</v>
          </cell>
        </row>
        <row r="944">
          <cell r="E944" t="str">
            <v>1827437100</v>
          </cell>
          <cell r="F944">
            <v>1.89</v>
          </cell>
        </row>
        <row r="945">
          <cell r="E945" t="str">
            <v>1827454R00</v>
          </cell>
          <cell r="F945">
            <v>21.581250000000001</v>
          </cell>
        </row>
        <row r="946">
          <cell r="E946" t="str">
            <v>18274790NF</v>
          </cell>
          <cell r="F946">
            <v>1.6903225806451614</v>
          </cell>
        </row>
        <row r="947">
          <cell r="E947" t="str">
            <v>1827542100</v>
          </cell>
          <cell r="F947">
            <v>96.428571428571431</v>
          </cell>
        </row>
        <row r="948">
          <cell r="E948" t="str">
            <v>1827542R00</v>
          </cell>
          <cell r="F948">
            <v>101.11111111111111</v>
          </cell>
        </row>
        <row r="949">
          <cell r="E949" t="str">
            <v>1827556S00</v>
          </cell>
          <cell r="F949">
            <v>22.971428571428572</v>
          </cell>
        </row>
        <row r="950">
          <cell r="E950" t="str">
            <v>1827567R00</v>
          </cell>
          <cell r="F950">
            <v>62.746031746031747</v>
          </cell>
        </row>
        <row r="951">
          <cell r="E951" t="str">
            <v>1827586R00</v>
          </cell>
          <cell r="F951">
            <v>77.55</v>
          </cell>
        </row>
        <row r="952">
          <cell r="E952" t="str">
            <v>1827603100</v>
          </cell>
          <cell r="F952">
            <v>31.4</v>
          </cell>
        </row>
        <row r="953">
          <cell r="E953" t="str">
            <v>1827603R00</v>
          </cell>
          <cell r="F953">
            <v>33</v>
          </cell>
        </row>
        <row r="954">
          <cell r="E954" t="str">
            <v>18276041TF</v>
          </cell>
          <cell r="F954">
            <v>6.1900958466453675</v>
          </cell>
        </row>
        <row r="955">
          <cell r="E955" t="str">
            <v>1827707R00</v>
          </cell>
          <cell r="F955">
            <v>75.28125</v>
          </cell>
        </row>
        <row r="956">
          <cell r="E956" t="str">
            <v>1827791R00</v>
          </cell>
          <cell r="F956">
            <v>70.033333333333331</v>
          </cell>
        </row>
        <row r="957">
          <cell r="E957" t="str">
            <v>1827791T00</v>
          </cell>
          <cell r="F957">
            <v>69.166666666666671</v>
          </cell>
        </row>
        <row r="958">
          <cell r="E958" t="str">
            <v>1827806R00</v>
          </cell>
          <cell r="F958">
            <v>80.129629629629633</v>
          </cell>
        </row>
        <row r="959">
          <cell r="E959" t="str">
            <v>1827824R00</v>
          </cell>
          <cell r="F959">
            <v>8.74</v>
          </cell>
        </row>
        <row r="960">
          <cell r="E960" t="str">
            <v>1827834100</v>
          </cell>
          <cell r="F960">
            <v>42.2</v>
          </cell>
        </row>
        <row r="961">
          <cell r="E961" t="str">
            <v>1827834R00</v>
          </cell>
          <cell r="F961">
            <v>45.559183673469384</v>
          </cell>
        </row>
        <row r="962">
          <cell r="E962" t="str">
            <v>1827862T00</v>
          </cell>
          <cell r="F962">
            <v>71.3</v>
          </cell>
        </row>
        <row r="963">
          <cell r="E963" t="str">
            <v>1827943R00</v>
          </cell>
          <cell r="F963">
            <v>49.982758620689658</v>
          </cell>
        </row>
        <row r="964">
          <cell r="E964" t="str">
            <v>1827980R00</v>
          </cell>
          <cell r="F964">
            <v>21.444444444444443</v>
          </cell>
        </row>
        <row r="965">
          <cell r="E965" t="str">
            <v>1827993R00</v>
          </cell>
          <cell r="F965">
            <v>24.829629629629629</v>
          </cell>
        </row>
        <row r="966">
          <cell r="E966" t="str">
            <v>1827993T00</v>
          </cell>
          <cell r="F966">
            <v>24.833333333333332</v>
          </cell>
        </row>
        <row r="967">
          <cell r="E967" t="str">
            <v>18281530MF</v>
          </cell>
          <cell r="F967">
            <v>25.459375000000001</v>
          </cell>
        </row>
        <row r="968">
          <cell r="E968" t="str">
            <v>18282401J0</v>
          </cell>
          <cell r="F968">
            <v>1.1559491721216788</v>
          </cell>
        </row>
        <row r="969">
          <cell r="E969" t="str">
            <v>18282411J0</v>
          </cell>
          <cell r="F969">
            <v>0.4820627802690583</v>
          </cell>
        </row>
        <row r="970">
          <cell r="E970" t="str">
            <v>18282421J0</v>
          </cell>
          <cell r="F970">
            <v>1.2134615384615384</v>
          </cell>
        </row>
        <row r="971">
          <cell r="E971" t="str">
            <v>18282841J0</v>
          </cell>
          <cell r="F971">
            <v>0.48298701298701296</v>
          </cell>
        </row>
        <row r="972">
          <cell r="E972" t="str">
            <v>18282861J0</v>
          </cell>
          <cell r="F972">
            <v>0.22196428571428573</v>
          </cell>
        </row>
        <row r="973">
          <cell r="E973" t="str">
            <v>18282881J0</v>
          </cell>
          <cell r="F973">
            <v>0.2219718309859155</v>
          </cell>
        </row>
        <row r="974">
          <cell r="E974" t="str">
            <v>18282891J0</v>
          </cell>
          <cell r="F974">
            <v>0.69108433734939756</v>
          </cell>
        </row>
        <row r="975">
          <cell r="E975" t="str">
            <v>18282901J0</v>
          </cell>
          <cell r="F975">
            <v>0.96066565809379723</v>
          </cell>
        </row>
        <row r="976">
          <cell r="E976" t="str">
            <v>18282961J0</v>
          </cell>
          <cell r="F976">
            <v>0.55000000000000004</v>
          </cell>
        </row>
        <row r="977">
          <cell r="E977" t="str">
            <v>18283380NF</v>
          </cell>
          <cell r="F977">
            <v>0</v>
          </cell>
        </row>
        <row r="978">
          <cell r="E978" t="str">
            <v>18283380VF</v>
          </cell>
          <cell r="F978">
            <v>25.3</v>
          </cell>
        </row>
        <row r="979">
          <cell r="E979" t="str">
            <v>1828373R00</v>
          </cell>
          <cell r="F979">
            <v>36.03125</v>
          </cell>
        </row>
        <row r="980">
          <cell r="E980" t="str">
            <v>1828379R00</v>
          </cell>
          <cell r="F980">
            <v>32.233333333333334</v>
          </cell>
        </row>
        <row r="981">
          <cell r="E981" t="str">
            <v>1828385100</v>
          </cell>
          <cell r="F981">
            <v>50.521739130434781</v>
          </cell>
        </row>
        <row r="982">
          <cell r="E982" t="str">
            <v>1828449100</v>
          </cell>
          <cell r="F982">
            <v>0.75132275132275128</v>
          </cell>
        </row>
        <row r="983">
          <cell r="E983" t="str">
            <v>1828518R00</v>
          </cell>
          <cell r="F983">
            <v>30.5</v>
          </cell>
        </row>
        <row r="984">
          <cell r="E984" t="str">
            <v>18285810MF</v>
          </cell>
          <cell r="F984">
            <v>49.5</v>
          </cell>
        </row>
        <row r="985">
          <cell r="E985" t="str">
            <v>18285840MF</v>
          </cell>
          <cell r="F985">
            <v>29.5</v>
          </cell>
        </row>
        <row r="986">
          <cell r="E986" t="str">
            <v>1828640100</v>
          </cell>
          <cell r="F986">
            <v>63.851851851851855</v>
          </cell>
        </row>
        <row r="987">
          <cell r="E987" t="str">
            <v>18286480PF</v>
          </cell>
          <cell r="F987">
            <v>0.51</v>
          </cell>
        </row>
        <row r="988">
          <cell r="E988" t="str">
            <v>1828653100</v>
          </cell>
          <cell r="F988">
            <v>2.4403973509933774</v>
          </cell>
        </row>
        <row r="989">
          <cell r="E989" t="str">
            <v>1828657170</v>
          </cell>
          <cell r="F989">
            <v>83.885416666666671</v>
          </cell>
        </row>
        <row r="990">
          <cell r="E990" t="str">
            <v>1828657C70</v>
          </cell>
          <cell r="F990">
            <v>96.609375</v>
          </cell>
        </row>
        <row r="991">
          <cell r="E991" t="str">
            <v>1828686100</v>
          </cell>
          <cell r="F991">
            <v>1.45</v>
          </cell>
        </row>
        <row r="992">
          <cell r="E992" t="str">
            <v>1828686R00</v>
          </cell>
          <cell r="F992">
            <v>1.5962121212121212</v>
          </cell>
        </row>
        <row r="993">
          <cell r="E993" t="str">
            <v>1828702R00</v>
          </cell>
          <cell r="F993">
            <v>41.458333333333336</v>
          </cell>
        </row>
        <row r="994">
          <cell r="E994" t="str">
            <v>1828703R00</v>
          </cell>
          <cell r="F994">
            <v>44.375</v>
          </cell>
        </row>
        <row r="995">
          <cell r="E995" t="str">
            <v>1828724100</v>
          </cell>
          <cell r="F995">
            <v>2.1598870056497175</v>
          </cell>
        </row>
        <row r="996">
          <cell r="E996" t="str">
            <v>1828725100</v>
          </cell>
          <cell r="F996">
            <v>1.8300544160736709</v>
          </cell>
        </row>
        <row r="997">
          <cell r="E997" t="str">
            <v>1828756R00</v>
          </cell>
          <cell r="F997">
            <v>33.520833333333336</v>
          </cell>
        </row>
        <row r="998">
          <cell r="E998" t="str">
            <v>18287741J0</v>
          </cell>
          <cell r="F998">
            <v>0.5799043062200957</v>
          </cell>
        </row>
        <row r="999">
          <cell r="E999" t="str">
            <v>1828777100</v>
          </cell>
          <cell r="F999">
            <v>0.57013888888888886</v>
          </cell>
        </row>
        <row r="1000">
          <cell r="E1000" t="str">
            <v>1828778100</v>
          </cell>
          <cell r="F1000">
            <v>0.68378378378378379</v>
          </cell>
        </row>
        <row r="1001">
          <cell r="E1001" t="str">
            <v>1828780100</v>
          </cell>
          <cell r="F1001">
            <v>0.45682326621923935</v>
          </cell>
        </row>
        <row r="1002">
          <cell r="E1002" t="str">
            <v>1828781100</v>
          </cell>
          <cell r="F1002">
            <v>0.47692307692307695</v>
          </cell>
        </row>
        <row r="1003">
          <cell r="E1003" t="str">
            <v>1828787100</v>
          </cell>
          <cell r="F1003">
            <v>25.489953632148378</v>
          </cell>
        </row>
        <row r="1004">
          <cell r="E1004" t="str">
            <v>1828793R00</v>
          </cell>
          <cell r="F1004">
            <v>20.149999999999999</v>
          </cell>
        </row>
        <row r="1005">
          <cell r="E1005" t="str">
            <v>18288021TF</v>
          </cell>
          <cell r="F1005">
            <v>0.24</v>
          </cell>
        </row>
        <row r="1006">
          <cell r="E1006" t="str">
            <v>1828819R00</v>
          </cell>
          <cell r="F1006">
            <v>190.22222222222223</v>
          </cell>
        </row>
        <row r="1007">
          <cell r="E1007" t="str">
            <v>1828827R00</v>
          </cell>
          <cell r="F1007">
            <v>20.253333333333334</v>
          </cell>
        </row>
        <row r="1008">
          <cell r="E1008" t="str">
            <v>1828830R00</v>
          </cell>
          <cell r="F1008">
            <v>14.28</v>
          </cell>
        </row>
        <row r="1009">
          <cell r="E1009" t="str">
            <v>1828836170</v>
          </cell>
          <cell r="F1009">
            <v>51.777777777777779</v>
          </cell>
        </row>
        <row r="1010">
          <cell r="E1010" t="str">
            <v>1828836R70</v>
          </cell>
          <cell r="F1010">
            <v>55.25</v>
          </cell>
        </row>
        <row r="1011">
          <cell r="E1011" t="str">
            <v>1828843100</v>
          </cell>
          <cell r="F1011">
            <v>1.0608333333333333</v>
          </cell>
        </row>
        <row r="1012">
          <cell r="E1012" t="str">
            <v>1828952200</v>
          </cell>
          <cell r="F1012">
            <v>24.883333333333333</v>
          </cell>
        </row>
        <row r="1013">
          <cell r="E1013" t="str">
            <v>18289561TF</v>
          </cell>
          <cell r="F1013">
            <v>0.23010204081632654</v>
          </cell>
        </row>
        <row r="1014">
          <cell r="E1014" t="str">
            <v>18289571TF</v>
          </cell>
          <cell r="F1014">
            <v>7.0000000000000007E-2</v>
          </cell>
        </row>
        <row r="1015">
          <cell r="E1015" t="str">
            <v>18289581TF</v>
          </cell>
          <cell r="F1015">
            <v>7.0000000000000007E-2</v>
          </cell>
        </row>
        <row r="1016">
          <cell r="E1016" t="str">
            <v>1828968100</v>
          </cell>
          <cell r="F1016">
            <v>231.70967741935485</v>
          </cell>
        </row>
        <row r="1017">
          <cell r="E1017" t="str">
            <v>1828981100</v>
          </cell>
          <cell r="F1017">
            <v>31.048780487804876</v>
          </cell>
        </row>
        <row r="1018">
          <cell r="E1018" t="str">
            <v>1828981R00</v>
          </cell>
          <cell r="F1018">
            <v>31.40625</v>
          </cell>
        </row>
        <row r="1019">
          <cell r="E1019" t="str">
            <v>1828984R00</v>
          </cell>
          <cell r="F1019">
            <v>61.44</v>
          </cell>
        </row>
        <row r="1020">
          <cell r="E1020" t="str">
            <v>1828985100</v>
          </cell>
          <cell r="F1020">
            <v>56.503496503496507</v>
          </cell>
        </row>
        <row r="1021">
          <cell r="E1021" t="str">
            <v>1829002R00</v>
          </cell>
          <cell r="F1021">
            <v>19.58267716535433</v>
          </cell>
        </row>
        <row r="1022">
          <cell r="E1022" t="str">
            <v>1829002T00</v>
          </cell>
          <cell r="F1022">
            <v>19.585714285714285</v>
          </cell>
        </row>
        <row r="1023">
          <cell r="E1023" t="str">
            <v>18290131J0</v>
          </cell>
          <cell r="F1023">
            <v>1.97</v>
          </cell>
        </row>
        <row r="1024">
          <cell r="E1024" t="str">
            <v>18290141J0</v>
          </cell>
          <cell r="F1024">
            <v>1.9729166666666667</v>
          </cell>
        </row>
        <row r="1025">
          <cell r="E1025" t="str">
            <v>1829051R00</v>
          </cell>
          <cell r="F1025">
            <v>188.93181818181819</v>
          </cell>
        </row>
        <row r="1026">
          <cell r="E1026" t="str">
            <v>18290551J0</v>
          </cell>
          <cell r="F1026">
            <v>28.375</v>
          </cell>
        </row>
        <row r="1027">
          <cell r="E1027" t="str">
            <v>18290660MF</v>
          </cell>
          <cell r="F1027">
            <v>117.5</v>
          </cell>
        </row>
        <row r="1028">
          <cell r="E1028" t="str">
            <v>1829085100</v>
          </cell>
          <cell r="F1028">
            <v>103.51666666666667</v>
          </cell>
        </row>
        <row r="1029">
          <cell r="E1029" t="str">
            <v>1829097R00</v>
          </cell>
          <cell r="F1029">
            <v>234.13333333333333</v>
          </cell>
        </row>
        <row r="1030">
          <cell r="E1030" t="str">
            <v>1829100R00</v>
          </cell>
          <cell r="F1030">
            <v>38.4</v>
          </cell>
        </row>
        <row r="1031">
          <cell r="E1031" t="str">
            <v>18291120MF</v>
          </cell>
          <cell r="F1031">
            <v>6.7142857142857144</v>
          </cell>
        </row>
        <row r="1032">
          <cell r="E1032" t="str">
            <v>1829130170</v>
          </cell>
          <cell r="F1032">
            <v>37.730973451327436</v>
          </cell>
        </row>
        <row r="1033">
          <cell r="E1033" t="str">
            <v>1829130C70</v>
          </cell>
          <cell r="F1033">
            <v>41.5</v>
          </cell>
        </row>
        <row r="1034">
          <cell r="E1034" t="str">
            <v>1829169100</v>
          </cell>
          <cell r="F1034">
            <v>2.8502080443828017</v>
          </cell>
        </row>
        <row r="1035">
          <cell r="E1035" t="str">
            <v>1829173C00</v>
          </cell>
          <cell r="F1035">
            <v>126.2</v>
          </cell>
        </row>
        <row r="1036">
          <cell r="E1036" t="str">
            <v>1829177R00</v>
          </cell>
          <cell r="F1036">
            <v>96.280357142857142</v>
          </cell>
        </row>
        <row r="1037">
          <cell r="E1037" t="str">
            <v>1829177T00</v>
          </cell>
          <cell r="F1037">
            <v>91.1</v>
          </cell>
        </row>
        <row r="1038">
          <cell r="E1038" t="str">
            <v>1829186R00</v>
          </cell>
          <cell r="F1038">
            <v>150.43333333333334</v>
          </cell>
        </row>
        <row r="1039">
          <cell r="E1039" t="str">
            <v>1829217R00</v>
          </cell>
          <cell r="F1039">
            <v>159.96907216494844</v>
          </cell>
        </row>
        <row r="1040">
          <cell r="E1040" t="str">
            <v>1829249R00</v>
          </cell>
          <cell r="F1040">
            <v>34.75</v>
          </cell>
        </row>
        <row r="1041">
          <cell r="E1041" t="str">
            <v>1829250R00</v>
          </cell>
          <cell r="F1041">
            <v>40.989717223650388</v>
          </cell>
        </row>
        <row r="1042">
          <cell r="E1042" t="str">
            <v>18293130NF</v>
          </cell>
          <cell r="F1042">
            <v>11.9</v>
          </cell>
        </row>
        <row r="1043">
          <cell r="E1043" t="str">
            <v>18293221TF</v>
          </cell>
          <cell r="F1043">
            <v>1.746875</v>
          </cell>
        </row>
        <row r="1044">
          <cell r="E1044" t="str">
            <v>18293231TF</v>
          </cell>
          <cell r="F1044">
            <v>0.52</v>
          </cell>
        </row>
        <row r="1045">
          <cell r="E1045" t="str">
            <v>18293231VF</v>
          </cell>
          <cell r="F1045">
            <v>6.142857142857143E-2</v>
          </cell>
        </row>
        <row r="1046">
          <cell r="E1046" t="str">
            <v>18293241TF</v>
          </cell>
          <cell r="F1046">
            <v>0.52</v>
          </cell>
        </row>
        <row r="1047">
          <cell r="E1047" t="str">
            <v>18293241VF</v>
          </cell>
          <cell r="F1047">
            <v>6.142857142857143E-2</v>
          </cell>
        </row>
        <row r="1048">
          <cell r="E1048" t="str">
            <v>18293251TF</v>
          </cell>
          <cell r="F1048">
            <v>1.04</v>
          </cell>
        </row>
        <row r="1049">
          <cell r="E1049" t="str">
            <v>18293251VF</v>
          </cell>
          <cell r="F1049">
            <v>0.10428571428571429</v>
          </cell>
        </row>
        <row r="1050">
          <cell r="E1050" t="str">
            <v>1829326100</v>
          </cell>
          <cell r="F1050">
            <v>195.64102564102564</v>
          </cell>
        </row>
        <row r="1051">
          <cell r="E1051" t="str">
            <v>1829361100</v>
          </cell>
          <cell r="F1051">
            <v>228.78125</v>
          </cell>
        </row>
        <row r="1052">
          <cell r="E1052" t="str">
            <v>1829369R00</v>
          </cell>
          <cell r="F1052">
            <v>336.70833333333331</v>
          </cell>
        </row>
        <row r="1053">
          <cell r="E1053" t="str">
            <v>1829381R00</v>
          </cell>
          <cell r="F1053">
            <v>46.75</v>
          </cell>
        </row>
        <row r="1054">
          <cell r="E1054" t="str">
            <v>1829484R00</v>
          </cell>
          <cell r="F1054">
            <v>376.88888888888891</v>
          </cell>
        </row>
        <row r="1055">
          <cell r="E1055" t="str">
            <v>18295121J0</v>
          </cell>
          <cell r="F1055">
            <v>0.57070279424216763</v>
          </cell>
        </row>
        <row r="1056">
          <cell r="E1056" t="str">
            <v>1829582100</v>
          </cell>
          <cell r="F1056">
            <v>19.25</v>
          </cell>
        </row>
        <row r="1057">
          <cell r="E1057" t="str">
            <v>1829582R00</v>
          </cell>
          <cell r="F1057">
            <v>20.391304347826086</v>
          </cell>
        </row>
        <row r="1058">
          <cell r="E1058" t="str">
            <v>1829584R00</v>
          </cell>
          <cell r="F1058">
            <v>21.868421052631579</v>
          </cell>
        </row>
        <row r="1059">
          <cell r="E1059" t="str">
            <v>18296160QF</v>
          </cell>
          <cell r="F1059">
            <v>64.400000000000006</v>
          </cell>
        </row>
        <row r="1060">
          <cell r="E1060" t="str">
            <v>18296341TF</v>
          </cell>
          <cell r="F1060">
            <v>0.63</v>
          </cell>
        </row>
        <row r="1061">
          <cell r="E1061" t="str">
            <v>1829654100</v>
          </cell>
          <cell r="F1061">
            <v>24.68888888888889</v>
          </cell>
        </row>
        <row r="1062">
          <cell r="E1062" t="str">
            <v>1829680R00</v>
          </cell>
          <cell r="F1062">
            <v>137.76666666666668</v>
          </cell>
        </row>
        <row r="1063">
          <cell r="E1063" t="str">
            <v>1829686R00</v>
          </cell>
          <cell r="F1063">
            <v>25.08</v>
          </cell>
        </row>
        <row r="1064">
          <cell r="E1064" t="str">
            <v>1829687R00</v>
          </cell>
          <cell r="F1064">
            <v>21.22</v>
          </cell>
        </row>
        <row r="1065">
          <cell r="E1065" t="str">
            <v>1829688R00</v>
          </cell>
          <cell r="F1065">
            <v>49.151515151515149</v>
          </cell>
        </row>
        <row r="1066">
          <cell r="E1066" t="str">
            <v>1829689R00</v>
          </cell>
          <cell r="F1066">
            <v>52.571428571428569</v>
          </cell>
        </row>
        <row r="1067">
          <cell r="E1067" t="str">
            <v>1829690R00</v>
          </cell>
          <cell r="F1067">
            <v>38.475000000000001</v>
          </cell>
        </row>
        <row r="1068">
          <cell r="E1068" t="str">
            <v>1829691R00</v>
          </cell>
          <cell r="F1068">
            <v>25.81</v>
          </cell>
        </row>
        <row r="1069">
          <cell r="E1069" t="str">
            <v>18297201TF</v>
          </cell>
          <cell r="F1069">
            <v>0.56000000000000005</v>
          </cell>
        </row>
        <row r="1070">
          <cell r="E1070" t="str">
            <v>18297621TF</v>
          </cell>
          <cell r="F1070">
            <v>0.57995507540913471</v>
          </cell>
        </row>
        <row r="1071">
          <cell r="E1071" t="str">
            <v>18298250NF</v>
          </cell>
          <cell r="F1071">
            <v>0.53987730061349692</v>
          </cell>
        </row>
        <row r="1072">
          <cell r="E1072" t="str">
            <v>18298581J0</v>
          </cell>
          <cell r="F1072">
            <v>0.78293736501079914</v>
          </cell>
        </row>
        <row r="1073">
          <cell r="E1073" t="str">
            <v>18298591J0</v>
          </cell>
          <cell r="F1073">
            <v>0.56597938144329896</v>
          </cell>
        </row>
        <row r="1074">
          <cell r="E1074" t="str">
            <v>18298601J0</v>
          </cell>
          <cell r="F1074">
            <v>0.99295774647887325</v>
          </cell>
        </row>
        <row r="1075">
          <cell r="E1075" t="str">
            <v>1829888100</v>
          </cell>
          <cell r="F1075">
            <v>33.197183098591552</v>
          </cell>
        </row>
        <row r="1076">
          <cell r="E1076" t="str">
            <v>1829889100</v>
          </cell>
          <cell r="F1076">
            <v>21.553846153846155</v>
          </cell>
        </row>
        <row r="1077">
          <cell r="E1077" t="str">
            <v>18299031J0</v>
          </cell>
          <cell r="F1077">
            <v>0.8605839416058394</v>
          </cell>
        </row>
        <row r="1078">
          <cell r="E1078" t="str">
            <v>18299040PF</v>
          </cell>
          <cell r="F1078">
            <v>1.18</v>
          </cell>
        </row>
        <row r="1079">
          <cell r="E1079" t="str">
            <v>1829906100</v>
          </cell>
          <cell r="F1079">
            <v>14.640067911714771</v>
          </cell>
        </row>
        <row r="1080">
          <cell r="E1080" t="str">
            <v>1829912100</v>
          </cell>
          <cell r="F1080">
            <v>113.5771050141911</v>
          </cell>
        </row>
        <row r="1081">
          <cell r="E1081" t="str">
            <v>1829912R00</v>
          </cell>
          <cell r="F1081">
            <v>114.47058823529412</v>
          </cell>
        </row>
        <row r="1082">
          <cell r="E1082" t="str">
            <v>1829947100</v>
          </cell>
          <cell r="F1082">
            <v>1.4806201550387597</v>
          </cell>
        </row>
        <row r="1083">
          <cell r="E1083" t="str">
            <v>1829952100</v>
          </cell>
          <cell r="F1083">
            <v>1.3098021582733812</v>
          </cell>
        </row>
        <row r="1084">
          <cell r="E1084" t="str">
            <v>1829953100</v>
          </cell>
          <cell r="F1084">
            <v>0.75972083748753738</v>
          </cell>
        </row>
        <row r="1085">
          <cell r="E1085" t="str">
            <v>1829979100</v>
          </cell>
          <cell r="F1085">
            <v>19.890117647058823</v>
          </cell>
        </row>
        <row r="1086">
          <cell r="E1086" t="str">
            <v>1829979R00</v>
          </cell>
          <cell r="F1086">
            <v>20.8</v>
          </cell>
        </row>
        <row r="1087">
          <cell r="E1087" t="str">
            <v>1829988100</v>
          </cell>
          <cell r="F1087">
            <v>306.66666666666669</v>
          </cell>
        </row>
        <row r="1088">
          <cell r="E1088" t="str">
            <v>1840404100</v>
          </cell>
          <cell r="F1088">
            <v>0.17675438596491228</v>
          </cell>
        </row>
        <row r="1089">
          <cell r="E1089" t="str">
            <v>1840795100</v>
          </cell>
          <cell r="F1089">
            <v>0.33750000000000002</v>
          </cell>
        </row>
        <row r="1090">
          <cell r="E1090" t="str">
            <v>1840840100</v>
          </cell>
          <cell r="F1090">
            <v>0.17211538461538461</v>
          </cell>
        </row>
        <row r="1091">
          <cell r="E1091" t="str">
            <v>1840988100</v>
          </cell>
          <cell r="F1091">
            <v>0.21130434782608695</v>
          </cell>
        </row>
        <row r="1092">
          <cell r="E1092" t="str">
            <v>1840993100</v>
          </cell>
          <cell r="F1092">
            <v>0.21057692307692308</v>
          </cell>
        </row>
        <row r="1093">
          <cell r="E1093" t="str">
            <v>1840994100</v>
          </cell>
          <cell r="F1093">
            <v>0.23942307692307693</v>
          </cell>
        </row>
        <row r="1094">
          <cell r="E1094" t="str">
            <v>1841286100</v>
          </cell>
          <cell r="F1094">
            <v>0.34218749999999998</v>
          </cell>
        </row>
        <row r="1095">
          <cell r="E1095" t="str">
            <v>1841290100</v>
          </cell>
          <cell r="F1095">
            <v>0.41296296296296298</v>
          </cell>
        </row>
        <row r="1096">
          <cell r="E1096" t="str">
            <v>1841377100</v>
          </cell>
          <cell r="F1096">
            <v>0.64513457556935816</v>
          </cell>
        </row>
        <row r="1097">
          <cell r="E1097" t="str">
            <v>1841378100</v>
          </cell>
          <cell r="F1097">
            <v>0.64519480519480521</v>
          </cell>
        </row>
        <row r="1098">
          <cell r="E1098" t="str">
            <v>1841379100</v>
          </cell>
          <cell r="F1098">
            <v>0.34533333333333333</v>
          </cell>
        </row>
        <row r="1099">
          <cell r="E1099" t="str">
            <v>1841469100</v>
          </cell>
          <cell r="F1099">
            <v>0.41249999999999998</v>
          </cell>
        </row>
        <row r="1100">
          <cell r="E1100" t="str">
            <v>1841503100</v>
          </cell>
          <cell r="F1100">
            <v>0.64583333333333337</v>
          </cell>
        </row>
        <row r="1101">
          <cell r="E1101" t="str">
            <v>1841504100</v>
          </cell>
          <cell r="F1101">
            <v>0.64618644067796616</v>
          </cell>
        </row>
        <row r="1102">
          <cell r="E1102" t="str">
            <v>1841524100</v>
          </cell>
          <cell r="F1102">
            <v>0.1525</v>
          </cell>
        </row>
        <row r="1103">
          <cell r="E1103" t="str">
            <v>1841525100</v>
          </cell>
          <cell r="F1103">
            <v>0.1525</v>
          </cell>
        </row>
        <row r="1104">
          <cell r="E1104" t="str">
            <v>1841561100</v>
          </cell>
          <cell r="F1104">
            <v>0.34583333333333333</v>
          </cell>
        </row>
        <row r="1105">
          <cell r="E1105" t="str">
            <v>1842034100</v>
          </cell>
          <cell r="F1105">
            <v>0.185</v>
          </cell>
        </row>
        <row r="1106">
          <cell r="E1106" t="str">
            <v>1842035100</v>
          </cell>
          <cell r="F1106">
            <v>0.20899999999999999</v>
          </cell>
        </row>
        <row r="1107">
          <cell r="E1107" t="str">
            <v>1842036100</v>
          </cell>
          <cell r="F1107">
            <v>0.22740384615384615</v>
          </cell>
        </row>
        <row r="1108">
          <cell r="E1108" t="str">
            <v>1842155100</v>
          </cell>
          <cell r="F1108">
            <v>0.24124999999999999</v>
          </cell>
        </row>
        <row r="1109">
          <cell r="E1109" t="str">
            <v>1882168100</v>
          </cell>
          <cell r="F1109">
            <v>0.01</v>
          </cell>
        </row>
        <row r="1110">
          <cell r="E1110" t="str">
            <v>1882192R00</v>
          </cell>
          <cell r="F1110">
            <v>1.882051282051282</v>
          </cell>
        </row>
        <row r="1111">
          <cell r="E1111" t="str">
            <v>18824201TF</v>
          </cell>
          <cell r="F1111">
            <v>0.34</v>
          </cell>
        </row>
        <row r="1112">
          <cell r="E1112" t="str">
            <v>188519AH00</v>
          </cell>
          <cell r="F1112">
            <v>23.06</v>
          </cell>
        </row>
        <row r="1113">
          <cell r="E1113" t="str">
            <v>188521AH00</v>
          </cell>
          <cell r="F1113">
            <v>23.824999999999999</v>
          </cell>
        </row>
        <row r="1114">
          <cell r="E1114" t="str">
            <v>188524AH00</v>
          </cell>
          <cell r="F1114">
            <v>25.52</v>
          </cell>
        </row>
        <row r="1115">
          <cell r="E1115" t="str">
            <v>188525AH00</v>
          </cell>
          <cell r="F1115">
            <v>20.84</v>
          </cell>
        </row>
        <row r="1116">
          <cell r="E1116" t="str">
            <v>188528AH00</v>
          </cell>
          <cell r="F1116">
            <v>23.125</v>
          </cell>
        </row>
        <row r="1117">
          <cell r="E1117" t="str">
            <v>188665AH00</v>
          </cell>
          <cell r="F1117">
            <v>10.613636363636363</v>
          </cell>
        </row>
        <row r="1118">
          <cell r="E1118" t="str">
            <v>188694AH00</v>
          </cell>
          <cell r="F1118">
            <v>11.23</v>
          </cell>
        </row>
        <row r="1119">
          <cell r="E1119" t="str">
            <v>188703AH00</v>
          </cell>
          <cell r="F1119">
            <v>11.8</v>
          </cell>
        </row>
        <row r="1120">
          <cell r="E1120" t="str">
            <v>1888005R00</v>
          </cell>
          <cell r="F1120">
            <v>23.46</v>
          </cell>
        </row>
        <row r="1121">
          <cell r="E1121" t="str">
            <v>1888012R00</v>
          </cell>
          <cell r="F1121">
            <v>43.18</v>
          </cell>
        </row>
        <row r="1122">
          <cell r="E1122" t="str">
            <v>1888013R00</v>
          </cell>
          <cell r="F1122">
            <v>56.8</v>
          </cell>
        </row>
        <row r="1123">
          <cell r="E1123" t="str">
            <v>1888016R00</v>
          </cell>
          <cell r="F1123">
            <v>123.08</v>
          </cell>
        </row>
        <row r="1124">
          <cell r="E1124" t="str">
            <v>1888027100</v>
          </cell>
          <cell r="F1124">
            <v>6.1200396825396828</v>
          </cell>
        </row>
        <row r="1125">
          <cell r="E1125" t="str">
            <v>1888128200</v>
          </cell>
          <cell r="F1125">
            <v>8.3800000000000008</v>
          </cell>
        </row>
        <row r="1126">
          <cell r="E1126" t="str">
            <v>1888147R00</v>
          </cell>
          <cell r="F1126">
            <v>8.0396825396825395</v>
          </cell>
        </row>
        <row r="1127">
          <cell r="E1127" t="str">
            <v>1888149100</v>
          </cell>
          <cell r="F1127">
            <v>0.23</v>
          </cell>
        </row>
        <row r="1128">
          <cell r="E1128" t="str">
            <v>1888150100</v>
          </cell>
          <cell r="F1128">
            <v>0.68</v>
          </cell>
        </row>
        <row r="1129">
          <cell r="E1129" t="str">
            <v>1888151100</v>
          </cell>
          <cell r="F1129">
            <v>0.77978723404255323</v>
          </cell>
        </row>
        <row r="1130">
          <cell r="E1130" t="str">
            <v>1888152100</v>
          </cell>
          <cell r="F1130">
            <v>0.09</v>
          </cell>
        </row>
        <row r="1131">
          <cell r="E1131" t="str">
            <v>188819310Z</v>
          </cell>
          <cell r="F1131">
            <v>8.8650000000000002</v>
          </cell>
        </row>
        <row r="1132">
          <cell r="E1132" t="str">
            <v>1888199100</v>
          </cell>
          <cell r="F1132">
            <v>1.2266666666666666</v>
          </cell>
        </row>
        <row r="1133">
          <cell r="E1133" t="str">
            <v>1888364R00</v>
          </cell>
          <cell r="F1133">
            <v>11.370535714285714</v>
          </cell>
        </row>
        <row r="1134">
          <cell r="E1134" t="str">
            <v>1888364T00</v>
          </cell>
          <cell r="F1134">
            <v>11.370535714285714</v>
          </cell>
        </row>
        <row r="1135">
          <cell r="E1135" t="str">
            <v>1888365R00</v>
          </cell>
          <cell r="F1135">
            <v>18.475000000000001</v>
          </cell>
        </row>
        <row r="1136">
          <cell r="E1136" t="str">
            <v>1888365T00</v>
          </cell>
          <cell r="F1136">
            <v>18.475000000000001</v>
          </cell>
        </row>
        <row r="1137">
          <cell r="E1137" t="str">
            <v>1888366R00</v>
          </cell>
          <cell r="F1137">
            <v>16.501754385964912</v>
          </cell>
        </row>
        <row r="1138">
          <cell r="E1138" t="str">
            <v>1888366T00</v>
          </cell>
          <cell r="F1138">
            <v>16.5</v>
          </cell>
        </row>
        <row r="1139">
          <cell r="E1139" t="str">
            <v>1888487R00</v>
          </cell>
          <cell r="F1139">
            <v>16.475000000000001</v>
          </cell>
        </row>
        <row r="1140">
          <cell r="E1140" t="str">
            <v>1888501100</v>
          </cell>
          <cell r="F1140">
            <v>4.5102941176470592</v>
          </cell>
        </row>
        <row r="1141">
          <cell r="E1141" t="str">
            <v>1888602R00</v>
          </cell>
          <cell r="F1141">
            <v>10.98</v>
          </cell>
        </row>
        <row r="1142">
          <cell r="E1142" t="str">
            <v>1888603R00</v>
          </cell>
          <cell r="F1142">
            <v>2.9</v>
          </cell>
        </row>
        <row r="1143">
          <cell r="E1143" t="str">
            <v>1888646100</v>
          </cell>
          <cell r="F1143">
            <v>13.51923076923077</v>
          </cell>
        </row>
        <row r="1144">
          <cell r="E1144" t="str">
            <v>1888654R00</v>
          </cell>
          <cell r="F1144">
            <v>26.939393939393938</v>
          </cell>
        </row>
        <row r="1145">
          <cell r="E1145" t="str">
            <v>1888655R00</v>
          </cell>
          <cell r="F1145">
            <v>26.384615384615383</v>
          </cell>
        </row>
        <row r="1146">
          <cell r="E1146" t="str">
            <v>1888656R00</v>
          </cell>
          <cell r="F1146">
            <v>23.840304182509506</v>
          </cell>
        </row>
        <row r="1147">
          <cell r="E1147" t="str">
            <v>1888657R00</v>
          </cell>
          <cell r="F1147">
            <v>23.888888888888889</v>
          </cell>
        </row>
        <row r="1148">
          <cell r="E1148" t="str">
            <v>1888658R00</v>
          </cell>
          <cell r="F1148">
            <v>23.916666666666668</v>
          </cell>
        </row>
        <row r="1149">
          <cell r="E1149" t="str">
            <v>1888659R00</v>
          </cell>
          <cell r="F1149">
            <v>23.883333333333333</v>
          </cell>
        </row>
        <row r="1150">
          <cell r="E1150" t="str">
            <v>1888660R00</v>
          </cell>
          <cell r="F1150">
            <v>23.9</v>
          </cell>
        </row>
        <row r="1151">
          <cell r="E1151" t="str">
            <v>1888666R00</v>
          </cell>
          <cell r="F1151">
            <v>25.256198347107439</v>
          </cell>
        </row>
        <row r="1152">
          <cell r="E1152" t="str">
            <v>1888667R00</v>
          </cell>
          <cell r="F1152">
            <v>25.84375</v>
          </cell>
        </row>
        <row r="1153">
          <cell r="E1153" t="str">
            <v>1888699R00</v>
          </cell>
          <cell r="F1153">
            <v>15.330256410256411</v>
          </cell>
        </row>
        <row r="1154">
          <cell r="E1154" t="str">
            <v>1888699T00</v>
          </cell>
          <cell r="F1154">
            <v>15.328205128205129</v>
          </cell>
        </row>
        <row r="1155">
          <cell r="E1155" t="str">
            <v>1888735R00</v>
          </cell>
          <cell r="F1155">
            <v>16.369230769230768</v>
          </cell>
        </row>
        <row r="1156">
          <cell r="E1156" t="str">
            <v>1888756R00</v>
          </cell>
          <cell r="F1156">
            <v>15.78139534883721</v>
          </cell>
        </row>
        <row r="1157">
          <cell r="E1157" t="str">
            <v>1888758R00</v>
          </cell>
          <cell r="F1157">
            <v>16.079999999999998</v>
          </cell>
        </row>
        <row r="1158">
          <cell r="E1158" t="str">
            <v>1888764100</v>
          </cell>
          <cell r="F1158">
            <v>11.980104712041884</v>
          </cell>
        </row>
        <row r="1159">
          <cell r="E1159" t="str">
            <v>1888768R00</v>
          </cell>
          <cell r="F1159">
            <v>15.75</v>
          </cell>
        </row>
        <row r="1160">
          <cell r="E1160" t="str">
            <v>1888772R00</v>
          </cell>
          <cell r="F1160">
            <v>15.85</v>
          </cell>
        </row>
        <row r="1161">
          <cell r="E1161" t="str">
            <v>1888802R00</v>
          </cell>
          <cell r="F1161">
            <v>12.350049652432968</v>
          </cell>
        </row>
        <row r="1162">
          <cell r="E1162" t="str">
            <v>1888805R00</v>
          </cell>
          <cell r="F1162">
            <v>13.718367346938775</v>
          </cell>
        </row>
        <row r="1163">
          <cell r="E1163" t="str">
            <v>1888843R00</v>
          </cell>
          <cell r="F1163">
            <v>12.65</v>
          </cell>
        </row>
        <row r="1164">
          <cell r="E1164" t="str">
            <v>1888844R00</v>
          </cell>
          <cell r="F1164">
            <v>14.030351437699681</v>
          </cell>
        </row>
        <row r="1165">
          <cell r="E1165" t="str">
            <v>1888847R00</v>
          </cell>
          <cell r="F1165">
            <v>14.15</v>
          </cell>
        </row>
        <row r="1166">
          <cell r="E1166" t="str">
            <v>1888853R00</v>
          </cell>
          <cell r="F1166">
            <v>17.649999999999999</v>
          </cell>
        </row>
        <row r="1167">
          <cell r="E1167" t="str">
            <v>1888881R00</v>
          </cell>
          <cell r="F1167">
            <v>26.42</v>
          </cell>
        </row>
        <row r="1168">
          <cell r="E1168" t="str">
            <v>1888915R00</v>
          </cell>
          <cell r="F1168">
            <v>4.8285714285714283</v>
          </cell>
        </row>
        <row r="1169">
          <cell r="E1169" t="str">
            <v>1888944100</v>
          </cell>
          <cell r="F1169">
            <v>8.58</v>
          </cell>
        </row>
        <row r="1170">
          <cell r="E1170" t="str">
            <v>1888944R00</v>
          </cell>
          <cell r="F1170">
            <v>10.445714285714285</v>
          </cell>
        </row>
        <row r="1171">
          <cell r="E1171" t="str">
            <v>18890710NF</v>
          </cell>
          <cell r="F1171">
            <v>7.51</v>
          </cell>
        </row>
        <row r="1172">
          <cell r="E1172" t="str">
            <v>1889071100</v>
          </cell>
          <cell r="F1172">
            <v>8.5800438596491233</v>
          </cell>
        </row>
        <row r="1173">
          <cell r="E1173" t="str">
            <v>1889071R00</v>
          </cell>
          <cell r="F1173">
            <v>10.885714285714286</v>
          </cell>
        </row>
        <row r="1174">
          <cell r="E1174" t="str">
            <v>1896603R00</v>
          </cell>
          <cell r="F1174">
            <v>2.7604166666666665</v>
          </cell>
        </row>
        <row r="1175">
          <cell r="E1175" t="str">
            <v>1896604100</v>
          </cell>
          <cell r="F1175">
            <v>2.3401785714285714</v>
          </cell>
        </row>
        <row r="1176">
          <cell r="E1176" t="str">
            <v>1896604R00</v>
          </cell>
          <cell r="F1176">
            <v>1.65</v>
          </cell>
        </row>
        <row r="1177">
          <cell r="E1177" t="str">
            <v>1896606100</v>
          </cell>
          <cell r="F1177">
            <v>1.2743589743589743</v>
          </cell>
        </row>
        <row r="1178">
          <cell r="E1178" t="str">
            <v>1896606R00</v>
          </cell>
          <cell r="F1178">
            <v>1.2744871794871795</v>
          </cell>
        </row>
        <row r="1179">
          <cell r="E1179" t="str">
            <v>1896612100</v>
          </cell>
          <cell r="F1179">
            <v>1.6937354988399071</v>
          </cell>
        </row>
        <row r="1180">
          <cell r="E1180" t="str">
            <v>1896612R00</v>
          </cell>
          <cell r="F1180">
            <v>1.8630684657671164</v>
          </cell>
        </row>
        <row r="1181">
          <cell r="E1181" t="str">
            <v>1896614R00</v>
          </cell>
          <cell r="F1181">
            <v>1.6235119047619047</v>
          </cell>
        </row>
        <row r="1182">
          <cell r="E1182" t="str">
            <v>1896616R00</v>
          </cell>
          <cell r="F1182">
            <v>0.6</v>
          </cell>
        </row>
        <row r="1183">
          <cell r="E1183" t="str">
            <v>1896618100</v>
          </cell>
          <cell r="F1183">
            <v>0</v>
          </cell>
        </row>
        <row r="1184">
          <cell r="E1184" t="str">
            <v>1896618R00</v>
          </cell>
          <cell r="F1184">
            <v>1.8836805555555556</v>
          </cell>
        </row>
        <row r="1185">
          <cell r="E1185" t="str">
            <v>1896622R00</v>
          </cell>
          <cell r="F1185">
            <v>1.9875</v>
          </cell>
        </row>
        <row r="1186">
          <cell r="E1186" t="str">
            <v>1896654100</v>
          </cell>
          <cell r="F1186">
            <v>4.2000000000000003E-2</v>
          </cell>
        </row>
        <row r="1187">
          <cell r="E1187" t="str">
            <v>1896656100</v>
          </cell>
          <cell r="F1187">
            <v>4.1250000000000002E-2</v>
          </cell>
        </row>
        <row r="1188">
          <cell r="E1188" t="str">
            <v>1896659100</v>
          </cell>
          <cell r="F1188">
            <v>5.4285714285714284E-2</v>
          </cell>
        </row>
        <row r="1189">
          <cell r="E1189" t="str">
            <v>1896664100</v>
          </cell>
          <cell r="F1189">
            <v>1.0798611111111112</v>
          </cell>
        </row>
        <row r="1190">
          <cell r="E1190" t="str">
            <v>1896669100</v>
          </cell>
          <cell r="F1190">
            <v>4.6666666666666669E-2</v>
          </cell>
        </row>
        <row r="1191">
          <cell r="E1191" t="str">
            <v>1896670100</v>
          </cell>
          <cell r="F1191">
            <v>4.3157894736842103E-2</v>
          </cell>
        </row>
        <row r="1192">
          <cell r="E1192" t="str">
            <v>1896907100</v>
          </cell>
          <cell r="F1192">
            <v>3.5627906976744188</v>
          </cell>
        </row>
        <row r="1193">
          <cell r="E1193" t="str">
            <v>1896908100</v>
          </cell>
          <cell r="F1193">
            <v>3.56</v>
          </cell>
        </row>
        <row r="1194">
          <cell r="E1194" t="str">
            <v>1896973R00</v>
          </cell>
          <cell r="F1194">
            <v>1.6097222222222223</v>
          </cell>
        </row>
        <row r="1195">
          <cell r="E1195" t="str">
            <v>18D00190G0</v>
          </cell>
          <cell r="F1195">
            <v>1.331076923076923</v>
          </cell>
        </row>
        <row r="1196">
          <cell r="E1196" t="str">
            <v>18D0263100</v>
          </cell>
          <cell r="F1196">
            <v>0.23097055616139586</v>
          </cell>
        </row>
        <row r="1197">
          <cell r="E1197" t="str">
            <v>18D0264100</v>
          </cell>
          <cell r="F1197">
            <v>2.2400000000000002</v>
          </cell>
        </row>
        <row r="1198">
          <cell r="E1198" t="str">
            <v>18D0268100</v>
          </cell>
          <cell r="F1198">
            <v>1.3038563829787233</v>
          </cell>
        </row>
        <row r="1199">
          <cell r="E1199" t="str">
            <v>18D0388100</v>
          </cell>
          <cell r="F1199">
            <v>0.92204301075268813</v>
          </cell>
        </row>
        <row r="1200">
          <cell r="E1200" t="str">
            <v>18D0460100</v>
          </cell>
          <cell r="F1200">
            <v>1.5857142857142856</v>
          </cell>
        </row>
        <row r="1201">
          <cell r="E1201" t="str">
            <v>18D0894100</v>
          </cell>
          <cell r="F1201">
            <v>0.69893832153690594</v>
          </cell>
        </row>
        <row r="1202">
          <cell r="E1202" t="str">
            <v>18D0997100</v>
          </cell>
          <cell r="F1202">
            <v>1.1600688468158347</v>
          </cell>
        </row>
        <row r="1203">
          <cell r="E1203" t="str">
            <v>18D1150100</v>
          </cell>
          <cell r="F1203">
            <v>2.06</v>
          </cell>
        </row>
        <row r="1204">
          <cell r="E1204" t="str">
            <v>18D1308100</v>
          </cell>
          <cell r="F1204">
            <v>19.021052631578947</v>
          </cell>
        </row>
        <row r="1205">
          <cell r="E1205" t="str">
            <v>18D1669100</v>
          </cell>
          <cell r="F1205">
            <v>1.463855421686747</v>
          </cell>
        </row>
        <row r="1206">
          <cell r="E1206" t="str">
            <v>18D1715100</v>
          </cell>
          <cell r="F1206">
            <v>0.57687165775401072</v>
          </cell>
        </row>
        <row r="1207">
          <cell r="E1207" t="str">
            <v>18D1722100</v>
          </cell>
          <cell r="F1207">
            <v>1.2142857142857142</v>
          </cell>
        </row>
        <row r="1208">
          <cell r="E1208" t="str">
            <v>18D17811G0</v>
          </cell>
          <cell r="F1208">
            <v>1.7338582677165355</v>
          </cell>
        </row>
        <row r="1209">
          <cell r="E1209" t="str">
            <v>18D1831100</v>
          </cell>
          <cell r="F1209">
            <v>1.8895522388059702</v>
          </cell>
        </row>
        <row r="1210">
          <cell r="E1210" t="str">
            <v>18D1832100</v>
          </cell>
          <cell r="F1210">
            <v>1.8895522388059702</v>
          </cell>
        </row>
        <row r="1211">
          <cell r="E1211" t="str">
            <v>18D1842100</v>
          </cell>
          <cell r="F1211">
            <v>1.583686440677966</v>
          </cell>
        </row>
        <row r="1212">
          <cell r="E1212" t="str">
            <v>18D1897100</v>
          </cell>
          <cell r="F1212">
            <v>1.5190839694656488</v>
          </cell>
        </row>
        <row r="1213">
          <cell r="E1213" t="str">
            <v>18D1991100</v>
          </cell>
          <cell r="F1213">
            <v>2.69</v>
          </cell>
        </row>
        <row r="1214">
          <cell r="E1214" t="str">
            <v>18D1992100</v>
          </cell>
          <cell r="F1214">
            <v>2.1199798183652874</v>
          </cell>
        </row>
        <row r="1215">
          <cell r="E1215" t="str">
            <v>18D2046100</v>
          </cell>
          <cell r="F1215">
            <v>1.1299418604651164</v>
          </cell>
        </row>
        <row r="1216">
          <cell r="E1216" t="str">
            <v>18D2153100</v>
          </cell>
          <cell r="F1216">
            <v>0.78995209433730496</v>
          </cell>
        </row>
        <row r="1217">
          <cell r="E1217" t="str">
            <v>18D2330100</v>
          </cell>
          <cell r="F1217">
            <v>3.9499489274770174</v>
          </cell>
        </row>
        <row r="1218">
          <cell r="E1218" t="str">
            <v>18D23521G0</v>
          </cell>
          <cell r="F1218">
            <v>0.82409381663113002</v>
          </cell>
        </row>
        <row r="1219">
          <cell r="E1219" t="str">
            <v>18D25991G0</v>
          </cell>
          <cell r="F1219">
            <v>0.72999532054281702</v>
          </cell>
        </row>
        <row r="1220">
          <cell r="E1220" t="str">
            <v>18D2672100</v>
          </cell>
          <cell r="F1220">
            <v>1.1508333333333334</v>
          </cell>
        </row>
        <row r="1221">
          <cell r="E1221" t="str">
            <v>18D2676100</v>
          </cell>
          <cell r="F1221">
            <v>4.2641025641025641</v>
          </cell>
        </row>
        <row r="1222">
          <cell r="E1222" t="str">
            <v>18D2677100</v>
          </cell>
          <cell r="F1222">
            <v>6.9139999999999997</v>
          </cell>
        </row>
        <row r="1223">
          <cell r="E1223" t="str">
            <v>18D27811G0</v>
          </cell>
          <cell r="F1223">
            <v>1.8410641200545703</v>
          </cell>
        </row>
        <row r="1224">
          <cell r="E1224" t="str">
            <v>18D28151G0</v>
          </cell>
          <cell r="F1224">
            <v>1.8349593495934959</v>
          </cell>
        </row>
        <row r="1225">
          <cell r="E1225" t="str">
            <v>18D2834100</v>
          </cell>
          <cell r="F1225">
            <v>23.627136752136753</v>
          </cell>
        </row>
        <row r="1226">
          <cell r="E1226" t="str">
            <v>18D2840100</v>
          </cell>
          <cell r="F1226">
            <v>4.53125</v>
          </cell>
        </row>
        <row r="1227">
          <cell r="E1227" t="str">
            <v>18D2841100</v>
          </cell>
          <cell r="F1227">
            <v>6.1669444444444448</v>
          </cell>
        </row>
        <row r="1228">
          <cell r="E1228" t="str">
            <v>18D2842100</v>
          </cell>
          <cell r="F1228">
            <v>4.53125</v>
          </cell>
        </row>
        <row r="1229">
          <cell r="E1229" t="str">
            <v>18D2843100</v>
          </cell>
          <cell r="F1229">
            <v>5.72</v>
          </cell>
        </row>
        <row r="1230">
          <cell r="E1230" t="str">
            <v>18D2844100</v>
          </cell>
          <cell r="F1230">
            <v>4.53125</v>
          </cell>
        </row>
        <row r="1231">
          <cell r="E1231" t="str">
            <v>18D2845100</v>
          </cell>
          <cell r="F1231">
            <v>6.56</v>
          </cell>
        </row>
        <row r="1232">
          <cell r="E1232" t="str">
            <v>18D2846100</v>
          </cell>
          <cell r="F1232">
            <v>4.5308823529411768</v>
          </cell>
        </row>
        <row r="1233">
          <cell r="E1233" t="str">
            <v>18D2848100</v>
          </cell>
          <cell r="F1233">
            <v>1.2679166666666666</v>
          </cell>
        </row>
        <row r="1234">
          <cell r="E1234" t="str">
            <v>18D2851100</v>
          </cell>
          <cell r="F1234">
            <v>1.31</v>
          </cell>
        </row>
        <row r="1235">
          <cell r="E1235" t="str">
            <v>18D2852100</v>
          </cell>
          <cell r="F1235">
            <v>0.88</v>
          </cell>
        </row>
        <row r="1236">
          <cell r="E1236" t="str">
            <v>18D2855100</v>
          </cell>
          <cell r="F1236">
            <v>1.2679166666666666</v>
          </cell>
        </row>
        <row r="1237">
          <cell r="E1237" t="str">
            <v>18D28691G0</v>
          </cell>
          <cell r="F1237">
            <v>1.5940000000000001</v>
          </cell>
        </row>
        <row r="1238">
          <cell r="E1238" t="str">
            <v>18D28781G0</v>
          </cell>
          <cell r="F1238">
            <v>2.0750565184626977</v>
          </cell>
        </row>
        <row r="1239">
          <cell r="E1239" t="str">
            <v>18D29121G0</v>
          </cell>
          <cell r="F1239">
            <v>1.1499744506898313</v>
          </cell>
        </row>
        <row r="1240">
          <cell r="E1240" t="str">
            <v>18D29131G0</v>
          </cell>
          <cell r="F1240">
            <v>2.6220771013271542</v>
          </cell>
        </row>
        <row r="1241">
          <cell r="E1241" t="str">
            <v>18D29171G0</v>
          </cell>
          <cell r="F1241">
            <v>0.64501563042723165</v>
          </cell>
        </row>
        <row r="1242">
          <cell r="E1242" t="str">
            <v>18D29181G0</v>
          </cell>
          <cell r="F1242">
            <v>1.2940199335548173</v>
          </cell>
        </row>
        <row r="1243">
          <cell r="E1243" t="str">
            <v>18D3099100</v>
          </cell>
          <cell r="F1243">
            <v>2.8313253012048194</v>
          </cell>
        </row>
        <row r="1244">
          <cell r="E1244" t="str">
            <v>18D3100100</v>
          </cell>
          <cell r="F1244">
            <v>2.5</v>
          </cell>
        </row>
        <row r="1245">
          <cell r="E1245" t="str">
            <v>18D3196100</v>
          </cell>
          <cell r="F1245">
            <v>1.3599645989218763</v>
          </cell>
        </row>
        <row r="1246">
          <cell r="E1246" t="str">
            <v>18D3203100</v>
          </cell>
          <cell r="F1246">
            <v>1.4000594000594</v>
          </cell>
        </row>
        <row r="1247">
          <cell r="E1247" t="str">
            <v>18D3204100</v>
          </cell>
          <cell r="F1247">
            <v>1.1499947407173661</v>
          </cell>
        </row>
        <row r="1248">
          <cell r="E1248" t="str">
            <v>18D3305100</v>
          </cell>
          <cell r="F1248">
            <v>4.2625000000000002</v>
          </cell>
        </row>
        <row r="1249">
          <cell r="E1249" t="str">
            <v>18D3306100</v>
          </cell>
          <cell r="F1249">
            <v>5.8166666666666664</v>
          </cell>
        </row>
        <row r="1250">
          <cell r="E1250" t="str">
            <v>18D3310100</v>
          </cell>
          <cell r="F1250">
            <v>0.85499999999999998</v>
          </cell>
        </row>
        <row r="1251">
          <cell r="E1251" t="str">
            <v>18D3347100</v>
          </cell>
          <cell r="F1251">
            <v>1.9902777777777778</v>
          </cell>
        </row>
        <row r="1252">
          <cell r="E1252" t="str">
            <v>18D3349100</v>
          </cell>
          <cell r="F1252">
            <v>0.55001328021248341</v>
          </cell>
        </row>
        <row r="1253">
          <cell r="E1253" t="str">
            <v>18D4602100</v>
          </cell>
          <cell r="F1253">
            <v>1.1070422535211268</v>
          </cell>
        </row>
        <row r="1254">
          <cell r="E1254" t="str">
            <v>18D6569100</v>
          </cell>
          <cell r="F1254">
            <v>1.2230769230769232</v>
          </cell>
        </row>
        <row r="1255">
          <cell r="E1255" t="str">
            <v>18D6571100</v>
          </cell>
          <cell r="F1255">
            <v>0.98518518518518516</v>
          </cell>
        </row>
        <row r="1256">
          <cell r="E1256" t="str">
            <v>18D6572100</v>
          </cell>
          <cell r="F1256">
            <v>0.97499999999999998</v>
          </cell>
        </row>
        <row r="1257">
          <cell r="E1257" t="str">
            <v>18D6584100</v>
          </cell>
          <cell r="F1257">
            <v>1.4390442132639791</v>
          </cell>
        </row>
        <row r="1258">
          <cell r="E1258" t="str">
            <v>18D6797100</v>
          </cell>
          <cell r="F1258">
            <v>0.92784711388455543</v>
          </cell>
        </row>
        <row r="1259">
          <cell r="E1259" t="str">
            <v>18F6451100</v>
          </cell>
          <cell r="F1259">
            <v>27.55952380952381</v>
          </cell>
        </row>
        <row r="1260">
          <cell r="E1260" t="str">
            <v>18F6473300</v>
          </cell>
          <cell r="F1260">
            <v>35.735294117647058</v>
          </cell>
        </row>
        <row r="1261">
          <cell r="E1261" t="str">
            <v>18F6473H00</v>
          </cell>
          <cell r="F1261">
            <v>36.05238095238095</v>
          </cell>
        </row>
        <row r="1262">
          <cell r="E1262" t="str">
            <v>18F6474100</v>
          </cell>
          <cell r="F1262">
            <v>34.43333333333333</v>
          </cell>
        </row>
        <row r="1263">
          <cell r="E1263" t="str">
            <v>18F6475100</v>
          </cell>
          <cell r="F1263">
            <v>33.655000000000001</v>
          </cell>
        </row>
        <row r="1264">
          <cell r="E1264" t="str">
            <v>18F6475R00</v>
          </cell>
          <cell r="F1264">
            <v>33.514285714285712</v>
          </cell>
        </row>
        <row r="1265">
          <cell r="E1265" t="str">
            <v>18F6500300</v>
          </cell>
          <cell r="F1265">
            <v>25.053571428571427</v>
          </cell>
        </row>
        <row r="1266">
          <cell r="E1266" t="str">
            <v>18F6500R00</v>
          </cell>
          <cell r="F1266">
            <v>25.054117647058824</v>
          </cell>
        </row>
        <row r="1267">
          <cell r="E1267" t="str">
            <v>18F6501200</v>
          </cell>
          <cell r="F1267">
            <v>25.015340909090909</v>
          </cell>
        </row>
        <row r="1268">
          <cell r="E1268" t="str">
            <v>18F6501300</v>
          </cell>
          <cell r="F1268">
            <v>25.015238095238097</v>
          </cell>
        </row>
        <row r="1269">
          <cell r="E1269" t="str">
            <v>18F6501R00</v>
          </cell>
          <cell r="F1269">
            <v>25.015018315018317</v>
          </cell>
        </row>
        <row r="1270">
          <cell r="E1270" t="str">
            <v>18F6502300</v>
          </cell>
          <cell r="F1270">
            <v>23.9</v>
          </cell>
        </row>
        <row r="1271">
          <cell r="E1271" t="str">
            <v>18F6503200</v>
          </cell>
          <cell r="F1271">
            <v>23.846118721461188</v>
          </cell>
        </row>
        <row r="1272">
          <cell r="E1272" t="str">
            <v>18F6503300</v>
          </cell>
          <cell r="F1272">
            <v>23.845982142857142</v>
          </cell>
        </row>
        <row r="1273">
          <cell r="E1273" t="str">
            <v>18F6503R00</v>
          </cell>
          <cell r="F1273">
            <v>23.847619047619048</v>
          </cell>
        </row>
        <row r="1274">
          <cell r="E1274" t="str">
            <v>18F6504300</v>
          </cell>
          <cell r="F1274">
            <v>26.436144578313254</v>
          </cell>
        </row>
        <row r="1275">
          <cell r="E1275" t="str">
            <v>18F6504H00</v>
          </cell>
          <cell r="F1275">
            <v>26.472222222222221</v>
          </cell>
        </row>
        <row r="1276">
          <cell r="E1276" t="str">
            <v>18F6504R00</v>
          </cell>
          <cell r="F1276">
            <v>26.293333333333333</v>
          </cell>
        </row>
        <row r="1277">
          <cell r="E1277" t="str">
            <v>18F6505300</v>
          </cell>
          <cell r="F1277">
            <v>26.389400921658986</v>
          </cell>
        </row>
        <row r="1278">
          <cell r="E1278" t="str">
            <v>18F6505R00</v>
          </cell>
          <cell r="F1278">
            <v>26.388571428571428</v>
          </cell>
        </row>
        <row r="1279">
          <cell r="E1279" t="str">
            <v>18F6506300</v>
          </cell>
          <cell r="F1279">
            <v>23.092682926829269</v>
          </cell>
        </row>
        <row r="1280">
          <cell r="E1280" t="str">
            <v>18F6506R00</v>
          </cell>
          <cell r="F1280">
            <v>23.091764705882351</v>
          </cell>
        </row>
        <row r="1281">
          <cell r="E1281" t="str">
            <v>18F6507200</v>
          </cell>
          <cell r="F1281">
            <v>22.962477396021701</v>
          </cell>
        </row>
        <row r="1282">
          <cell r="E1282" t="str">
            <v>18F6507300</v>
          </cell>
          <cell r="F1282">
            <v>22.962447478991596</v>
          </cell>
        </row>
        <row r="1283">
          <cell r="E1283" t="str">
            <v>18F6507R00</v>
          </cell>
          <cell r="F1283">
            <v>22.962637362637363</v>
          </cell>
        </row>
        <row r="1284">
          <cell r="E1284" t="str">
            <v>18F6508100</v>
          </cell>
          <cell r="F1284">
            <v>25.166265060240963</v>
          </cell>
        </row>
        <row r="1285">
          <cell r="E1285" t="str">
            <v>18F6508R00</v>
          </cell>
          <cell r="F1285">
            <v>25.165714285714287</v>
          </cell>
        </row>
        <row r="1286">
          <cell r="E1286" t="str">
            <v>18F6509100</v>
          </cell>
          <cell r="F1286">
            <v>24.001145038167937</v>
          </cell>
        </row>
        <row r="1287">
          <cell r="E1287" t="str">
            <v>18F6509R00</v>
          </cell>
          <cell r="F1287">
            <v>24</v>
          </cell>
        </row>
        <row r="1288">
          <cell r="E1288" t="str">
            <v>18F6510100</v>
          </cell>
          <cell r="F1288">
            <v>26.565000000000001</v>
          </cell>
        </row>
        <row r="1289">
          <cell r="E1289" t="str">
            <v>18F6510R00</v>
          </cell>
          <cell r="F1289">
            <v>26.56</v>
          </cell>
        </row>
        <row r="1290">
          <cell r="E1290" t="str">
            <v>18F6511100</v>
          </cell>
          <cell r="F1290">
            <v>23.183950617283951</v>
          </cell>
        </row>
        <row r="1291">
          <cell r="E1291" t="str">
            <v>18F6511R00</v>
          </cell>
          <cell r="F1291">
            <v>23.183529411764706</v>
          </cell>
        </row>
        <row r="1292">
          <cell r="E1292" t="str">
            <v>18F6512R00</v>
          </cell>
          <cell r="F1292">
            <v>25.73</v>
          </cell>
        </row>
        <row r="1293">
          <cell r="E1293" t="str">
            <v>18F6513100</v>
          </cell>
          <cell r="F1293">
            <v>29.430819826168662</v>
          </cell>
        </row>
        <row r="1294">
          <cell r="E1294" t="str">
            <v>18F6513R00</v>
          </cell>
          <cell r="F1294">
            <v>29.431168831168833</v>
          </cell>
        </row>
        <row r="1295">
          <cell r="E1295" t="str">
            <v>18F6514100</v>
          </cell>
          <cell r="F1295">
            <v>27.870770485120261</v>
          </cell>
        </row>
        <row r="1296">
          <cell r="E1296" t="str">
            <v>18F6514R00</v>
          </cell>
          <cell r="F1296">
            <v>27.87063492063492</v>
          </cell>
        </row>
        <row r="1297">
          <cell r="E1297" t="str">
            <v>18F65501G0</v>
          </cell>
          <cell r="F1297">
            <v>1.498</v>
          </cell>
        </row>
        <row r="1298">
          <cell r="E1298" t="str">
            <v>18F6553100</v>
          </cell>
          <cell r="F1298">
            <v>1.57</v>
          </cell>
        </row>
        <row r="1299">
          <cell r="E1299" t="str">
            <v>18F6556100</v>
          </cell>
          <cell r="F1299">
            <v>1.57</v>
          </cell>
        </row>
        <row r="1300">
          <cell r="E1300" t="str">
            <v>18F6662300</v>
          </cell>
          <cell r="F1300">
            <v>33.733333333333334</v>
          </cell>
        </row>
        <row r="1301">
          <cell r="E1301" t="str">
            <v>18F6662R00</v>
          </cell>
          <cell r="F1301">
            <v>336.4</v>
          </cell>
        </row>
        <row r="1302">
          <cell r="E1302" t="str">
            <v>18F6688300</v>
          </cell>
          <cell r="F1302">
            <v>23.828817733990149</v>
          </cell>
        </row>
        <row r="1303">
          <cell r="E1303" t="str">
            <v>18F6688R00</v>
          </cell>
          <cell r="F1303">
            <v>23.828571428571429</v>
          </cell>
        </row>
        <row r="1304">
          <cell r="E1304" t="str">
            <v>18F6689300</v>
          </cell>
          <cell r="F1304">
            <v>23.833333333333332</v>
          </cell>
        </row>
        <row r="1305">
          <cell r="E1305" t="str">
            <v>18F6690100</v>
          </cell>
          <cell r="F1305">
            <v>23.914285714285715</v>
          </cell>
        </row>
        <row r="1306">
          <cell r="E1306" t="str">
            <v>18F6690R00</v>
          </cell>
          <cell r="F1306">
            <v>23.774999999999999</v>
          </cell>
        </row>
        <row r="1307">
          <cell r="E1307" t="str">
            <v>18F6691100</v>
          </cell>
          <cell r="F1307">
            <v>28.631818181818183</v>
          </cell>
        </row>
        <row r="1308">
          <cell r="E1308" t="str">
            <v>18G0012100</v>
          </cell>
          <cell r="F1308">
            <v>13.966143682906688</v>
          </cell>
        </row>
        <row r="1309">
          <cell r="E1309" t="str">
            <v>18G0012R00</v>
          </cell>
          <cell r="F1309">
            <v>15.314285714285715</v>
          </cell>
        </row>
        <row r="1310">
          <cell r="E1310" t="str">
            <v>18G0035100</v>
          </cell>
          <cell r="F1310">
            <v>219.88837816013418</v>
          </cell>
        </row>
        <row r="1311">
          <cell r="E1311" t="str">
            <v>18G0035R00</v>
          </cell>
          <cell r="F1311">
            <v>270.93333333333334</v>
          </cell>
        </row>
        <row r="1312">
          <cell r="E1312" t="str">
            <v>18G0040100</v>
          </cell>
          <cell r="F1312">
            <v>31.456215554194735</v>
          </cell>
        </row>
        <row r="1313">
          <cell r="E1313" t="str">
            <v>18G0041100</v>
          </cell>
          <cell r="F1313">
            <v>17.40184331797235</v>
          </cell>
        </row>
        <row r="1314">
          <cell r="E1314" t="str">
            <v>18G0041R00</v>
          </cell>
          <cell r="F1314">
            <v>18.657142857142858</v>
          </cell>
        </row>
        <row r="1315">
          <cell r="E1315" t="str">
            <v>18G0056100</v>
          </cell>
          <cell r="F1315">
            <v>4.9601889338731446</v>
          </cell>
        </row>
        <row r="1316">
          <cell r="E1316" t="str">
            <v>18G0056R00</v>
          </cell>
          <cell r="F1316">
            <v>5.46</v>
          </cell>
        </row>
        <row r="1317">
          <cell r="E1317" t="str">
            <v>18G0061100</v>
          </cell>
          <cell r="F1317">
            <v>24.299256505576206</v>
          </cell>
        </row>
        <row r="1318">
          <cell r="E1318" t="str">
            <v>18G0061R00</v>
          </cell>
          <cell r="F1318">
            <v>26.240816326530613</v>
          </cell>
        </row>
        <row r="1319">
          <cell r="E1319" t="str">
            <v>18G0100100</v>
          </cell>
          <cell r="F1319">
            <v>31.500185528756958</v>
          </cell>
        </row>
        <row r="1320">
          <cell r="E1320" t="str">
            <v>18G01220MF</v>
          </cell>
          <cell r="F1320">
            <v>2.3333333333333335</v>
          </cell>
        </row>
        <row r="1321">
          <cell r="E1321" t="str">
            <v>18G01240MF</v>
          </cell>
          <cell r="F1321">
            <v>1.6666666666666667</v>
          </cell>
        </row>
        <row r="1322">
          <cell r="E1322" t="str">
            <v>18G0140R00</v>
          </cell>
          <cell r="F1322">
            <v>233.4</v>
          </cell>
        </row>
        <row r="1323">
          <cell r="E1323" t="str">
            <v>18G0142R00</v>
          </cell>
          <cell r="F1323">
            <v>222.59701492537314</v>
          </cell>
        </row>
        <row r="1324">
          <cell r="E1324" t="str">
            <v>18G01891TF</v>
          </cell>
          <cell r="F1324">
            <v>0.08</v>
          </cell>
        </row>
        <row r="1325">
          <cell r="E1325" t="str">
            <v>18G0198100</v>
          </cell>
          <cell r="F1325">
            <v>5.4242424242424239</v>
          </cell>
        </row>
        <row r="1326">
          <cell r="E1326" t="str">
            <v>18G0199100</v>
          </cell>
          <cell r="F1326">
            <v>4.55</v>
          </cell>
        </row>
        <row r="1327">
          <cell r="E1327" t="str">
            <v>18G02081J0</v>
          </cell>
          <cell r="F1327">
            <v>8.9740000000000002</v>
          </cell>
        </row>
        <row r="1328">
          <cell r="E1328" t="str">
            <v>18G02351J0</v>
          </cell>
          <cell r="F1328">
            <v>0.46</v>
          </cell>
        </row>
        <row r="1329">
          <cell r="E1329" t="str">
            <v>18G0305200</v>
          </cell>
          <cell r="F1329">
            <v>12.01025641025641</v>
          </cell>
        </row>
        <row r="1330">
          <cell r="E1330" t="str">
            <v>18G0323R00</v>
          </cell>
          <cell r="F1330">
            <v>87.205882352941174</v>
          </cell>
        </row>
        <row r="1331">
          <cell r="E1331" t="str">
            <v>18G0422T00</v>
          </cell>
          <cell r="F1331">
            <v>65.602150537634415</v>
          </cell>
        </row>
        <row r="1332">
          <cell r="E1332" t="str">
            <v>18G0425R00</v>
          </cell>
          <cell r="F1332">
            <v>31.666666666666668</v>
          </cell>
        </row>
        <row r="1333">
          <cell r="E1333" t="str">
            <v>18G0425T00</v>
          </cell>
          <cell r="F1333">
            <v>31.666666666666668</v>
          </cell>
        </row>
        <row r="1334">
          <cell r="E1334" t="str">
            <v>18G0442R00</v>
          </cell>
          <cell r="F1334">
            <v>29.82089552238806</v>
          </cell>
        </row>
        <row r="1335">
          <cell r="E1335" t="str">
            <v>18G0444R00</v>
          </cell>
          <cell r="F1335">
            <v>32.661111111111111</v>
          </cell>
        </row>
        <row r="1336">
          <cell r="E1336" t="str">
            <v>18G0444T00</v>
          </cell>
          <cell r="F1336">
            <v>32.65</v>
          </cell>
        </row>
        <row r="1337">
          <cell r="E1337" t="str">
            <v>18G0479R00</v>
          </cell>
          <cell r="F1337">
            <v>28.125</v>
          </cell>
        </row>
        <row r="1338">
          <cell r="E1338" t="str">
            <v>18G0479T00</v>
          </cell>
          <cell r="F1338">
            <v>28.125</v>
          </cell>
        </row>
        <row r="1339">
          <cell r="E1339" t="str">
            <v>18G0486100</v>
          </cell>
          <cell r="F1339">
            <v>2.0398437500000002</v>
          </cell>
        </row>
        <row r="1340">
          <cell r="E1340" t="str">
            <v>18G0486R00</v>
          </cell>
          <cell r="F1340">
            <v>2.390625</v>
          </cell>
        </row>
        <row r="1341">
          <cell r="E1341" t="str">
            <v>18G0487R00</v>
          </cell>
          <cell r="F1341">
            <v>1.749090909090909</v>
          </cell>
        </row>
        <row r="1342">
          <cell r="E1342" t="str">
            <v>18G04901TF</v>
          </cell>
          <cell r="F1342">
            <v>1.1399999999999999</v>
          </cell>
        </row>
        <row r="1343">
          <cell r="E1343" t="str">
            <v>18G0494100</v>
          </cell>
          <cell r="F1343">
            <v>92.760416666666671</v>
          </cell>
        </row>
        <row r="1344">
          <cell r="E1344" t="str">
            <v>18G0494C00</v>
          </cell>
          <cell r="F1344">
            <v>72.354166666666671</v>
          </cell>
        </row>
        <row r="1345">
          <cell r="E1345" t="str">
            <v>18G0496100</v>
          </cell>
          <cell r="F1345">
            <v>90.087500000000006</v>
          </cell>
        </row>
        <row r="1346">
          <cell r="E1346" t="str">
            <v>18G0498100</v>
          </cell>
          <cell r="F1346">
            <v>95.392857142857139</v>
          </cell>
        </row>
        <row r="1347">
          <cell r="E1347" t="str">
            <v>18G0498R00</v>
          </cell>
          <cell r="F1347">
            <v>106.04166666666667</v>
          </cell>
        </row>
        <row r="1348">
          <cell r="E1348" t="str">
            <v>18G0499100</v>
          </cell>
          <cell r="F1348">
            <v>100.69047619047619</v>
          </cell>
        </row>
        <row r="1349">
          <cell r="E1349" t="str">
            <v>18G0513170</v>
          </cell>
          <cell r="F1349">
            <v>117.8695652173913</v>
          </cell>
        </row>
        <row r="1350">
          <cell r="E1350" t="str">
            <v>18G0513R70</v>
          </cell>
          <cell r="F1350">
            <v>118.45</v>
          </cell>
        </row>
        <row r="1351">
          <cell r="E1351" t="str">
            <v>18G0516100</v>
          </cell>
          <cell r="F1351">
            <v>4.9473684210526319</v>
          </cell>
        </row>
        <row r="1352">
          <cell r="E1352" t="str">
            <v>18G0520100</v>
          </cell>
          <cell r="F1352">
            <v>9.42</v>
          </cell>
        </row>
        <row r="1353">
          <cell r="E1353" t="str">
            <v>18G0520R00</v>
          </cell>
          <cell r="F1353">
            <v>9.4255319148936163</v>
          </cell>
        </row>
        <row r="1354">
          <cell r="E1354" t="str">
            <v>18G0529100</v>
          </cell>
          <cell r="F1354">
            <v>1.6101851851851852</v>
          </cell>
        </row>
        <row r="1355">
          <cell r="E1355" t="str">
            <v>18G0531100</v>
          </cell>
          <cell r="F1355">
            <v>2.1409090909090911</v>
          </cell>
        </row>
        <row r="1356">
          <cell r="E1356" t="str">
            <v>18G0534100</v>
          </cell>
          <cell r="F1356">
            <v>11.35</v>
          </cell>
        </row>
        <row r="1357">
          <cell r="E1357" t="str">
            <v>18G0538170</v>
          </cell>
          <cell r="F1357">
            <v>114.92045454545455</v>
          </cell>
        </row>
        <row r="1358">
          <cell r="E1358" t="str">
            <v>18G0538R70</v>
          </cell>
          <cell r="F1358">
            <v>115</v>
          </cell>
        </row>
        <row r="1359">
          <cell r="E1359" t="str">
            <v>18G0543170</v>
          </cell>
          <cell r="F1359">
            <v>121.94951923076923</v>
          </cell>
        </row>
        <row r="1360">
          <cell r="E1360" t="str">
            <v>18G0543R70</v>
          </cell>
          <cell r="F1360">
            <v>123.90625</v>
          </cell>
        </row>
        <row r="1361">
          <cell r="E1361" t="str">
            <v>18G0546100</v>
          </cell>
          <cell r="F1361">
            <v>1.75</v>
          </cell>
        </row>
        <row r="1362">
          <cell r="E1362" t="str">
            <v>18G0547100</v>
          </cell>
          <cell r="F1362">
            <v>1.55</v>
          </cell>
        </row>
        <row r="1363">
          <cell r="E1363" t="str">
            <v>18G0554100</v>
          </cell>
          <cell r="F1363">
            <v>2.06</v>
          </cell>
        </row>
        <row r="1364">
          <cell r="E1364" t="str">
            <v>18G05551TF</v>
          </cell>
          <cell r="F1364">
            <v>0.74</v>
          </cell>
        </row>
        <row r="1365">
          <cell r="E1365" t="str">
            <v>18G05571TF</v>
          </cell>
          <cell r="F1365">
            <v>1</v>
          </cell>
        </row>
        <row r="1366">
          <cell r="E1366" t="str">
            <v>18G0575100</v>
          </cell>
          <cell r="F1366">
            <v>1.6828877005347593</v>
          </cell>
        </row>
        <row r="1367">
          <cell r="E1367" t="str">
            <v>18G05751TF</v>
          </cell>
          <cell r="F1367">
            <v>1.4365079365079365</v>
          </cell>
        </row>
        <row r="1368">
          <cell r="E1368" t="str">
            <v>18G0617100</v>
          </cell>
          <cell r="F1368">
            <v>49.75</v>
          </cell>
        </row>
        <row r="1369">
          <cell r="E1369" t="str">
            <v>18G0617R00</v>
          </cell>
          <cell r="F1369">
            <v>50.359375</v>
          </cell>
        </row>
        <row r="1370">
          <cell r="E1370" t="str">
            <v>18G0624100</v>
          </cell>
          <cell r="F1370">
            <v>44.3</v>
          </cell>
        </row>
        <row r="1371">
          <cell r="E1371" t="str">
            <v>18G0624R00</v>
          </cell>
          <cell r="F1371">
            <v>45.29032258064516</v>
          </cell>
        </row>
        <row r="1372">
          <cell r="E1372" t="str">
            <v>18G0630100</v>
          </cell>
          <cell r="F1372">
            <v>91.711111111111109</v>
          </cell>
        </row>
        <row r="1373">
          <cell r="E1373" t="str">
            <v>18G0630R00</v>
          </cell>
          <cell r="F1373">
            <v>88.97885835095137</v>
          </cell>
        </row>
        <row r="1374">
          <cell r="E1374" t="str">
            <v>18G06331TF</v>
          </cell>
          <cell r="F1374">
            <v>20.502857142857142</v>
          </cell>
        </row>
        <row r="1375">
          <cell r="E1375" t="str">
            <v>18G0637R00</v>
          </cell>
          <cell r="F1375">
            <v>218.28571428571428</v>
          </cell>
        </row>
        <row r="1376">
          <cell r="E1376" t="str">
            <v>18G06410NF</v>
          </cell>
          <cell r="F1376">
            <v>1.63</v>
          </cell>
        </row>
        <row r="1377">
          <cell r="E1377" t="str">
            <v>18G0641100</v>
          </cell>
          <cell r="F1377">
            <v>1.9120784087633325</v>
          </cell>
        </row>
        <row r="1378">
          <cell r="E1378" t="str">
            <v>18G06420NF</v>
          </cell>
          <cell r="F1378">
            <v>1.63</v>
          </cell>
        </row>
        <row r="1379">
          <cell r="E1379" t="str">
            <v>18G0642100</v>
          </cell>
          <cell r="F1379">
            <v>1.9119980764606876</v>
          </cell>
        </row>
        <row r="1380">
          <cell r="E1380" t="str">
            <v>18G06601TF</v>
          </cell>
          <cell r="F1380">
            <v>0.74</v>
          </cell>
        </row>
        <row r="1381">
          <cell r="E1381" t="str">
            <v>18G0662100</v>
          </cell>
          <cell r="F1381">
            <v>1.7644230769230769</v>
          </cell>
        </row>
        <row r="1382">
          <cell r="E1382" t="str">
            <v>18G06621TF</v>
          </cell>
          <cell r="F1382">
            <v>1.5</v>
          </cell>
        </row>
        <row r="1383">
          <cell r="E1383" t="str">
            <v>18G06651TF</v>
          </cell>
          <cell r="F1383">
            <v>3.2507692307692309</v>
          </cell>
        </row>
        <row r="1384">
          <cell r="E1384" t="str">
            <v>18G06661J0</v>
          </cell>
          <cell r="F1384">
            <v>58.427083333333336</v>
          </cell>
        </row>
        <row r="1385">
          <cell r="E1385" t="str">
            <v>18G0675100</v>
          </cell>
          <cell r="F1385">
            <v>3.26</v>
          </cell>
        </row>
        <row r="1386">
          <cell r="E1386" t="str">
            <v>18G0675200</v>
          </cell>
          <cell r="F1386">
            <v>3.46</v>
          </cell>
        </row>
        <row r="1387">
          <cell r="E1387" t="str">
            <v>18G0679100</v>
          </cell>
          <cell r="F1387">
            <v>65.970238095238102</v>
          </cell>
        </row>
        <row r="1388">
          <cell r="E1388" t="str">
            <v>18G0679R00</v>
          </cell>
          <cell r="F1388">
            <v>94.8</v>
          </cell>
        </row>
        <row r="1389">
          <cell r="E1389" t="str">
            <v>18G0679T00</v>
          </cell>
          <cell r="F1389">
            <v>94.8</v>
          </cell>
        </row>
        <row r="1390">
          <cell r="E1390" t="str">
            <v>18G0684100</v>
          </cell>
          <cell r="F1390">
            <v>21</v>
          </cell>
        </row>
        <row r="1391">
          <cell r="E1391" t="str">
            <v>18G0705R00</v>
          </cell>
          <cell r="F1391">
            <v>278.38888888888891</v>
          </cell>
        </row>
        <row r="1392">
          <cell r="E1392" t="str">
            <v>18G07490NF</v>
          </cell>
          <cell r="F1392">
            <v>0.28000000000000003</v>
          </cell>
        </row>
        <row r="1393">
          <cell r="E1393" t="str">
            <v>18G0750C70</v>
          </cell>
          <cell r="F1393">
            <v>114.15789473684211</v>
          </cell>
        </row>
        <row r="1394">
          <cell r="E1394" t="str">
            <v>18G0760R00</v>
          </cell>
          <cell r="F1394">
            <v>3.37</v>
          </cell>
        </row>
        <row r="1395">
          <cell r="E1395" t="str">
            <v>18G0774100</v>
          </cell>
          <cell r="F1395">
            <v>190</v>
          </cell>
        </row>
        <row r="1396">
          <cell r="E1396" t="str">
            <v>18G0780R00</v>
          </cell>
          <cell r="F1396">
            <v>13.329113924050633</v>
          </cell>
        </row>
        <row r="1397">
          <cell r="E1397" t="str">
            <v>18G0784R00</v>
          </cell>
          <cell r="F1397">
            <v>43.458333333333336</v>
          </cell>
        </row>
        <row r="1398">
          <cell r="E1398" t="str">
            <v>18G0815100</v>
          </cell>
          <cell r="F1398">
            <v>8.1889838556505214</v>
          </cell>
        </row>
        <row r="1399">
          <cell r="E1399" t="str">
            <v>18G08271TF</v>
          </cell>
          <cell r="F1399">
            <v>0.56999999999999995</v>
          </cell>
        </row>
        <row r="1400">
          <cell r="E1400" t="str">
            <v>18G0862100</v>
          </cell>
          <cell r="F1400">
            <v>8.3263493355031191</v>
          </cell>
        </row>
        <row r="1401">
          <cell r="E1401" t="str">
            <v>18G0885100</v>
          </cell>
          <cell r="F1401">
            <v>5.1469723691945912</v>
          </cell>
        </row>
        <row r="1402">
          <cell r="E1402" t="str">
            <v>18G0887170</v>
          </cell>
          <cell r="F1402">
            <v>114.09166666666667</v>
          </cell>
        </row>
        <row r="1403">
          <cell r="E1403" t="str">
            <v>18G0888100</v>
          </cell>
          <cell r="F1403">
            <v>5.0137614678899078</v>
          </cell>
        </row>
        <row r="1404">
          <cell r="E1404" t="str">
            <v>18G0889170</v>
          </cell>
          <cell r="F1404">
            <v>130.37</v>
          </cell>
        </row>
        <row r="1405">
          <cell r="E1405" t="str">
            <v>18G0890170</v>
          </cell>
          <cell r="F1405">
            <v>132.56692913385828</v>
          </cell>
        </row>
        <row r="1406">
          <cell r="E1406" t="str">
            <v>18G0891100</v>
          </cell>
          <cell r="F1406">
            <v>1.4806201550387597</v>
          </cell>
        </row>
        <row r="1407">
          <cell r="E1407" t="str">
            <v>18G0892100</v>
          </cell>
          <cell r="F1407">
            <v>3.19</v>
          </cell>
        </row>
        <row r="1408">
          <cell r="E1408" t="str">
            <v>18G09130VF</v>
          </cell>
          <cell r="F1408">
            <v>2.44</v>
          </cell>
        </row>
        <row r="1409">
          <cell r="E1409" t="str">
            <v>18G09135NF</v>
          </cell>
          <cell r="F1409">
            <v>1.36</v>
          </cell>
        </row>
        <row r="1410">
          <cell r="E1410" t="str">
            <v>18G09361TF</v>
          </cell>
          <cell r="F1410">
            <v>0.91</v>
          </cell>
        </row>
        <row r="1411">
          <cell r="E1411" t="str">
            <v>18G09400MF</v>
          </cell>
          <cell r="F1411">
            <v>6</v>
          </cell>
        </row>
        <row r="1412">
          <cell r="E1412" t="str">
            <v>18G09420MF</v>
          </cell>
          <cell r="F1412">
            <v>2.75</v>
          </cell>
        </row>
        <row r="1413">
          <cell r="E1413" t="str">
            <v>18G0945R00</v>
          </cell>
          <cell r="F1413">
            <v>62.416666666666664</v>
          </cell>
        </row>
        <row r="1414">
          <cell r="E1414" t="str">
            <v>18G0945T00</v>
          </cell>
          <cell r="F1414">
            <v>63.266666666666666</v>
          </cell>
        </row>
        <row r="1415">
          <cell r="E1415" t="str">
            <v>18G0948100</v>
          </cell>
          <cell r="F1415">
            <v>110.89814814814815</v>
          </cell>
        </row>
        <row r="1416">
          <cell r="E1416" t="str">
            <v>18G0948200</v>
          </cell>
          <cell r="F1416">
            <v>108.39983164983165</v>
          </cell>
        </row>
        <row r="1417">
          <cell r="E1417" t="str">
            <v>18G0948R00</v>
          </cell>
          <cell r="F1417">
            <v>126.46296296296296</v>
          </cell>
        </row>
        <row r="1418">
          <cell r="E1418" t="str">
            <v>18G0949R00</v>
          </cell>
          <cell r="F1418">
            <v>124</v>
          </cell>
        </row>
        <row r="1419">
          <cell r="E1419" t="str">
            <v>18G0950R00</v>
          </cell>
          <cell r="F1419">
            <v>47.78125</v>
          </cell>
        </row>
        <row r="1420">
          <cell r="E1420" t="str">
            <v>18G0951100</v>
          </cell>
          <cell r="F1420">
            <v>80.407407407407405</v>
          </cell>
        </row>
        <row r="1421">
          <cell r="E1421" t="str">
            <v>18G0951R00</v>
          </cell>
          <cell r="F1421">
            <v>78.555555555555557</v>
          </cell>
        </row>
        <row r="1422">
          <cell r="E1422" t="str">
            <v>18G0960100</v>
          </cell>
          <cell r="F1422">
            <v>2.5099999999999998</v>
          </cell>
        </row>
        <row r="1423">
          <cell r="E1423" t="str">
            <v>18G0970R00</v>
          </cell>
          <cell r="F1423">
            <v>26.492307692307691</v>
          </cell>
        </row>
        <row r="1424">
          <cell r="E1424" t="str">
            <v>18G0970T00</v>
          </cell>
          <cell r="F1424">
            <v>26.492307692307691</v>
          </cell>
        </row>
        <row r="1425">
          <cell r="E1425" t="str">
            <v>18G09730VF</v>
          </cell>
          <cell r="F1425">
            <v>21.797488226059656</v>
          </cell>
        </row>
        <row r="1426">
          <cell r="E1426" t="str">
            <v>18G0973100</v>
          </cell>
          <cell r="F1426">
            <v>16.55</v>
          </cell>
        </row>
        <row r="1427">
          <cell r="E1427" t="str">
            <v>18G0973200</v>
          </cell>
          <cell r="F1427">
            <v>16.55</v>
          </cell>
        </row>
        <row r="1428">
          <cell r="E1428" t="str">
            <v>18G0973300</v>
          </cell>
          <cell r="F1428">
            <v>16.55</v>
          </cell>
        </row>
        <row r="1429">
          <cell r="E1429" t="str">
            <v>18G0982100</v>
          </cell>
          <cell r="F1429">
            <v>27.730158730158731</v>
          </cell>
        </row>
        <row r="1430">
          <cell r="E1430" t="str">
            <v>18G0991100</v>
          </cell>
          <cell r="F1430">
            <v>15.259919028340081</v>
          </cell>
        </row>
        <row r="1431">
          <cell r="E1431" t="str">
            <v>18G0991200</v>
          </cell>
          <cell r="F1431">
            <v>15.260073260073261</v>
          </cell>
        </row>
        <row r="1432">
          <cell r="E1432" t="str">
            <v>18G0991300</v>
          </cell>
          <cell r="F1432">
            <v>15.259615384615385</v>
          </cell>
        </row>
        <row r="1433">
          <cell r="E1433" t="str">
            <v>18G0991400</v>
          </cell>
          <cell r="F1433">
            <v>16.738461538461539</v>
          </cell>
        </row>
        <row r="1434">
          <cell r="E1434" t="str">
            <v>18G10000VF</v>
          </cell>
          <cell r="F1434">
            <v>24.490909090909092</v>
          </cell>
        </row>
        <row r="1435">
          <cell r="E1435" t="str">
            <v>18G1000100</v>
          </cell>
          <cell r="F1435">
            <v>17.010109890109891</v>
          </cell>
        </row>
        <row r="1436">
          <cell r="E1436" t="str">
            <v>18G1000200</v>
          </cell>
          <cell r="F1436">
            <v>17.010085470085471</v>
          </cell>
        </row>
        <row r="1437">
          <cell r="E1437" t="str">
            <v>18G1000300</v>
          </cell>
          <cell r="F1437">
            <v>17.010153846153845</v>
          </cell>
        </row>
        <row r="1438">
          <cell r="E1438" t="str">
            <v>18G10200NF</v>
          </cell>
          <cell r="F1438">
            <v>11.5</v>
          </cell>
        </row>
        <row r="1439">
          <cell r="E1439" t="str">
            <v>18G10200VF</v>
          </cell>
          <cell r="F1439">
            <v>19.45940170940171</v>
          </cell>
        </row>
        <row r="1440">
          <cell r="E1440" t="str">
            <v>18G1020100</v>
          </cell>
          <cell r="F1440">
            <v>16.650089445438283</v>
          </cell>
        </row>
        <row r="1441">
          <cell r="E1441" t="str">
            <v>18G10201NF</v>
          </cell>
          <cell r="F1441">
            <v>11.666666666666666</v>
          </cell>
        </row>
        <row r="1442">
          <cell r="E1442" t="str">
            <v>18G1020200</v>
          </cell>
          <cell r="F1442">
            <v>16.649999999999999</v>
          </cell>
        </row>
        <row r="1443">
          <cell r="E1443" t="str">
            <v>18G1020300</v>
          </cell>
          <cell r="F1443">
            <v>16.649906191369606</v>
          </cell>
        </row>
        <row r="1444">
          <cell r="E1444" t="str">
            <v>18G1031100</v>
          </cell>
          <cell r="F1444">
            <v>17.409615384615385</v>
          </cell>
        </row>
        <row r="1445">
          <cell r="E1445" t="str">
            <v>18G1048R00</v>
          </cell>
          <cell r="F1445">
            <v>22.885714285714286</v>
          </cell>
        </row>
        <row r="1446">
          <cell r="E1446" t="str">
            <v>18G10490MF</v>
          </cell>
          <cell r="F1446">
            <v>6.46</v>
          </cell>
        </row>
        <row r="1447">
          <cell r="E1447" t="str">
            <v>18G10500PF</v>
          </cell>
          <cell r="F1447">
            <v>1.1299999999999999</v>
          </cell>
        </row>
        <row r="1448">
          <cell r="E1448" t="str">
            <v>18G10501TF</v>
          </cell>
          <cell r="F1448">
            <v>1.21</v>
          </cell>
        </row>
        <row r="1449">
          <cell r="E1449" t="str">
            <v>18G10510PF</v>
          </cell>
          <cell r="F1449">
            <v>0.72</v>
          </cell>
        </row>
        <row r="1450">
          <cell r="E1450" t="str">
            <v>18G10511J0</v>
          </cell>
          <cell r="F1450">
            <v>0.41697971450037563</v>
          </cell>
        </row>
        <row r="1451">
          <cell r="E1451" t="str">
            <v>18G10530PF</v>
          </cell>
          <cell r="F1451">
            <v>0.89</v>
          </cell>
        </row>
        <row r="1452">
          <cell r="E1452" t="str">
            <v>18G10531J0</v>
          </cell>
          <cell r="F1452">
            <v>0.43893510815307818</v>
          </cell>
        </row>
        <row r="1453">
          <cell r="E1453" t="str">
            <v>18G10531TF</v>
          </cell>
          <cell r="F1453">
            <v>0.87</v>
          </cell>
        </row>
        <row r="1454">
          <cell r="E1454" t="str">
            <v>18G1066100</v>
          </cell>
          <cell r="F1454">
            <v>6.8894117647058826</v>
          </cell>
        </row>
        <row r="1455">
          <cell r="E1455" t="str">
            <v>18G1071100</v>
          </cell>
          <cell r="F1455">
            <v>0.92004504504504503</v>
          </cell>
        </row>
        <row r="1456">
          <cell r="E1456" t="str">
            <v>18G1098R00</v>
          </cell>
          <cell r="F1456">
            <v>29.934426229508198</v>
          </cell>
        </row>
        <row r="1457">
          <cell r="E1457" t="str">
            <v>18G1102R00</v>
          </cell>
          <cell r="F1457">
            <v>173.49122807017545</v>
          </cell>
        </row>
        <row r="1458">
          <cell r="E1458" t="str">
            <v>18G11440NF</v>
          </cell>
          <cell r="F1458">
            <v>0.2</v>
          </cell>
        </row>
        <row r="1459">
          <cell r="E1459" t="str">
            <v>18G11441TF</v>
          </cell>
          <cell r="F1459">
            <v>0.2</v>
          </cell>
        </row>
        <row r="1460">
          <cell r="E1460" t="str">
            <v>18G1164R00</v>
          </cell>
          <cell r="F1460">
            <v>82.828804347826093</v>
          </cell>
        </row>
        <row r="1461">
          <cell r="E1461" t="str">
            <v>18G1165R00</v>
          </cell>
          <cell r="F1461">
            <v>66.970833333333331</v>
          </cell>
        </row>
        <row r="1462">
          <cell r="E1462" t="str">
            <v>18G1165T00</v>
          </cell>
          <cell r="F1462">
            <v>66.966666666666669</v>
          </cell>
        </row>
        <row r="1463">
          <cell r="E1463" t="str">
            <v>18G1167R00</v>
          </cell>
          <cell r="F1463">
            <v>84.083333333333329</v>
          </cell>
        </row>
        <row r="1464">
          <cell r="E1464" t="str">
            <v>18G1167T00</v>
          </cell>
          <cell r="F1464">
            <v>84.083333333333329</v>
          </cell>
        </row>
        <row r="1465">
          <cell r="E1465" t="str">
            <v>18G1168R00</v>
          </cell>
          <cell r="F1465">
            <v>51.46875</v>
          </cell>
        </row>
        <row r="1466">
          <cell r="E1466" t="str">
            <v>18G1169R00</v>
          </cell>
          <cell r="F1466">
            <v>82.950338600451474</v>
          </cell>
        </row>
        <row r="1467">
          <cell r="E1467" t="str">
            <v>18G1175R00</v>
          </cell>
          <cell r="F1467">
            <v>71.342857142857142</v>
          </cell>
        </row>
        <row r="1468">
          <cell r="E1468" t="str">
            <v>18G1177R00</v>
          </cell>
          <cell r="F1468">
            <v>45.819444444444443</v>
          </cell>
        </row>
        <row r="1469">
          <cell r="E1469" t="str">
            <v>18G1181100</v>
          </cell>
          <cell r="F1469">
            <v>3.5902564102564103</v>
          </cell>
        </row>
        <row r="1470">
          <cell r="E1470" t="str">
            <v>18G11950MF</v>
          </cell>
          <cell r="F1470">
            <v>160</v>
          </cell>
        </row>
        <row r="1471">
          <cell r="E1471" t="str">
            <v>18G11960MF</v>
          </cell>
          <cell r="F1471">
            <v>8.5</v>
          </cell>
        </row>
        <row r="1472">
          <cell r="E1472" t="str">
            <v>18G11970MF</v>
          </cell>
          <cell r="F1472">
            <v>10.5</v>
          </cell>
        </row>
        <row r="1473">
          <cell r="E1473" t="str">
            <v>18G11980MF</v>
          </cell>
          <cell r="F1473">
            <v>10.5</v>
          </cell>
        </row>
        <row r="1474">
          <cell r="E1474" t="str">
            <v>18G1211100</v>
          </cell>
          <cell r="F1474">
            <v>0.83989218328840975</v>
          </cell>
        </row>
        <row r="1475">
          <cell r="E1475" t="str">
            <v>18G1273100</v>
          </cell>
          <cell r="F1475">
            <v>15.470909090909091</v>
          </cell>
        </row>
        <row r="1476">
          <cell r="E1476" t="str">
            <v>18G1273R00</v>
          </cell>
          <cell r="F1476">
            <v>16.920948616600789</v>
          </cell>
        </row>
        <row r="1477">
          <cell r="E1477" t="str">
            <v>18G1274200</v>
          </cell>
          <cell r="F1477">
            <v>11.900512820512821</v>
          </cell>
        </row>
        <row r="1478">
          <cell r="E1478" t="str">
            <v>18G1275200</v>
          </cell>
          <cell r="F1478">
            <v>13.88125</v>
          </cell>
        </row>
        <row r="1479">
          <cell r="E1479" t="str">
            <v>18G1280R70</v>
          </cell>
          <cell r="F1479">
            <v>34.5625</v>
          </cell>
        </row>
        <row r="1480">
          <cell r="E1480" t="str">
            <v>18G12821TF</v>
          </cell>
          <cell r="F1480">
            <v>1.6906779661016949</v>
          </cell>
        </row>
        <row r="1481">
          <cell r="E1481" t="str">
            <v>18G12841J0</v>
          </cell>
          <cell r="F1481">
            <v>0.45601647543395119</v>
          </cell>
        </row>
        <row r="1482">
          <cell r="E1482" t="str">
            <v>18G12841TF</v>
          </cell>
          <cell r="F1482">
            <v>1.3</v>
          </cell>
        </row>
        <row r="1483">
          <cell r="E1483" t="str">
            <v>18G1285100</v>
          </cell>
          <cell r="F1483">
            <v>8.59</v>
          </cell>
        </row>
        <row r="1484">
          <cell r="E1484" t="str">
            <v>18G1285R00</v>
          </cell>
          <cell r="F1484">
            <v>9.4499999999999993</v>
          </cell>
        </row>
        <row r="1485">
          <cell r="E1485" t="str">
            <v>18G12870MF</v>
          </cell>
          <cell r="F1485">
            <v>71.5</v>
          </cell>
        </row>
        <row r="1486">
          <cell r="E1486" t="str">
            <v>18G1290100</v>
          </cell>
          <cell r="F1486">
            <v>167.3202846975089</v>
          </cell>
        </row>
        <row r="1487">
          <cell r="E1487" t="str">
            <v>18G1290R00</v>
          </cell>
          <cell r="F1487">
            <v>0</v>
          </cell>
        </row>
        <row r="1488">
          <cell r="E1488" t="str">
            <v>18G1312R70</v>
          </cell>
          <cell r="F1488">
            <v>135.40816326530611</v>
          </cell>
        </row>
        <row r="1489">
          <cell r="E1489" t="str">
            <v>18G13330MF</v>
          </cell>
          <cell r="F1489">
            <v>11</v>
          </cell>
        </row>
        <row r="1490">
          <cell r="E1490" t="str">
            <v>18G1336100</v>
          </cell>
          <cell r="F1490">
            <v>39.922222222222224</v>
          </cell>
        </row>
        <row r="1491">
          <cell r="E1491" t="str">
            <v>18G1355R00</v>
          </cell>
          <cell r="F1491">
            <v>21.844444444444445</v>
          </cell>
        </row>
        <row r="1492">
          <cell r="E1492" t="str">
            <v>18G1372R70</v>
          </cell>
          <cell r="F1492">
            <v>149.57142857142858</v>
          </cell>
        </row>
        <row r="1493">
          <cell r="E1493" t="str">
            <v>18G1377100</v>
          </cell>
          <cell r="F1493">
            <v>3.1597560975609755</v>
          </cell>
        </row>
        <row r="1494">
          <cell r="E1494" t="str">
            <v>18G14191J0</v>
          </cell>
          <cell r="F1494">
            <v>1.4264900662251656</v>
          </cell>
        </row>
        <row r="1495">
          <cell r="E1495" t="str">
            <v>18G14511J0</v>
          </cell>
          <cell r="F1495">
            <v>0.55977011494252871</v>
          </cell>
        </row>
        <row r="1496">
          <cell r="E1496" t="str">
            <v>18G1469100</v>
          </cell>
          <cell r="F1496">
            <v>2.110105580693816</v>
          </cell>
        </row>
        <row r="1497">
          <cell r="E1497" t="str">
            <v>18G1470100</v>
          </cell>
          <cell r="F1497">
            <v>2.4801806322127447</v>
          </cell>
        </row>
        <row r="1498">
          <cell r="E1498" t="str">
            <v>18G15161J0</v>
          </cell>
          <cell r="F1498">
            <v>0.36</v>
          </cell>
        </row>
        <row r="1499">
          <cell r="E1499" t="str">
            <v>18G15171J0</v>
          </cell>
          <cell r="F1499">
            <v>0.36</v>
          </cell>
        </row>
        <row r="1500">
          <cell r="E1500" t="str">
            <v>18G15201J0</v>
          </cell>
          <cell r="F1500">
            <v>0.36</v>
          </cell>
        </row>
        <row r="1501">
          <cell r="E1501" t="str">
            <v>18G15271TF</v>
          </cell>
          <cell r="F1501">
            <v>0.52</v>
          </cell>
        </row>
        <row r="1502">
          <cell r="E1502" t="str">
            <v>18G1531100</v>
          </cell>
          <cell r="F1502">
            <v>17</v>
          </cell>
        </row>
        <row r="1503">
          <cell r="E1503" t="str">
            <v>18G1531R00</v>
          </cell>
          <cell r="F1503">
            <v>18.67012987012987</v>
          </cell>
        </row>
        <row r="1504">
          <cell r="E1504" t="str">
            <v>18G15340NF</v>
          </cell>
          <cell r="F1504">
            <v>19.650909090909092</v>
          </cell>
        </row>
        <row r="1505">
          <cell r="E1505" t="str">
            <v>18G1534100</v>
          </cell>
          <cell r="F1505">
            <v>24.679930795847749</v>
          </cell>
        </row>
        <row r="1506">
          <cell r="E1506" t="str">
            <v>18G1534R00</v>
          </cell>
          <cell r="F1506">
            <v>25.48</v>
          </cell>
        </row>
        <row r="1507">
          <cell r="E1507" t="str">
            <v>18G15441TF</v>
          </cell>
          <cell r="F1507">
            <v>0.56996644295302012</v>
          </cell>
        </row>
        <row r="1508">
          <cell r="E1508" t="str">
            <v>18G1548100</v>
          </cell>
          <cell r="F1508">
            <v>31.8</v>
          </cell>
        </row>
        <row r="1509">
          <cell r="E1509" t="str">
            <v>18G1548R00</v>
          </cell>
          <cell r="F1509">
            <v>32.87222222222222</v>
          </cell>
        </row>
        <row r="1510">
          <cell r="E1510" t="str">
            <v>18G15510MF</v>
          </cell>
          <cell r="F1510">
            <v>2.5</v>
          </cell>
        </row>
        <row r="1511">
          <cell r="E1511" t="str">
            <v>18G1555100</v>
          </cell>
          <cell r="F1511">
            <v>19.07</v>
          </cell>
        </row>
        <row r="1512">
          <cell r="E1512" t="str">
            <v>18G1555200</v>
          </cell>
          <cell r="F1512">
            <v>19.07</v>
          </cell>
        </row>
        <row r="1513">
          <cell r="E1513" t="str">
            <v>18G1555R00</v>
          </cell>
          <cell r="F1513">
            <v>21.74</v>
          </cell>
        </row>
        <row r="1514">
          <cell r="E1514" t="str">
            <v>18G1559100</v>
          </cell>
          <cell r="F1514">
            <v>16.214285714285715</v>
          </cell>
        </row>
        <row r="1515">
          <cell r="E1515" t="str">
            <v>18G1559200</v>
          </cell>
          <cell r="F1515">
            <v>15.810204081632653</v>
          </cell>
        </row>
        <row r="1516">
          <cell r="E1516" t="str">
            <v>18G1559300</v>
          </cell>
          <cell r="F1516">
            <v>20.385714285714286</v>
          </cell>
        </row>
        <row r="1517">
          <cell r="E1517" t="str">
            <v>18G1559R00</v>
          </cell>
          <cell r="F1517">
            <v>22.390476190476189</v>
          </cell>
        </row>
        <row r="1518">
          <cell r="E1518" t="str">
            <v>18G15621J0</v>
          </cell>
          <cell r="F1518">
            <v>0.8236842105263158</v>
          </cell>
        </row>
        <row r="1519">
          <cell r="E1519" t="str">
            <v>18G1569100</v>
          </cell>
          <cell r="F1519">
            <v>21.074285714285715</v>
          </cell>
        </row>
        <row r="1520">
          <cell r="E1520" t="str">
            <v>18G1569200</v>
          </cell>
          <cell r="F1520">
            <v>20.668571428571429</v>
          </cell>
        </row>
        <row r="1521">
          <cell r="E1521" t="str">
            <v>18G1572100</v>
          </cell>
          <cell r="F1521">
            <v>0.63</v>
          </cell>
        </row>
        <row r="1522">
          <cell r="E1522" t="str">
            <v>18G1573170</v>
          </cell>
          <cell r="F1522">
            <v>162.34166666666667</v>
          </cell>
        </row>
        <row r="1523">
          <cell r="E1523" t="str">
            <v>18G1596170</v>
          </cell>
          <cell r="F1523">
            <v>105.484375</v>
          </cell>
        </row>
        <row r="1524">
          <cell r="E1524" t="str">
            <v>18G1596R70</v>
          </cell>
          <cell r="F1524">
            <v>119</v>
          </cell>
        </row>
        <row r="1525">
          <cell r="E1525" t="str">
            <v>18G16030MF</v>
          </cell>
          <cell r="F1525">
            <v>16.57</v>
          </cell>
        </row>
        <row r="1526">
          <cell r="E1526" t="str">
            <v>18G16040PF</v>
          </cell>
          <cell r="F1526">
            <v>3.03</v>
          </cell>
        </row>
        <row r="1527">
          <cell r="E1527" t="str">
            <v>18G16060PF</v>
          </cell>
          <cell r="F1527">
            <v>1.2</v>
          </cell>
        </row>
        <row r="1528">
          <cell r="E1528" t="str">
            <v>18G16070PF</v>
          </cell>
          <cell r="F1528">
            <v>0.45</v>
          </cell>
        </row>
        <row r="1529">
          <cell r="E1529" t="str">
            <v>18G16080PF</v>
          </cell>
          <cell r="F1529">
            <v>0.45</v>
          </cell>
        </row>
        <row r="1530">
          <cell r="E1530" t="str">
            <v>18G16090PF</v>
          </cell>
          <cell r="F1530">
            <v>1.47</v>
          </cell>
        </row>
        <row r="1531">
          <cell r="E1531" t="str">
            <v>18G1611100</v>
          </cell>
          <cell r="F1531">
            <v>1.23</v>
          </cell>
        </row>
        <row r="1532">
          <cell r="E1532" t="str">
            <v>18G16320PF</v>
          </cell>
          <cell r="F1532">
            <v>1.64</v>
          </cell>
        </row>
        <row r="1533">
          <cell r="E1533" t="str">
            <v>18G16361J0</v>
          </cell>
          <cell r="F1533">
            <v>1.6119850187265918</v>
          </cell>
        </row>
        <row r="1534">
          <cell r="E1534" t="str">
            <v>18G16620PF</v>
          </cell>
          <cell r="F1534">
            <v>1.66</v>
          </cell>
        </row>
        <row r="1535">
          <cell r="E1535" t="str">
            <v>18G1666R00</v>
          </cell>
          <cell r="F1535">
            <v>24.41</v>
          </cell>
        </row>
        <row r="1536">
          <cell r="E1536" t="str">
            <v>18G16761TF</v>
          </cell>
          <cell r="F1536">
            <v>1.1398058252427183</v>
          </cell>
        </row>
        <row r="1537">
          <cell r="E1537" t="str">
            <v>18G1680100</v>
          </cell>
          <cell r="F1537">
            <v>133.36363636363637</v>
          </cell>
        </row>
        <row r="1538">
          <cell r="E1538" t="str">
            <v>18G1690100</v>
          </cell>
          <cell r="F1538">
            <v>137.80000000000001</v>
          </cell>
        </row>
        <row r="1539">
          <cell r="E1539" t="str">
            <v>18G1700100</v>
          </cell>
          <cell r="F1539">
            <v>156.13003095975233</v>
          </cell>
        </row>
        <row r="1540">
          <cell r="E1540" t="str">
            <v>18G1710100</v>
          </cell>
          <cell r="F1540">
            <v>160.546875</v>
          </cell>
        </row>
        <row r="1541">
          <cell r="E1541" t="str">
            <v>18G1720100</v>
          </cell>
          <cell r="F1541">
            <v>160.28571428571428</v>
          </cell>
        </row>
        <row r="1542">
          <cell r="E1542" t="str">
            <v>18G1730100</v>
          </cell>
          <cell r="F1542">
            <v>164.66666666666666</v>
          </cell>
        </row>
        <row r="1543">
          <cell r="E1543" t="str">
            <v>18G1780100</v>
          </cell>
          <cell r="F1543">
            <v>337</v>
          </cell>
        </row>
        <row r="1544">
          <cell r="E1544" t="str">
            <v>18G1786100</v>
          </cell>
          <cell r="F1544">
            <v>31.979166666666668</v>
          </cell>
        </row>
        <row r="1545">
          <cell r="E1545" t="str">
            <v>18G1822R00</v>
          </cell>
          <cell r="F1545">
            <v>495.83333333333331</v>
          </cell>
        </row>
        <row r="1546">
          <cell r="E1546" t="str">
            <v>18G1841200</v>
          </cell>
          <cell r="F1546">
            <v>10.666666666666666</v>
          </cell>
        </row>
        <row r="1547">
          <cell r="E1547" t="str">
            <v>18G1841R00</v>
          </cell>
          <cell r="F1547">
            <v>12.285714285714286</v>
          </cell>
        </row>
        <row r="1548">
          <cell r="E1548" t="str">
            <v>18G1841T00</v>
          </cell>
          <cell r="F1548">
            <v>12.285714285714286</v>
          </cell>
        </row>
        <row r="1549">
          <cell r="E1549" t="str">
            <v>18G18430MF</v>
          </cell>
          <cell r="F1549">
            <v>122.13142857142857</v>
          </cell>
        </row>
        <row r="1550">
          <cell r="E1550" t="str">
            <v>18G18460MF</v>
          </cell>
          <cell r="F1550">
            <v>27.549382716049383</v>
          </cell>
        </row>
        <row r="1551">
          <cell r="E1551" t="str">
            <v>18G1857R00</v>
          </cell>
          <cell r="F1551">
            <v>197.86666666666667</v>
          </cell>
        </row>
        <row r="1552">
          <cell r="E1552" t="str">
            <v>18G1894R00</v>
          </cell>
          <cell r="F1552">
            <v>61.411764705882355</v>
          </cell>
        </row>
        <row r="1553">
          <cell r="E1553" t="str">
            <v>18G1903R00</v>
          </cell>
          <cell r="F1553">
            <v>35.85</v>
          </cell>
        </row>
        <row r="1554">
          <cell r="E1554" t="str">
            <v>18G1904R00</v>
          </cell>
          <cell r="F1554">
            <v>32.96875</v>
          </cell>
        </row>
        <row r="1555">
          <cell r="E1555" t="str">
            <v>18G19151TF</v>
          </cell>
          <cell r="F1555">
            <v>44.161290322580648</v>
          </cell>
        </row>
        <row r="1556">
          <cell r="E1556" t="str">
            <v>18G1935100</v>
          </cell>
          <cell r="F1556">
            <v>201.21428571428572</v>
          </cell>
        </row>
        <row r="1557">
          <cell r="E1557" t="str">
            <v>18G1937100</v>
          </cell>
          <cell r="F1557">
            <v>321.66666666666669</v>
          </cell>
        </row>
        <row r="1558">
          <cell r="E1558" t="str">
            <v>18G1938R00</v>
          </cell>
          <cell r="F1558">
            <v>279.84722222222223</v>
          </cell>
        </row>
        <row r="1559">
          <cell r="E1559" t="str">
            <v>18G1939100</v>
          </cell>
          <cell r="F1559">
            <v>132.93333333333334</v>
          </cell>
        </row>
        <row r="1560">
          <cell r="E1560" t="str">
            <v>18G1962100</v>
          </cell>
          <cell r="F1560">
            <v>107.890625</v>
          </cell>
        </row>
        <row r="1561">
          <cell r="E1561" t="str">
            <v>18G1962T70</v>
          </cell>
          <cell r="F1561">
            <v>121.25</v>
          </cell>
        </row>
        <row r="1562">
          <cell r="E1562" t="str">
            <v>18G1965100</v>
          </cell>
          <cell r="F1562">
            <v>2.4588235294117649</v>
          </cell>
        </row>
        <row r="1563">
          <cell r="E1563" t="str">
            <v>18G19750MF</v>
          </cell>
          <cell r="F1563">
            <v>0.53</v>
          </cell>
        </row>
        <row r="1564">
          <cell r="E1564" t="str">
            <v>18G19750PF</v>
          </cell>
          <cell r="F1564">
            <v>0.46</v>
          </cell>
        </row>
        <row r="1565">
          <cell r="E1565" t="str">
            <v>18G1979170</v>
          </cell>
          <cell r="F1565">
            <v>46.040145985401459</v>
          </cell>
        </row>
        <row r="1566">
          <cell r="E1566" t="str">
            <v>18G1980170</v>
          </cell>
          <cell r="F1566">
            <v>73.70754716981132</v>
          </cell>
        </row>
        <row r="1567">
          <cell r="E1567" t="str">
            <v>18G1981170</v>
          </cell>
          <cell r="F1567">
            <v>96.95867768595042</v>
          </cell>
        </row>
        <row r="1568">
          <cell r="E1568" t="str">
            <v>18G19880PF</v>
          </cell>
          <cell r="F1568">
            <v>0.36</v>
          </cell>
        </row>
        <row r="1569">
          <cell r="E1569" t="str">
            <v>18G1988100</v>
          </cell>
          <cell r="F1569">
            <v>0.24199999999999999</v>
          </cell>
        </row>
        <row r="1570">
          <cell r="E1570" t="str">
            <v>18G19881J0</v>
          </cell>
          <cell r="F1570">
            <v>0.24099999999999999</v>
          </cell>
        </row>
        <row r="1571">
          <cell r="E1571" t="str">
            <v>18G19881TF</v>
          </cell>
          <cell r="F1571">
            <v>0.7</v>
          </cell>
        </row>
        <row r="1572">
          <cell r="E1572" t="str">
            <v>18G20201J0</v>
          </cell>
          <cell r="F1572">
            <v>17.43280977312391</v>
          </cell>
        </row>
        <row r="1573">
          <cell r="E1573" t="str">
            <v>18G2021200</v>
          </cell>
          <cell r="F1573">
            <v>30.55</v>
          </cell>
        </row>
        <row r="1574">
          <cell r="E1574" t="str">
            <v>18G2024200</v>
          </cell>
          <cell r="F1574">
            <v>34.154761904761905</v>
          </cell>
        </row>
        <row r="1575">
          <cell r="E1575" t="str">
            <v>18G20280NF</v>
          </cell>
          <cell r="F1575">
            <v>0.94</v>
          </cell>
        </row>
        <row r="1576">
          <cell r="E1576" t="str">
            <v>18G2122R00</v>
          </cell>
          <cell r="F1576">
            <v>328.35</v>
          </cell>
        </row>
        <row r="1577">
          <cell r="E1577" t="str">
            <v>18G2123100</v>
          </cell>
          <cell r="F1577">
            <v>164.5</v>
          </cell>
        </row>
        <row r="1578">
          <cell r="E1578" t="str">
            <v>18G2142100</v>
          </cell>
          <cell r="F1578">
            <v>42.991666666666667</v>
          </cell>
        </row>
        <row r="1579">
          <cell r="E1579" t="str">
            <v>18G2143R00</v>
          </cell>
          <cell r="F1579">
            <v>36.208333333333336</v>
          </cell>
        </row>
        <row r="1580">
          <cell r="E1580" t="str">
            <v>18G2166100</v>
          </cell>
          <cell r="F1580">
            <v>11.249496981891348</v>
          </cell>
        </row>
        <row r="1581">
          <cell r="E1581" t="str">
            <v>18G2167100</v>
          </cell>
          <cell r="F1581">
            <v>3.9497307001795332</v>
          </cell>
        </row>
        <row r="1582">
          <cell r="E1582" t="str">
            <v>18G22851TF</v>
          </cell>
          <cell r="F1582">
            <v>3.0501240694789082</v>
          </cell>
        </row>
        <row r="1583">
          <cell r="E1583" t="str">
            <v>18G2330100</v>
          </cell>
          <cell r="F1583">
            <v>21.720238095238095</v>
          </cell>
        </row>
        <row r="1584">
          <cell r="E1584" t="str">
            <v>18G23551TF</v>
          </cell>
          <cell r="F1584">
            <v>0.4</v>
          </cell>
        </row>
        <row r="1585">
          <cell r="E1585" t="str">
            <v>18G2356100</v>
          </cell>
          <cell r="F1585">
            <v>19.810087493566648</v>
          </cell>
        </row>
        <row r="1586">
          <cell r="E1586" t="str">
            <v>18G2374R00</v>
          </cell>
          <cell r="F1586">
            <v>260.52499999999998</v>
          </cell>
        </row>
        <row r="1587">
          <cell r="E1587" t="str">
            <v>18G23960NF</v>
          </cell>
          <cell r="F1587">
            <v>0</v>
          </cell>
        </row>
        <row r="1588">
          <cell r="E1588" t="str">
            <v>18G2396100</v>
          </cell>
          <cell r="F1588">
            <v>0</v>
          </cell>
        </row>
        <row r="1589">
          <cell r="E1589" t="str">
            <v>18G2429100</v>
          </cell>
          <cell r="F1589">
            <v>29.573863636363637</v>
          </cell>
        </row>
        <row r="1590">
          <cell r="E1590" t="str">
            <v>18G2429R00</v>
          </cell>
          <cell r="F1590">
            <v>37.203125</v>
          </cell>
        </row>
        <row r="1591">
          <cell r="E1591" t="str">
            <v>18G2430R00</v>
          </cell>
          <cell r="F1591">
            <v>23.172727272727272</v>
          </cell>
        </row>
        <row r="1592">
          <cell r="E1592" t="str">
            <v>18G24340NF</v>
          </cell>
          <cell r="F1592">
            <v>11.5</v>
          </cell>
        </row>
        <row r="1593">
          <cell r="E1593" t="str">
            <v>18G2451100</v>
          </cell>
          <cell r="F1593">
            <v>73.99166666666666</v>
          </cell>
        </row>
        <row r="1594">
          <cell r="E1594" t="str">
            <v>18G2452100</v>
          </cell>
          <cell r="F1594">
            <v>69.550724637681157</v>
          </cell>
        </row>
        <row r="1595">
          <cell r="E1595" t="str">
            <v>18G2452R00</v>
          </cell>
          <cell r="F1595">
            <v>80.566666666666663</v>
          </cell>
        </row>
        <row r="1596">
          <cell r="E1596" t="str">
            <v>18G2454100</v>
          </cell>
          <cell r="F1596">
            <v>69.53125</v>
          </cell>
        </row>
        <row r="1597">
          <cell r="E1597" t="str">
            <v>18G2454C00</v>
          </cell>
          <cell r="F1597">
            <v>97.520833333333329</v>
          </cell>
        </row>
        <row r="1598">
          <cell r="E1598" t="str">
            <v>18G2459R00</v>
          </cell>
          <cell r="F1598">
            <v>39.947916666666664</v>
          </cell>
        </row>
        <row r="1599">
          <cell r="E1599" t="str">
            <v>18G2460100</v>
          </cell>
          <cell r="F1599">
            <v>41.9</v>
          </cell>
        </row>
        <row r="1600">
          <cell r="E1600" t="str">
            <v>18G2461100</v>
          </cell>
          <cell r="F1600">
            <v>39.049999999999997</v>
          </cell>
        </row>
        <row r="1601">
          <cell r="E1601" t="str">
            <v>18G2462100</v>
          </cell>
          <cell r="F1601">
            <v>37.03125</v>
          </cell>
        </row>
        <row r="1602">
          <cell r="E1602" t="str">
            <v>18G2525100</v>
          </cell>
          <cell r="F1602">
            <v>212.35</v>
          </cell>
        </row>
        <row r="1603">
          <cell r="E1603" t="str">
            <v>18G2526100</v>
          </cell>
          <cell r="F1603">
            <v>214.82051282051282</v>
          </cell>
        </row>
        <row r="1604">
          <cell r="E1604" t="str">
            <v>18G2554100</v>
          </cell>
          <cell r="F1604">
            <v>250.41860465116278</v>
          </cell>
        </row>
        <row r="1605">
          <cell r="E1605" t="str">
            <v>18G2555100</v>
          </cell>
          <cell r="F1605">
            <v>247.63793103448276</v>
          </cell>
        </row>
        <row r="1606">
          <cell r="E1606" t="str">
            <v>18G2556100</v>
          </cell>
          <cell r="F1606">
            <v>17.040186371578333</v>
          </cell>
        </row>
        <row r="1607">
          <cell r="E1607" t="str">
            <v>18G2562100</v>
          </cell>
          <cell r="F1607">
            <v>207.15625</v>
          </cell>
        </row>
        <row r="1608">
          <cell r="E1608" t="str">
            <v>18G2563100</v>
          </cell>
          <cell r="F1608">
            <v>204.50095238095238</v>
          </cell>
        </row>
        <row r="1609">
          <cell r="E1609" t="str">
            <v>18G2586100</v>
          </cell>
          <cell r="F1609">
            <v>15.5875</v>
          </cell>
        </row>
        <row r="1610">
          <cell r="E1610" t="str">
            <v>18G2596100</v>
          </cell>
          <cell r="F1610">
            <v>9.8695652173913047</v>
          </cell>
        </row>
        <row r="1611">
          <cell r="E1611" t="str">
            <v>18G2597100</v>
          </cell>
          <cell r="F1611">
            <v>9.870419231896804</v>
          </cell>
        </row>
        <row r="1612">
          <cell r="E1612" t="str">
            <v>18G2602200</v>
          </cell>
          <cell r="F1612">
            <v>20.590277777777779</v>
          </cell>
        </row>
        <row r="1613">
          <cell r="E1613" t="str">
            <v>18G2602R00</v>
          </cell>
          <cell r="F1613">
            <v>23.243055555555557</v>
          </cell>
        </row>
        <row r="1614">
          <cell r="E1614" t="str">
            <v>18G2621100</v>
          </cell>
          <cell r="F1614">
            <v>9.8000000000000007</v>
          </cell>
        </row>
        <row r="1615">
          <cell r="E1615" t="str">
            <v>18G2622100</v>
          </cell>
          <cell r="F1615">
            <v>9</v>
          </cell>
        </row>
        <row r="1616">
          <cell r="E1616" t="str">
            <v>18G2626100</v>
          </cell>
          <cell r="F1616">
            <v>10</v>
          </cell>
        </row>
        <row r="1617">
          <cell r="E1617" t="str">
            <v>18G2627100</v>
          </cell>
          <cell r="F1617">
            <v>8.8333333333333339</v>
          </cell>
        </row>
        <row r="1618">
          <cell r="E1618" t="str">
            <v>18G2628100</v>
          </cell>
          <cell r="F1618">
            <v>9.85</v>
          </cell>
        </row>
        <row r="1619">
          <cell r="E1619" t="str">
            <v>18G2630100</v>
          </cell>
          <cell r="F1619">
            <v>8.8333333333333339</v>
          </cell>
        </row>
        <row r="1620">
          <cell r="E1620" t="str">
            <v>18G2640100</v>
          </cell>
          <cell r="F1620">
            <v>13.66</v>
          </cell>
        </row>
        <row r="1621">
          <cell r="E1621" t="str">
            <v>18G2644R00</v>
          </cell>
          <cell r="F1621">
            <v>74.262857142857143</v>
          </cell>
        </row>
        <row r="1622">
          <cell r="E1622" t="str">
            <v>18G2645100</v>
          </cell>
          <cell r="F1622">
            <v>104.18990384615384</v>
          </cell>
        </row>
        <row r="1623">
          <cell r="E1623" t="str">
            <v>18G2645200</v>
          </cell>
          <cell r="F1623">
            <v>104.1875</v>
          </cell>
        </row>
        <row r="1624">
          <cell r="E1624" t="str">
            <v>18G2665100</v>
          </cell>
          <cell r="F1624">
            <v>19.980509745127435</v>
          </cell>
        </row>
        <row r="1625">
          <cell r="E1625" t="str">
            <v>18G2686R00</v>
          </cell>
          <cell r="F1625">
            <v>8.82</v>
          </cell>
        </row>
        <row r="1626">
          <cell r="E1626" t="str">
            <v>18G26910NF</v>
          </cell>
          <cell r="F1626">
            <v>42.3</v>
          </cell>
        </row>
        <row r="1627">
          <cell r="E1627" t="str">
            <v>18G26920NF</v>
          </cell>
          <cell r="F1627">
            <v>33.75</v>
          </cell>
        </row>
        <row r="1628">
          <cell r="E1628" t="str">
            <v>18G2742100</v>
          </cell>
          <cell r="F1628">
            <v>15.170073589533933</v>
          </cell>
        </row>
        <row r="1629">
          <cell r="E1629" t="str">
            <v>18G2743100</v>
          </cell>
          <cell r="F1629">
            <v>15.169491525423728</v>
          </cell>
        </row>
        <row r="1630">
          <cell r="E1630" t="str">
            <v>18G2779100</v>
          </cell>
          <cell r="F1630">
            <v>41.689814814814817</v>
          </cell>
        </row>
        <row r="1631">
          <cell r="E1631" t="str">
            <v>18G2779200</v>
          </cell>
          <cell r="F1631">
            <v>37.229957805907176</v>
          </cell>
        </row>
        <row r="1632">
          <cell r="E1632" t="str">
            <v>18G2780100</v>
          </cell>
          <cell r="F1632">
            <v>46.560185185185183</v>
          </cell>
        </row>
        <row r="1633">
          <cell r="E1633" t="str">
            <v>18G2780200</v>
          </cell>
          <cell r="F1633">
            <v>42.083333333333336</v>
          </cell>
        </row>
        <row r="1634">
          <cell r="E1634" t="str">
            <v>18G2832100</v>
          </cell>
          <cell r="F1634">
            <v>40</v>
          </cell>
        </row>
        <row r="1635">
          <cell r="E1635" t="str">
            <v>18G28351J0</v>
          </cell>
          <cell r="F1635">
            <v>124.92265625</v>
          </cell>
        </row>
        <row r="1636">
          <cell r="E1636" t="str">
            <v>18G2860100</v>
          </cell>
          <cell r="F1636">
            <v>24.230005227391533</v>
          </cell>
        </row>
        <row r="1637">
          <cell r="E1637" t="str">
            <v>18G2860R00</v>
          </cell>
          <cell r="F1637">
            <v>24.475000000000001</v>
          </cell>
        </row>
        <row r="1638">
          <cell r="E1638" t="str">
            <v>18G2869100</v>
          </cell>
          <cell r="F1638">
            <v>41.380357142857143</v>
          </cell>
        </row>
        <row r="1639">
          <cell r="E1639" t="str">
            <v>18G2869R00</v>
          </cell>
          <cell r="F1639">
            <v>43.5</v>
          </cell>
        </row>
        <row r="1640">
          <cell r="E1640" t="str">
            <v>18G28731TF</v>
          </cell>
          <cell r="F1640">
            <v>19.149999999999999</v>
          </cell>
        </row>
        <row r="1641">
          <cell r="E1641" t="str">
            <v>18G2895100</v>
          </cell>
          <cell r="F1641">
            <v>87.229965725477399</v>
          </cell>
        </row>
        <row r="1642">
          <cell r="E1642" t="str">
            <v>18G28970VF</v>
          </cell>
          <cell r="F1642">
            <v>90.830188679245282</v>
          </cell>
        </row>
        <row r="1643">
          <cell r="E1643" t="str">
            <v>18G2897100</v>
          </cell>
          <cell r="F1643">
            <v>89.300053908355792</v>
          </cell>
        </row>
        <row r="1644">
          <cell r="E1644" t="str">
            <v>18G29030MF</v>
          </cell>
          <cell r="F1644">
            <v>25.15</v>
          </cell>
        </row>
        <row r="1645">
          <cell r="E1645" t="str">
            <v>18G2903100</v>
          </cell>
          <cell r="F1645">
            <v>27.225000000000001</v>
          </cell>
        </row>
        <row r="1646">
          <cell r="E1646" t="str">
            <v>18G2903R00</v>
          </cell>
          <cell r="F1646">
            <v>34.770833333333336</v>
          </cell>
        </row>
        <row r="1647">
          <cell r="E1647" t="str">
            <v>18G29040PF</v>
          </cell>
          <cell r="F1647">
            <v>3.72</v>
          </cell>
        </row>
        <row r="1648">
          <cell r="E1648" t="str">
            <v>18G2905R00</v>
          </cell>
          <cell r="F1648">
            <v>34.770833333333336</v>
          </cell>
        </row>
        <row r="1649">
          <cell r="E1649" t="str">
            <v>18G29060PF</v>
          </cell>
          <cell r="F1649">
            <v>4.8099999999999996</v>
          </cell>
        </row>
        <row r="1650">
          <cell r="E1650" t="str">
            <v>18G29081TF</v>
          </cell>
          <cell r="F1650">
            <v>3.5</v>
          </cell>
        </row>
        <row r="1651">
          <cell r="E1651" t="str">
            <v>18G29100MF</v>
          </cell>
          <cell r="F1651">
            <v>95.43</v>
          </cell>
        </row>
        <row r="1652">
          <cell r="E1652" t="str">
            <v>18G29100PF</v>
          </cell>
          <cell r="F1652">
            <v>145.97</v>
          </cell>
        </row>
        <row r="1653">
          <cell r="E1653" t="str">
            <v>18G29102J0</v>
          </cell>
          <cell r="F1653">
            <v>118.70149253731343</v>
          </cell>
        </row>
        <row r="1654">
          <cell r="E1654" t="str">
            <v>18G2934100</v>
          </cell>
          <cell r="F1654">
            <v>143.89583333333334</v>
          </cell>
        </row>
        <row r="1655">
          <cell r="E1655" t="str">
            <v>18G2934170</v>
          </cell>
          <cell r="F1655">
            <v>142.72499999999999</v>
          </cell>
        </row>
        <row r="1656">
          <cell r="E1656" t="str">
            <v>18G2934R70</v>
          </cell>
          <cell r="F1656">
            <v>160.45833333333334</v>
          </cell>
        </row>
        <row r="1657">
          <cell r="E1657" t="str">
            <v>18G2934T70</v>
          </cell>
          <cell r="F1657">
            <v>160.46875</v>
          </cell>
        </row>
        <row r="1658">
          <cell r="E1658" t="str">
            <v>18G2935170</v>
          </cell>
          <cell r="F1658">
            <v>120.81521739130434</v>
          </cell>
        </row>
        <row r="1659">
          <cell r="E1659" t="str">
            <v>18G2935R70</v>
          </cell>
          <cell r="F1659">
            <v>134.28125</v>
          </cell>
        </row>
        <row r="1660">
          <cell r="E1660" t="str">
            <v>18G2939R00</v>
          </cell>
          <cell r="F1660">
            <v>288</v>
          </cell>
        </row>
        <row r="1661">
          <cell r="E1661" t="str">
            <v>18G2942100</v>
          </cell>
          <cell r="F1661">
            <v>104.79166666666667</v>
          </cell>
        </row>
        <row r="1662">
          <cell r="E1662" t="str">
            <v>18G29450NF</v>
          </cell>
          <cell r="F1662">
            <v>0</v>
          </cell>
        </row>
        <row r="1663">
          <cell r="E1663" t="str">
            <v>18G2945100</v>
          </cell>
          <cell r="F1663">
            <v>101.33960176991151</v>
          </cell>
        </row>
        <row r="1664">
          <cell r="E1664" t="str">
            <v>18G2945200</v>
          </cell>
          <cell r="F1664">
            <v>146.61111111111111</v>
          </cell>
        </row>
        <row r="1665">
          <cell r="E1665" t="str">
            <v>18G2945R00</v>
          </cell>
          <cell r="F1665">
            <v>113.53125</v>
          </cell>
        </row>
        <row r="1666">
          <cell r="E1666" t="str">
            <v>18G29521NF</v>
          </cell>
          <cell r="F1666">
            <v>1.56</v>
          </cell>
        </row>
        <row r="1667">
          <cell r="E1667" t="str">
            <v>18G29521TF</v>
          </cell>
          <cell r="F1667">
            <v>1.73</v>
          </cell>
        </row>
        <row r="1668">
          <cell r="E1668" t="str">
            <v>18G2955100</v>
          </cell>
          <cell r="F1668">
            <v>106.09166666666667</v>
          </cell>
        </row>
        <row r="1669">
          <cell r="E1669" t="str">
            <v>18G2956100</v>
          </cell>
          <cell r="F1669">
            <v>101.94027777777778</v>
          </cell>
        </row>
        <row r="1670">
          <cell r="E1670" t="str">
            <v>18G2960100</v>
          </cell>
          <cell r="F1670">
            <v>252.7409090909091</v>
          </cell>
        </row>
        <row r="1671">
          <cell r="E1671" t="str">
            <v>18G2960R00</v>
          </cell>
          <cell r="F1671">
            <v>271.27499999999998</v>
          </cell>
        </row>
        <row r="1672">
          <cell r="E1672" t="str">
            <v>18G2982100</v>
          </cell>
          <cell r="F1672">
            <v>93.039743589743594</v>
          </cell>
        </row>
        <row r="1673">
          <cell r="E1673" t="str">
            <v>18G2982R00</v>
          </cell>
          <cell r="F1673">
            <v>110.71428571428571</v>
          </cell>
        </row>
        <row r="1674">
          <cell r="E1674" t="str">
            <v>18G2987100</v>
          </cell>
          <cell r="F1674">
            <v>93.604166666666671</v>
          </cell>
        </row>
        <row r="1675">
          <cell r="E1675" t="str">
            <v>18G29940WF</v>
          </cell>
          <cell r="F1675">
            <v>3.5097613882863339</v>
          </cell>
        </row>
        <row r="1676">
          <cell r="E1676" t="str">
            <v>18G2997100</v>
          </cell>
          <cell r="F1676">
            <v>93.239766081871352</v>
          </cell>
        </row>
        <row r="1677">
          <cell r="E1677" t="str">
            <v>18G2997R00</v>
          </cell>
          <cell r="F1677">
            <v>112.6</v>
          </cell>
        </row>
        <row r="1678">
          <cell r="E1678" t="str">
            <v>18G30000NF</v>
          </cell>
          <cell r="F1678">
            <v>11.28</v>
          </cell>
        </row>
        <row r="1679">
          <cell r="E1679" t="str">
            <v>18G30000VF</v>
          </cell>
          <cell r="F1679">
            <v>19.07</v>
          </cell>
        </row>
        <row r="1680">
          <cell r="E1680" t="str">
            <v>18G30001TF</v>
          </cell>
          <cell r="F1680">
            <v>11.28125</v>
          </cell>
        </row>
        <row r="1681">
          <cell r="E1681" t="str">
            <v>18G3004100</v>
          </cell>
          <cell r="F1681">
            <v>10.370967741935484</v>
          </cell>
        </row>
        <row r="1682">
          <cell r="E1682" t="str">
            <v>18G3024C00</v>
          </cell>
          <cell r="F1682">
            <v>108.78888888888889</v>
          </cell>
        </row>
        <row r="1683">
          <cell r="E1683" t="str">
            <v>18G3025100</v>
          </cell>
          <cell r="F1683">
            <v>123.8894472361809</v>
          </cell>
        </row>
        <row r="1684">
          <cell r="E1684" t="str">
            <v>18G3027100</v>
          </cell>
          <cell r="F1684">
            <v>92.410256410256409</v>
          </cell>
        </row>
        <row r="1685">
          <cell r="E1685" t="str">
            <v>18G3029100</v>
          </cell>
          <cell r="F1685">
            <v>30.863095238095237</v>
          </cell>
        </row>
        <row r="1686">
          <cell r="E1686" t="str">
            <v>18G3029R00</v>
          </cell>
          <cell r="F1686">
            <v>47.966666666666669</v>
          </cell>
        </row>
        <row r="1687">
          <cell r="E1687" t="str">
            <v>18G3029T00</v>
          </cell>
          <cell r="F1687">
            <v>47.966666666666669</v>
          </cell>
        </row>
        <row r="1688">
          <cell r="E1688" t="str">
            <v>18G3035100</v>
          </cell>
          <cell r="F1688">
            <v>19.677443609022557</v>
          </cell>
        </row>
        <row r="1689">
          <cell r="E1689" t="str">
            <v>18G30561TF</v>
          </cell>
          <cell r="F1689">
            <v>0.08</v>
          </cell>
        </row>
        <row r="1690">
          <cell r="E1690" t="str">
            <v>18G3061100</v>
          </cell>
          <cell r="F1690">
            <v>38.439971020492649</v>
          </cell>
        </row>
        <row r="1691">
          <cell r="E1691" t="str">
            <v>18G3062100</v>
          </cell>
          <cell r="F1691">
            <v>41.49111111111111</v>
          </cell>
        </row>
        <row r="1692">
          <cell r="E1692" t="str">
            <v>18G3083100</v>
          </cell>
          <cell r="F1692">
            <v>71.666666666666671</v>
          </cell>
        </row>
        <row r="1693">
          <cell r="E1693" t="str">
            <v>18G3105100</v>
          </cell>
          <cell r="F1693">
            <v>22.730158730158731</v>
          </cell>
        </row>
        <row r="1694">
          <cell r="E1694" t="str">
            <v>18G3105R00</v>
          </cell>
          <cell r="F1694">
            <v>25.024999999999999</v>
          </cell>
        </row>
        <row r="1695">
          <cell r="E1695" t="str">
            <v>18G3106100</v>
          </cell>
          <cell r="F1695">
            <v>161.36893203883494</v>
          </cell>
        </row>
        <row r="1696">
          <cell r="E1696" t="str">
            <v>18G3106R00</v>
          </cell>
          <cell r="F1696">
            <v>149.08000000000001</v>
          </cell>
        </row>
        <row r="1697">
          <cell r="E1697" t="str">
            <v>18G3107100</v>
          </cell>
          <cell r="F1697">
            <v>21.450549450549449</v>
          </cell>
        </row>
        <row r="1698">
          <cell r="E1698" t="str">
            <v>18G3107R00</v>
          </cell>
          <cell r="F1698">
            <v>26.925000000000001</v>
          </cell>
        </row>
        <row r="1699">
          <cell r="E1699" t="str">
            <v>18G3108100</v>
          </cell>
          <cell r="F1699">
            <v>31.51</v>
          </cell>
        </row>
        <row r="1700">
          <cell r="E1700" t="str">
            <v>18G3108R00</v>
          </cell>
          <cell r="F1700">
            <v>37.6</v>
          </cell>
        </row>
        <row r="1701">
          <cell r="E1701" t="str">
            <v>18G3109100</v>
          </cell>
          <cell r="F1701">
            <v>21.969949494949496</v>
          </cell>
        </row>
        <row r="1702">
          <cell r="E1702" t="str">
            <v>18G3109R00</v>
          </cell>
          <cell r="F1702">
            <v>28.95</v>
          </cell>
        </row>
        <row r="1703">
          <cell r="E1703" t="str">
            <v>18G3111100</v>
          </cell>
          <cell r="F1703">
            <v>30.731060606060606</v>
          </cell>
        </row>
        <row r="1704">
          <cell r="E1704" t="str">
            <v>18G3111R00</v>
          </cell>
          <cell r="F1704">
            <v>33.799999999999997</v>
          </cell>
        </row>
        <row r="1705">
          <cell r="E1705" t="str">
            <v>18G3113100</v>
          </cell>
          <cell r="F1705">
            <v>23.450129077681297</v>
          </cell>
        </row>
        <row r="1706">
          <cell r="E1706" t="str">
            <v>18G3113R00</v>
          </cell>
          <cell r="F1706">
            <v>28.75</v>
          </cell>
        </row>
        <row r="1707">
          <cell r="E1707" t="str">
            <v>18G3115100</v>
          </cell>
          <cell r="F1707">
            <v>242.5</v>
          </cell>
        </row>
        <row r="1708">
          <cell r="E1708" t="str">
            <v>18G3115R00</v>
          </cell>
          <cell r="F1708">
            <v>234.33333333333334</v>
          </cell>
        </row>
        <row r="1709">
          <cell r="E1709" t="str">
            <v>18G3173100</v>
          </cell>
          <cell r="F1709">
            <v>256.57142857142856</v>
          </cell>
        </row>
        <row r="1710">
          <cell r="E1710" t="str">
            <v>18G3174R00</v>
          </cell>
          <cell r="F1710">
            <v>238.34285714285716</v>
          </cell>
        </row>
        <row r="1711">
          <cell r="E1711" t="str">
            <v>18G3180100</v>
          </cell>
          <cell r="F1711">
            <v>177.75</v>
          </cell>
        </row>
        <row r="1712">
          <cell r="E1712" t="str">
            <v>18G3181100</v>
          </cell>
          <cell r="F1712">
            <v>177.2</v>
          </cell>
        </row>
        <row r="1713">
          <cell r="E1713" t="str">
            <v>18G3184100</v>
          </cell>
          <cell r="F1713">
            <v>183</v>
          </cell>
        </row>
        <row r="1714">
          <cell r="E1714" t="str">
            <v>18G3185100</v>
          </cell>
          <cell r="F1714">
            <v>186.53846153846155</v>
          </cell>
        </row>
        <row r="1715">
          <cell r="E1715" t="str">
            <v>18G3187100</v>
          </cell>
          <cell r="F1715">
            <v>23.81</v>
          </cell>
        </row>
        <row r="1716">
          <cell r="E1716" t="str">
            <v>18G3187R00</v>
          </cell>
          <cell r="F1716">
            <v>26.907142857142858</v>
          </cell>
        </row>
        <row r="1717">
          <cell r="E1717" t="str">
            <v>18G3191100</v>
          </cell>
          <cell r="F1717">
            <v>29.790476190476191</v>
          </cell>
        </row>
        <row r="1718">
          <cell r="E1718" t="str">
            <v>18G3191R00</v>
          </cell>
          <cell r="F1718">
            <v>33.542857142857144</v>
          </cell>
        </row>
        <row r="1719">
          <cell r="E1719" t="str">
            <v>18G3192100</v>
          </cell>
          <cell r="F1719">
            <v>114.66249999999999</v>
          </cell>
        </row>
        <row r="1720">
          <cell r="E1720" t="str">
            <v>18G3196100</v>
          </cell>
          <cell r="F1720">
            <v>101.71794871794872</v>
          </cell>
        </row>
        <row r="1721">
          <cell r="E1721" t="str">
            <v>18G3199R00</v>
          </cell>
          <cell r="F1721">
            <v>12</v>
          </cell>
        </row>
        <row r="1722">
          <cell r="E1722" t="str">
            <v>18G3202R00</v>
          </cell>
          <cell r="F1722">
            <v>11.571428571428571</v>
          </cell>
        </row>
        <row r="1723">
          <cell r="E1723" t="str">
            <v>18G3221R00</v>
          </cell>
          <cell r="F1723">
            <v>81.86363636363636</v>
          </cell>
        </row>
        <row r="1724">
          <cell r="E1724" t="str">
            <v>18G32420MF</v>
          </cell>
          <cell r="F1724">
            <v>207</v>
          </cell>
        </row>
        <row r="1725">
          <cell r="E1725" t="str">
            <v>18G32430MF</v>
          </cell>
          <cell r="F1725">
            <v>25.5</v>
          </cell>
        </row>
        <row r="1726">
          <cell r="E1726" t="str">
            <v>18G32440MF</v>
          </cell>
          <cell r="F1726">
            <v>4.666666666666667</v>
          </cell>
        </row>
        <row r="1727">
          <cell r="E1727" t="str">
            <v>18G32450MF</v>
          </cell>
          <cell r="F1727">
            <v>14.25</v>
          </cell>
        </row>
        <row r="1728">
          <cell r="E1728" t="str">
            <v>18G3246R00</v>
          </cell>
          <cell r="F1728">
            <v>40.833333333333336</v>
          </cell>
        </row>
        <row r="1729">
          <cell r="E1729" t="str">
            <v>18G3263100</v>
          </cell>
          <cell r="F1729">
            <v>1.61</v>
          </cell>
        </row>
        <row r="1730">
          <cell r="E1730" t="str">
            <v>18G3263R00</v>
          </cell>
          <cell r="F1730">
            <v>1.77</v>
          </cell>
        </row>
        <row r="1731">
          <cell r="E1731" t="str">
            <v>18G3284100</v>
          </cell>
          <cell r="F1731">
            <v>141.5952380952381</v>
          </cell>
        </row>
        <row r="1732">
          <cell r="E1732" t="str">
            <v>18G3284R00</v>
          </cell>
          <cell r="F1732">
            <v>200.05</v>
          </cell>
        </row>
        <row r="1733">
          <cell r="E1733" t="str">
            <v>18G3290100</v>
          </cell>
          <cell r="F1733">
            <v>3.08</v>
          </cell>
        </row>
        <row r="1734">
          <cell r="E1734" t="str">
            <v>18G3290R00</v>
          </cell>
          <cell r="F1734">
            <v>3.32</v>
          </cell>
        </row>
        <row r="1735">
          <cell r="E1735" t="str">
            <v>18G3292100</v>
          </cell>
          <cell r="F1735">
            <v>5.7589041095890412</v>
          </cell>
        </row>
        <row r="1736">
          <cell r="E1736" t="str">
            <v>18G3292R00</v>
          </cell>
          <cell r="F1736">
            <v>6</v>
          </cell>
        </row>
        <row r="1737">
          <cell r="E1737" t="str">
            <v>18G3298170</v>
          </cell>
          <cell r="F1737">
            <v>101.14583333333333</v>
          </cell>
        </row>
        <row r="1738">
          <cell r="E1738" t="str">
            <v>18G3298R70</v>
          </cell>
          <cell r="F1738">
            <v>127.5</v>
          </cell>
        </row>
        <row r="1739">
          <cell r="E1739" t="str">
            <v>18G3304100</v>
          </cell>
          <cell r="F1739">
            <v>326.5</v>
          </cell>
        </row>
        <row r="1740">
          <cell r="E1740" t="str">
            <v>18G33170MF</v>
          </cell>
          <cell r="F1740">
            <v>59.5</v>
          </cell>
        </row>
        <row r="1741">
          <cell r="E1741" t="str">
            <v>18G33360MF</v>
          </cell>
          <cell r="F1741">
            <v>90.5</v>
          </cell>
        </row>
        <row r="1742">
          <cell r="E1742" t="str">
            <v>18G33390MF</v>
          </cell>
          <cell r="F1742">
            <v>4.166666666666667</v>
          </cell>
        </row>
        <row r="1743">
          <cell r="E1743" t="str">
            <v>18G33400NF</v>
          </cell>
          <cell r="F1743">
            <v>2.71</v>
          </cell>
        </row>
        <row r="1744">
          <cell r="E1744" t="str">
            <v>18G3356R00</v>
          </cell>
          <cell r="F1744">
            <v>0.33</v>
          </cell>
        </row>
        <row r="1745">
          <cell r="E1745" t="str">
            <v>18G33571J0</v>
          </cell>
          <cell r="F1745">
            <v>212.20684523809524</v>
          </cell>
        </row>
        <row r="1746">
          <cell r="E1746" t="str">
            <v>18G3361100</v>
          </cell>
          <cell r="F1746">
            <v>200.02083333333334</v>
          </cell>
        </row>
        <row r="1747">
          <cell r="E1747" t="str">
            <v>18G3361R00</v>
          </cell>
          <cell r="F1747">
            <v>244.89285714285714</v>
          </cell>
        </row>
        <row r="1748">
          <cell r="E1748" t="str">
            <v>18G33631J0</v>
          </cell>
          <cell r="F1748">
            <v>0.9549270879363676</v>
          </cell>
        </row>
        <row r="1749">
          <cell r="E1749" t="str">
            <v>18G33641J0</v>
          </cell>
          <cell r="F1749">
            <v>0.67005444646098</v>
          </cell>
        </row>
        <row r="1750">
          <cell r="E1750" t="str">
            <v>18G3392100</v>
          </cell>
          <cell r="F1750">
            <v>21.45</v>
          </cell>
        </row>
        <row r="1751">
          <cell r="E1751" t="str">
            <v>18G3392200</v>
          </cell>
          <cell r="F1751">
            <v>18.490277777777777</v>
          </cell>
        </row>
        <row r="1752">
          <cell r="E1752" t="str">
            <v>18G3392C00</v>
          </cell>
          <cell r="F1752">
            <v>20.816666666666666</v>
          </cell>
        </row>
        <row r="1753">
          <cell r="E1753" t="str">
            <v>18G3393100</v>
          </cell>
          <cell r="F1753">
            <v>22.083333333333332</v>
          </cell>
        </row>
        <row r="1754">
          <cell r="E1754" t="str">
            <v>18G3393200</v>
          </cell>
          <cell r="F1754">
            <v>18.527777777777779</v>
          </cell>
        </row>
        <row r="1755">
          <cell r="E1755" t="str">
            <v>18G3395100</v>
          </cell>
          <cell r="F1755">
            <v>302.45833333333331</v>
          </cell>
        </row>
        <row r="1756">
          <cell r="E1756" t="str">
            <v>18G3396100</v>
          </cell>
          <cell r="F1756">
            <v>305.89999999999998</v>
          </cell>
        </row>
        <row r="1757">
          <cell r="E1757" t="str">
            <v>18G3397100</v>
          </cell>
          <cell r="F1757">
            <v>392</v>
          </cell>
        </row>
        <row r="1758">
          <cell r="E1758" t="str">
            <v>18G3397R00</v>
          </cell>
          <cell r="F1758">
            <v>297.8857142857143</v>
          </cell>
        </row>
        <row r="1759">
          <cell r="E1759" t="str">
            <v>18G3405100</v>
          </cell>
          <cell r="F1759">
            <v>34.354166666666664</v>
          </cell>
        </row>
        <row r="1760">
          <cell r="E1760" t="str">
            <v>18G3406100</v>
          </cell>
          <cell r="F1760">
            <v>30.0625</v>
          </cell>
        </row>
        <row r="1761">
          <cell r="E1761" t="str">
            <v>18G3418100</v>
          </cell>
          <cell r="F1761">
            <v>11.88</v>
          </cell>
        </row>
        <row r="1762">
          <cell r="E1762" t="str">
            <v>18G3418R00</v>
          </cell>
          <cell r="F1762">
            <v>13.074999999999999</v>
          </cell>
        </row>
        <row r="1763">
          <cell r="E1763" t="str">
            <v>18G3425100</v>
          </cell>
          <cell r="F1763">
            <v>189.63947368421051</v>
          </cell>
        </row>
        <row r="1764">
          <cell r="E1764" t="str">
            <v>18G3425R00</v>
          </cell>
          <cell r="F1764">
            <v>278.96774193548384</v>
          </cell>
        </row>
        <row r="1765">
          <cell r="E1765" t="str">
            <v>18G34411TF</v>
          </cell>
          <cell r="F1765">
            <v>0.69041769041769041</v>
          </cell>
        </row>
        <row r="1766">
          <cell r="E1766" t="str">
            <v>18G34461TF</v>
          </cell>
          <cell r="F1766">
            <v>1.952</v>
          </cell>
        </row>
        <row r="1767">
          <cell r="E1767" t="str">
            <v>18G34481TF</v>
          </cell>
          <cell r="F1767">
            <v>0.98</v>
          </cell>
        </row>
        <row r="1768">
          <cell r="E1768" t="str">
            <v>18G34491TF</v>
          </cell>
          <cell r="F1768">
            <v>0.43</v>
          </cell>
        </row>
        <row r="1769">
          <cell r="E1769" t="str">
            <v>18G34501TF</v>
          </cell>
          <cell r="F1769">
            <v>1.35</v>
          </cell>
        </row>
        <row r="1770">
          <cell r="E1770" t="str">
            <v>18G34511TF</v>
          </cell>
          <cell r="F1770">
            <v>1.28</v>
          </cell>
        </row>
        <row r="1771">
          <cell r="E1771" t="str">
            <v>18G34521TF</v>
          </cell>
          <cell r="F1771">
            <v>3.1497326203208558</v>
          </cell>
        </row>
        <row r="1772">
          <cell r="E1772" t="str">
            <v>18G3456100</v>
          </cell>
          <cell r="F1772">
            <v>380</v>
          </cell>
        </row>
        <row r="1773">
          <cell r="E1773" t="str">
            <v>18G3490100</v>
          </cell>
          <cell r="F1773">
            <v>22.681951219512197</v>
          </cell>
        </row>
        <row r="1774">
          <cell r="E1774" t="str">
            <v>18G3490R00</v>
          </cell>
          <cell r="F1774">
            <v>23.625</v>
          </cell>
        </row>
        <row r="1775">
          <cell r="E1775" t="str">
            <v>18G3500100</v>
          </cell>
          <cell r="F1775">
            <v>136.97005649717514</v>
          </cell>
        </row>
        <row r="1776">
          <cell r="E1776" t="str">
            <v>18G3500200</v>
          </cell>
          <cell r="F1776">
            <v>137.43958333333333</v>
          </cell>
        </row>
        <row r="1777">
          <cell r="E1777" t="str">
            <v>18G3500300</v>
          </cell>
          <cell r="F1777">
            <v>139.28571428571428</v>
          </cell>
        </row>
        <row r="1778">
          <cell r="E1778" t="str">
            <v>18G3502100</v>
          </cell>
          <cell r="F1778">
            <v>213.96996278575227</v>
          </cell>
        </row>
        <row r="1779">
          <cell r="E1779" t="str">
            <v>18G3502R00</v>
          </cell>
          <cell r="F1779">
            <v>231.05555555555554</v>
          </cell>
        </row>
        <row r="1780">
          <cell r="E1780" t="str">
            <v>18G3503100</v>
          </cell>
          <cell r="F1780">
            <v>240.5065312046444</v>
          </cell>
        </row>
        <row r="1781">
          <cell r="E1781" t="str">
            <v>18G3504R00</v>
          </cell>
          <cell r="F1781">
            <v>244.125</v>
          </cell>
        </row>
        <row r="1782">
          <cell r="E1782" t="str">
            <v>18G3505100</v>
          </cell>
          <cell r="F1782">
            <v>229.73892773892774</v>
          </cell>
        </row>
        <row r="1783">
          <cell r="E1783" t="str">
            <v>18G3511100</v>
          </cell>
          <cell r="F1783">
            <v>238.18005540166206</v>
          </cell>
        </row>
        <row r="1784">
          <cell r="E1784" t="str">
            <v>18G3530100</v>
          </cell>
          <cell r="F1784">
            <v>145.31428571428572</v>
          </cell>
        </row>
        <row r="1785">
          <cell r="E1785" t="str">
            <v>18G3530R00</v>
          </cell>
          <cell r="F1785">
            <v>213.35</v>
          </cell>
        </row>
        <row r="1786">
          <cell r="E1786" t="str">
            <v>18G3545100</v>
          </cell>
          <cell r="F1786">
            <v>22.166666666666668</v>
          </cell>
        </row>
        <row r="1787">
          <cell r="E1787" t="str">
            <v>18G3546100</v>
          </cell>
          <cell r="F1787">
            <v>16.779761904761905</v>
          </cell>
        </row>
        <row r="1788">
          <cell r="E1788" t="str">
            <v>18G3546R00</v>
          </cell>
          <cell r="F1788">
            <v>18.885714285714286</v>
          </cell>
        </row>
        <row r="1789">
          <cell r="E1789" t="str">
            <v>18G3546T00</v>
          </cell>
          <cell r="F1789">
            <v>18.885714285714286</v>
          </cell>
        </row>
        <row r="1790">
          <cell r="E1790" t="str">
            <v>18G3547100</v>
          </cell>
          <cell r="F1790">
            <v>14.740079365079366</v>
          </cell>
        </row>
        <row r="1791">
          <cell r="E1791" t="str">
            <v>18G3547R00</v>
          </cell>
          <cell r="F1791">
            <v>16.214285714285715</v>
          </cell>
        </row>
        <row r="1792">
          <cell r="E1792" t="str">
            <v>18G3547T00</v>
          </cell>
          <cell r="F1792">
            <v>16.214285714285715</v>
          </cell>
        </row>
        <row r="1793">
          <cell r="E1793" t="str">
            <v>18G3565R00</v>
          </cell>
          <cell r="F1793">
            <v>81.855555555555554</v>
          </cell>
        </row>
        <row r="1794">
          <cell r="E1794" t="str">
            <v>18G3567100</v>
          </cell>
          <cell r="F1794">
            <v>181.35</v>
          </cell>
        </row>
        <row r="1795">
          <cell r="E1795" t="str">
            <v>18G3567R00</v>
          </cell>
          <cell r="F1795">
            <v>279.25641025641028</v>
          </cell>
        </row>
        <row r="1796">
          <cell r="E1796" t="str">
            <v>18G3598100</v>
          </cell>
          <cell r="F1796">
            <v>108.5</v>
          </cell>
        </row>
        <row r="1797">
          <cell r="E1797" t="str">
            <v>18G3598T00</v>
          </cell>
          <cell r="F1797">
            <v>126.25</v>
          </cell>
        </row>
        <row r="1798">
          <cell r="E1798" t="str">
            <v>18G36040NF</v>
          </cell>
          <cell r="F1798">
            <v>1.52</v>
          </cell>
        </row>
        <row r="1799">
          <cell r="E1799" t="str">
            <v>18G36041TF</v>
          </cell>
          <cell r="F1799">
            <v>1.5198738170347004</v>
          </cell>
        </row>
        <row r="1800">
          <cell r="E1800" t="str">
            <v>18G3606100</v>
          </cell>
          <cell r="F1800">
            <v>73.260000000000005</v>
          </cell>
        </row>
        <row r="1801">
          <cell r="E1801" t="str">
            <v>18G3607100</v>
          </cell>
          <cell r="F1801">
            <v>63.829861111111114</v>
          </cell>
        </row>
        <row r="1802">
          <cell r="E1802" t="str">
            <v>18G3607R00</v>
          </cell>
          <cell r="F1802">
            <v>67.791666666666671</v>
          </cell>
        </row>
        <row r="1803">
          <cell r="E1803" t="str">
            <v>18G3693100</v>
          </cell>
          <cell r="F1803">
            <v>240.77245508982037</v>
          </cell>
        </row>
        <row r="1804">
          <cell r="E1804" t="str">
            <v>18G3696R00</v>
          </cell>
          <cell r="F1804">
            <v>282.55102040816325</v>
          </cell>
        </row>
        <row r="1805">
          <cell r="E1805" t="str">
            <v>18G3699100</v>
          </cell>
          <cell r="F1805">
            <v>61.351464435146447</v>
          </cell>
        </row>
        <row r="1806">
          <cell r="E1806" t="str">
            <v>18G3699R00</v>
          </cell>
          <cell r="F1806">
            <v>65.599999999999994</v>
          </cell>
        </row>
        <row r="1807">
          <cell r="E1807" t="str">
            <v>18G37010MF</v>
          </cell>
          <cell r="F1807">
            <v>680</v>
          </cell>
        </row>
        <row r="1808">
          <cell r="E1808" t="str">
            <v>18G37030MF</v>
          </cell>
          <cell r="F1808">
            <v>27</v>
          </cell>
        </row>
        <row r="1809">
          <cell r="E1809" t="str">
            <v>18G37040MF</v>
          </cell>
          <cell r="F1809">
            <v>332</v>
          </cell>
        </row>
        <row r="1810">
          <cell r="E1810" t="str">
            <v>18G37050MF</v>
          </cell>
          <cell r="F1810">
            <v>267.5</v>
          </cell>
        </row>
        <row r="1811">
          <cell r="E1811" t="str">
            <v>18G37080MF</v>
          </cell>
          <cell r="F1811">
            <v>860</v>
          </cell>
        </row>
        <row r="1812">
          <cell r="E1812" t="str">
            <v>18G3709100</v>
          </cell>
          <cell r="F1812">
            <v>124.15</v>
          </cell>
        </row>
        <row r="1813">
          <cell r="E1813" t="str">
            <v>18G3710100</v>
          </cell>
          <cell r="F1813">
            <v>129.09722222222223</v>
          </cell>
        </row>
        <row r="1814">
          <cell r="E1814" t="str">
            <v>18G3711100</v>
          </cell>
          <cell r="F1814">
            <v>119.03888888888889</v>
          </cell>
        </row>
        <row r="1815">
          <cell r="E1815" t="str">
            <v>18G3712100</v>
          </cell>
          <cell r="F1815">
            <v>125.54166666666667</v>
          </cell>
        </row>
        <row r="1816">
          <cell r="E1816" t="str">
            <v>18G3713100</v>
          </cell>
          <cell r="F1816">
            <v>122.75</v>
          </cell>
        </row>
        <row r="1817">
          <cell r="E1817" t="str">
            <v>18G3714100</v>
          </cell>
          <cell r="F1817">
            <v>119.140174379611</v>
          </cell>
        </row>
        <row r="1818">
          <cell r="E1818" t="str">
            <v>18G3714200</v>
          </cell>
          <cell r="F1818">
            <v>120.10999329309189</v>
          </cell>
        </row>
        <row r="1819">
          <cell r="E1819" t="str">
            <v>18G3714R00</v>
          </cell>
          <cell r="F1819">
            <v>121.6875</v>
          </cell>
        </row>
        <row r="1820">
          <cell r="E1820" t="str">
            <v>18G3717100</v>
          </cell>
          <cell r="F1820">
            <v>120.71052631578948</v>
          </cell>
        </row>
        <row r="1821">
          <cell r="E1821" t="str">
            <v>18G3733100</v>
          </cell>
          <cell r="F1821">
            <v>273.69930069930069</v>
          </cell>
        </row>
        <row r="1822">
          <cell r="E1822" t="str">
            <v>18G3734100</v>
          </cell>
          <cell r="F1822">
            <v>275.71111111111111</v>
          </cell>
        </row>
        <row r="1823">
          <cell r="E1823" t="str">
            <v>18G3735100</v>
          </cell>
          <cell r="F1823">
            <v>284.39130434782606</v>
          </cell>
        </row>
        <row r="1824">
          <cell r="E1824" t="str">
            <v>18G3736100</v>
          </cell>
          <cell r="F1824">
            <v>286</v>
          </cell>
        </row>
        <row r="1825">
          <cell r="E1825" t="str">
            <v>18G3737100</v>
          </cell>
          <cell r="F1825">
            <v>310.75</v>
          </cell>
        </row>
        <row r="1826">
          <cell r="E1826" t="str">
            <v>18G3738100</v>
          </cell>
          <cell r="F1826">
            <v>312</v>
          </cell>
        </row>
        <row r="1827">
          <cell r="E1827" t="str">
            <v>18G3740100</v>
          </cell>
          <cell r="F1827">
            <v>9.8737864077669908</v>
          </cell>
        </row>
        <row r="1828">
          <cell r="E1828" t="str">
            <v>18G3741100</v>
          </cell>
          <cell r="F1828">
            <v>9.8571428571428577</v>
          </cell>
        </row>
        <row r="1829">
          <cell r="E1829" t="str">
            <v>18G37611J0</v>
          </cell>
          <cell r="F1829">
            <v>176.47380952380954</v>
          </cell>
        </row>
        <row r="1830">
          <cell r="E1830" t="str">
            <v>18G3796200</v>
          </cell>
          <cell r="F1830">
            <v>242.32142857142858</v>
          </cell>
        </row>
        <row r="1831">
          <cell r="E1831" t="str">
            <v>18G3809100</v>
          </cell>
          <cell r="F1831">
            <v>10.369047619047619</v>
          </cell>
        </row>
        <row r="1832">
          <cell r="E1832" t="str">
            <v>18G3811100</v>
          </cell>
          <cell r="F1832">
            <v>69.900000000000006</v>
          </cell>
        </row>
        <row r="1833">
          <cell r="E1833" t="str">
            <v>18G3821170</v>
          </cell>
          <cell r="F1833">
            <v>138.44949494949495</v>
          </cell>
        </row>
        <row r="1834">
          <cell r="E1834" t="str">
            <v>18G3821R70</v>
          </cell>
          <cell r="F1834">
            <v>171</v>
          </cell>
        </row>
        <row r="1835">
          <cell r="E1835" t="str">
            <v>18G38251J0</v>
          </cell>
          <cell r="F1835">
            <v>0.72985781990521326</v>
          </cell>
        </row>
        <row r="1836">
          <cell r="E1836" t="str">
            <v>18G3829R00</v>
          </cell>
          <cell r="F1836">
            <v>225.8</v>
          </cell>
        </row>
        <row r="1837">
          <cell r="E1837" t="str">
            <v>18G3830100</v>
          </cell>
          <cell r="F1837">
            <v>10</v>
          </cell>
        </row>
        <row r="1838">
          <cell r="E1838" t="str">
            <v>18G3831100</v>
          </cell>
          <cell r="F1838">
            <v>10</v>
          </cell>
        </row>
        <row r="1839">
          <cell r="E1839" t="str">
            <v>18G3832100</v>
          </cell>
          <cell r="F1839">
            <v>10</v>
          </cell>
        </row>
        <row r="1840">
          <cell r="E1840" t="str">
            <v>18G3833100</v>
          </cell>
          <cell r="F1840">
            <v>10</v>
          </cell>
        </row>
        <row r="1841">
          <cell r="E1841" t="str">
            <v>18G38550NF</v>
          </cell>
          <cell r="F1841">
            <v>64.8</v>
          </cell>
        </row>
        <row r="1842">
          <cell r="E1842" t="str">
            <v>18G3855100</v>
          </cell>
          <cell r="F1842">
            <v>71.25</v>
          </cell>
        </row>
        <row r="1843">
          <cell r="E1843" t="str">
            <v>18G3855R00</v>
          </cell>
          <cell r="F1843">
            <v>97.666666666666671</v>
          </cell>
        </row>
        <row r="1844">
          <cell r="E1844" t="str">
            <v>18G3856100</v>
          </cell>
          <cell r="F1844">
            <v>85.43</v>
          </cell>
        </row>
        <row r="1845">
          <cell r="E1845" t="str">
            <v>18G3857100</v>
          </cell>
          <cell r="F1845">
            <v>81.280208333333334</v>
          </cell>
        </row>
        <row r="1846">
          <cell r="E1846" t="str">
            <v>18G3868100</v>
          </cell>
          <cell r="F1846">
            <v>10.4</v>
          </cell>
        </row>
        <row r="1847">
          <cell r="E1847" t="str">
            <v>18G3890100</v>
          </cell>
          <cell r="F1847">
            <v>37.270125786163526</v>
          </cell>
        </row>
        <row r="1848">
          <cell r="E1848" t="str">
            <v>18G3890R00</v>
          </cell>
          <cell r="F1848">
            <v>37.5</v>
          </cell>
        </row>
        <row r="1849">
          <cell r="E1849" t="str">
            <v>18G3898300</v>
          </cell>
          <cell r="F1849">
            <v>0</v>
          </cell>
        </row>
        <row r="1850">
          <cell r="E1850" t="str">
            <v>18G3924100</v>
          </cell>
          <cell r="F1850">
            <v>28.453140096618359</v>
          </cell>
        </row>
        <row r="1851">
          <cell r="E1851" t="str">
            <v>18G3924R00</v>
          </cell>
          <cell r="F1851">
            <v>84.5</v>
          </cell>
        </row>
        <row r="1852">
          <cell r="E1852" t="str">
            <v>18G3926100</v>
          </cell>
          <cell r="F1852">
            <v>231</v>
          </cell>
        </row>
        <row r="1853">
          <cell r="E1853" t="str">
            <v>18G3928100</v>
          </cell>
          <cell r="F1853">
            <v>291.05882352941177</v>
          </cell>
        </row>
        <row r="1854">
          <cell r="E1854" t="str">
            <v>18G3929100</v>
          </cell>
          <cell r="F1854">
            <v>293.97142857142859</v>
          </cell>
        </row>
        <row r="1855">
          <cell r="E1855" t="str">
            <v>18G39580NF</v>
          </cell>
          <cell r="F1855">
            <v>0.4</v>
          </cell>
        </row>
        <row r="1856">
          <cell r="E1856" t="str">
            <v>18G3987100</v>
          </cell>
          <cell r="F1856">
            <v>21.05</v>
          </cell>
        </row>
        <row r="1857">
          <cell r="E1857" t="str">
            <v>18G3987T00</v>
          </cell>
          <cell r="F1857">
            <v>24.806451612903224</v>
          </cell>
        </row>
        <row r="1858">
          <cell r="E1858" t="str">
            <v>18G4008100</v>
          </cell>
          <cell r="F1858">
            <v>8</v>
          </cell>
        </row>
        <row r="1859">
          <cell r="E1859" t="str">
            <v>18G4008S00</v>
          </cell>
          <cell r="F1859">
            <v>8.8000000000000007</v>
          </cell>
        </row>
        <row r="1860">
          <cell r="E1860" t="str">
            <v>18G4013100</v>
          </cell>
          <cell r="F1860">
            <v>12</v>
          </cell>
        </row>
        <row r="1861">
          <cell r="E1861" t="str">
            <v>18G4031100</v>
          </cell>
          <cell r="F1861">
            <v>0</v>
          </cell>
        </row>
        <row r="1862">
          <cell r="E1862" t="str">
            <v>18G4033100</v>
          </cell>
          <cell r="F1862">
            <v>87.333333333333329</v>
          </cell>
        </row>
        <row r="1863">
          <cell r="E1863" t="str">
            <v>18G4034100</v>
          </cell>
          <cell r="F1863">
            <v>90</v>
          </cell>
        </row>
        <row r="1864">
          <cell r="E1864" t="str">
            <v>18G4035100</v>
          </cell>
          <cell r="F1864">
            <v>339.5</v>
          </cell>
        </row>
        <row r="1865">
          <cell r="E1865" t="str">
            <v>18G4038R00</v>
          </cell>
          <cell r="F1865">
            <v>12.84</v>
          </cell>
        </row>
        <row r="1866">
          <cell r="E1866" t="str">
            <v>18G4043100</v>
          </cell>
          <cell r="F1866">
            <v>393.05098039215687</v>
          </cell>
        </row>
        <row r="1867">
          <cell r="E1867" t="str">
            <v>18G4050R00</v>
          </cell>
          <cell r="F1867">
            <v>12.84</v>
          </cell>
        </row>
        <row r="1868">
          <cell r="E1868" t="str">
            <v>18G4051R00</v>
          </cell>
          <cell r="F1868">
            <v>291.8235294117647</v>
          </cell>
        </row>
        <row r="1869">
          <cell r="E1869" t="str">
            <v>18G40520NF</v>
          </cell>
          <cell r="F1869">
            <v>49</v>
          </cell>
        </row>
        <row r="1870">
          <cell r="E1870" t="str">
            <v>18G4060200</v>
          </cell>
          <cell r="F1870">
            <v>7.6407407407407408</v>
          </cell>
        </row>
        <row r="1871">
          <cell r="E1871" t="str">
            <v>18G4060R00</v>
          </cell>
          <cell r="F1871">
            <v>11.757142857142858</v>
          </cell>
        </row>
        <row r="1872">
          <cell r="E1872" t="str">
            <v>18G4064100</v>
          </cell>
          <cell r="F1872">
            <v>17.710077519379844</v>
          </cell>
        </row>
        <row r="1873">
          <cell r="E1873" t="str">
            <v>18G4064R00</v>
          </cell>
          <cell r="F1873">
            <v>19.209821428571427</v>
          </cell>
        </row>
        <row r="1874">
          <cell r="E1874" t="str">
            <v>18G4068100</v>
          </cell>
          <cell r="F1874">
            <v>50.827129337539432</v>
          </cell>
        </row>
        <row r="1875">
          <cell r="E1875" t="str">
            <v>18G4071170</v>
          </cell>
          <cell r="F1875">
            <v>84.8</v>
          </cell>
        </row>
        <row r="1876">
          <cell r="E1876" t="str">
            <v>18G4071R70</v>
          </cell>
          <cell r="F1876">
            <v>84.769230769230774</v>
          </cell>
        </row>
        <row r="1877">
          <cell r="E1877" t="str">
            <v>18G4078100</v>
          </cell>
          <cell r="F1877">
            <v>9.5111111111111111</v>
          </cell>
        </row>
        <row r="1878">
          <cell r="E1878" t="str">
            <v>18G4082100</v>
          </cell>
          <cell r="F1878">
            <v>8.9137931034482758</v>
          </cell>
        </row>
        <row r="1879">
          <cell r="E1879" t="str">
            <v>18G4083100</v>
          </cell>
          <cell r="F1879">
            <v>8.9047619047619051</v>
          </cell>
        </row>
        <row r="1880">
          <cell r="E1880" t="str">
            <v>18G4085100</v>
          </cell>
          <cell r="F1880">
            <v>9</v>
          </cell>
        </row>
        <row r="1881">
          <cell r="E1881" t="str">
            <v>18G4086100</v>
          </cell>
          <cell r="F1881">
            <v>8.9220779220779214</v>
          </cell>
        </row>
        <row r="1882">
          <cell r="E1882" t="str">
            <v>18G4093100</v>
          </cell>
          <cell r="F1882">
            <v>299.33333333333331</v>
          </cell>
        </row>
        <row r="1883">
          <cell r="E1883" t="str">
            <v>18G4094100</v>
          </cell>
          <cell r="F1883">
            <v>300.90909090909093</v>
          </cell>
        </row>
        <row r="1884">
          <cell r="E1884" t="str">
            <v>18G4102100</v>
          </cell>
          <cell r="F1884">
            <v>102.82006079027356</v>
          </cell>
        </row>
        <row r="1885">
          <cell r="E1885" t="str">
            <v>18G4102R00</v>
          </cell>
          <cell r="F1885">
            <v>103.05</v>
          </cell>
        </row>
        <row r="1886">
          <cell r="E1886" t="str">
            <v>18G4121100</v>
          </cell>
          <cell r="F1886">
            <v>13.479980063133411</v>
          </cell>
        </row>
        <row r="1887">
          <cell r="E1887" t="str">
            <v>18G4126100</v>
          </cell>
          <cell r="F1887">
            <v>268</v>
          </cell>
        </row>
        <row r="1888">
          <cell r="E1888" t="str">
            <v>18G4128100</v>
          </cell>
          <cell r="F1888">
            <v>19.479914070891514</v>
          </cell>
        </row>
        <row r="1889">
          <cell r="E1889" t="str">
            <v>18G4128R00</v>
          </cell>
          <cell r="F1889">
            <v>21</v>
          </cell>
        </row>
        <row r="1890">
          <cell r="E1890" t="str">
            <v>18G4132100</v>
          </cell>
          <cell r="F1890">
            <v>17.260317460317459</v>
          </cell>
        </row>
        <row r="1891">
          <cell r="E1891" t="str">
            <v>18G4132R00</v>
          </cell>
          <cell r="F1891">
            <v>18.655555555555555</v>
          </cell>
        </row>
        <row r="1892">
          <cell r="E1892" t="str">
            <v>18G4133100</v>
          </cell>
          <cell r="F1892">
            <v>23.850076804915513</v>
          </cell>
        </row>
        <row r="1893">
          <cell r="E1893" t="str">
            <v>18G4133R00</v>
          </cell>
          <cell r="F1893">
            <v>26.241935483870968</v>
          </cell>
        </row>
        <row r="1894">
          <cell r="E1894" t="str">
            <v>18G4134R00</v>
          </cell>
          <cell r="F1894">
            <v>28.133333333333333</v>
          </cell>
        </row>
        <row r="1895">
          <cell r="E1895" t="str">
            <v>18G4135R00</v>
          </cell>
          <cell r="F1895">
            <v>26</v>
          </cell>
        </row>
        <row r="1896">
          <cell r="E1896" t="str">
            <v>18G4138100</v>
          </cell>
          <cell r="F1896">
            <v>31.279132791327914</v>
          </cell>
        </row>
        <row r="1897">
          <cell r="E1897" t="str">
            <v>18G4139100</v>
          </cell>
          <cell r="F1897">
            <v>50.359922178988327</v>
          </cell>
        </row>
        <row r="1898">
          <cell r="E1898" t="str">
            <v>18G4142100</v>
          </cell>
          <cell r="F1898">
            <v>39.762711864406782</v>
          </cell>
        </row>
        <row r="1899">
          <cell r="E1899" t="str">
            <v>18G4147R00</v>
          </cell>
          <cell r="F1899">
            <v>16.722222222222221</v>
          </cell>
        </row>
        <row r="1900">
          <cell r="E1900" t="str">
            <v>18G4150R00</v>
          </cell>
          <cell r="F1900">
            <v>22.2</v>
          </cell>
        </row>
        <row r="1901">
          <cell r="E1901" t="str">
            <v>18G4152100</v>
          </cell>
          <cell r="F1901">
            <v>241.79024390243902</v>
          </cell>
        </row>
        <row r="1902">
          <cell r="E1902" t="str">
            <v>18G4162100</v>
          </cell>
          <cell r="F1902">
            <v>289.56666666666666</v>
          </cell>
        </row>
        <row r="1903">
          <cell r="E1903" t="str">
            <v>18G4162R00</v>
          </cell>
          <cell r="F1903">
            <v>302.05</v>
          </cell>
        </row>
        <row r="1904">
          <cell r="E1904" t="str">
            <v>18G4186100</v>
          </cell>
          <cell r="F1904">
            <v>86.730158730158735</v>
          </cell>
        </row>
        <row r="1905">
          <cell r="E1905" t="str">
            <v>18G4186R00</v>
          </cell>
          <cell r="F1905">
            <v>86.974999999999994</v>
          </cell>
        </row>
        <row r="1906">
          <cell r="E1906" t="str">
            <v>18G4194R00</v>
          </cell>
          <cell r="F1906">
            <v>282.56034482758622</v>
          </cell>
        </row>
        <row r="1907">
          <cell r="E1907" t="str">
            <v>18G4196R00</v>
          </cell>
          <cell r="F1907">
            <v>109.27777777777777</v>
          </cell>
        </row>
        <row r="1908">
          <cell r="E1908" t="str">
            <v>18G4219R00</v>
          </cell>
          <cell r="F1908">
            <v>29.866666666666667</v>
          </cell>
        </row>
        <row r="1909">
          <cell r="E1909" t="str">
            <v>18G4221R00</v>
          </cell>
          <cell r="F1909">
            <v>23.7</v>
          </cell>
        </row>
        <row r="1910">
          <cell r="E1910" t="str">
            <v>18G4223R00</v>
          </cell>
          <cell r="F1910">
            <v>32.137254901960787</v>
          </cell>
        </row>
        <row r="1911">
          <cell r="E1911" t="str">
            <v>18G4225R00</v>
          </cell>
          <cell r="F1911">
            <v>26.529411764705884</v>
          </cell>
        </row>
        <row r="1912">
          <cell r="E1912" t="str">
            <v>18G4227100</v>
          </cell>
          <cell r="F1912">
            <v>10.371134020618557</v>
          </cell>
        </row>
        <row r="1913">
          <cell r="E1913" t="str">
            <v>18G42401J0</v>
          </cell>
          <cell r="F1913">
            <v>108.71428571428571</v>
          </cell>
        </row>
        <row r="1914">
          <cell r="E1914" t="str">
            <v>18G4250100</v>
          </cell>
          <cell r="F1914">
            <v>303.09090909090907</v>
          </cell>
        </row>
        <row r="1915">
          <cell r="E1915" t="str">
            <v>18G4253100</v>
          </cell>
          <cell r="F1915">
            <v>170.64998893070623</v>
          </cell>
        </row>
        <row r="1916">
          <cell r="E1916" t="str">
            <v>18G4253R00</v>
          </cell>
          <cell r="F1916">
            <v>187.40740740740742</v>
          </cell>
        </row>
        <row r="1917">
          <cell r="E1917" t="str">
            <v>18G4254100</v>
          </cell>
          <cell r="F1917">
            <v>202.75977653631284</v>
          </cell>
        </row>
        <row r="1918">
          <cell r="E1918" t="str">
            <v>18G4255100</v>
          </cell>
          <cell r="F1918">
            <v>204.93986820428336</v>
          </cell>
        </row>
        <row r="1919">
          <cell r="E1919" t="str">
            <v>18G4256R00</v>
          </cell>
          <cell r="F1919">
            <v>20.5</v>
          </cell>
        </row>
        <row r="1920">
          <cell r="E1920" t="str">
            <v>18G4257100</v>
          </cell>
          <cell r="F1920">
            <v>52.289864864864867</v>
          </cell>
        </row>
        <row r="1921">
          <cell r="E1921" t="str">
            <v>18G4279100</v>
          </cell>
          <cell r="F1921">
            <v>8.9259259259259256</v>
          </cell>
        </row>
        <row r="1922">
          <cell r="E1922" t="str">
            <v>18G4280100</v>
          </cell>
          <cell r="F1922">
            <v>8.9375</v>
          </cell>
        </row>
        <row r="1923">
          <cell r="E1923" t="str">
            <v>18G4281100</v>
          </cell>
          <cell r="F1923">
            <v>254.2098976109215</v>
          </cell>
        </row>
        <row r="1924">
          <cell r="E1924" t="str">
            <v>18G4281R00</v>
          </cell>
          <cell r="F1924">
            <v>267.89772727272725</v>
          </cell>
        </row>
        <row r="1925">
          <cell r="E1925" t="str">
            <v>18G4296100</v>
          </cell>
          <cell r="F1925">
            <v>77.150793650793645</v>
          </cell>
        </row>
        <row r="1926">
          <cell r="E1926" t="str">
            <v>18G4296R00</v>
          </cell>
          <cell r="F1926">
            <v>85.5</v>
          </cell>
        </row>
        <row r="1927">
          <cell r="E1927" t="str">
            <v>18G4297100</v>
          </cell>
          <cell r="F1927">
            <v>264.14</v>
          </cell>
        </row>
        <row r="1928">
          <cell r="E1928" t="str">
            <v>18G4298100</v>
          </cell>
          <cell r="F1928">
            <v>267.04477611940297</v>
          </cell>
        </row>
        <row r="1929">
          <cell r="E1929" t="str">
            <v>18G4301100</v>
          </cell>
          <cell r="F1929">
            <v>27.1</v>
          </cell>
        </row>
        <row r="1930">
          <cell r="E1930" t="str">
            <v>18G4312100</v>
          </cell>
          <cell r="F1930">
            <v>21.473684210526315</v>
          </cell>
        </row>
        <row r="1931">
          <cell r="E1931" t="str">
            <v>18G4340200</v>
          </cell>
          <cell r="F1931">
            <v>14.375</v>
          </cell>
        </row>
        <row r="1932">
          <cell r="E1932" t="str">
            <v>18G4344100</v>
          </cell>
          <cell r="F1932">
            <v>75.89473684210526</v>
          </cell>
        </row>
        <row r="1933">
          <cell r="E1933" t="str">
            <v>18G4349100</v>
          </cell>
          <cell r="F1933">
            <v>77.948571428571427</v>
          </cell>
        </row>
        <row r="1934">
          <cell r="E1934" t="str">
            <v>18G4357100</v>
          </cell>
          <cell r="F1934">
            <v>34.479674796747965</v>
          </cell>
        </row>
        <row r="1935">
          <cell r="E1935" t="str">
            <v>18G4368200</v>
          </cell>
          <cell r="F1935">
            <v>16.75</v>
          </cell>
        </row>
        <row r="1936">
          <cell r="E1936" t="str">
            <v>18G43771J0</v>
          </cell>
          <cell r="F1936">
            <v>3.7804878048780486</v>
          </cell>
        </row>
        <row r="1937">
          <cell r="E1937" t="str">
            <v>18G43781J0</v>
          </cell>
          <cell r="F1937">
            <v>2.6899712092130517</v>
          </cell>
        </row>
        <row r="1938">
          <cell r="E1938" t="str">
            <v>18G4380100</v>
          </cell>
          <cell r="F1938">
            <v>21.94736842105263</v>
          </cell>
        </row>
        <row r="1939">
          <cell r="E1939" t="str">
            <v>18G4381100</v>
          </cell>
          <cell r="F1939">
            <v>647</v>
          </cell>
        </row>
        <row r="1940">
          <cell r="E1940" t="str">
            <v>18G4382100</v>
          </cell>
          <cell r="F1940">
            <v>650</v>
          </cell>
        </row>
        <row r="1941">
          <cell r="E1941" t="str">
            <v>18G4391100</v>
          </cell>
          <cell r="F1941">
            <v>12.139918577244483</v>
          </cell>
        </row>
        <row r="1942">
          <cell r="E1942" t="str">
            <v>18G4391R00</v>
          </cell>
          <cell r="F1942">
            <v>13.36</v>
          </cell>
        </row>
        <row r="1943">
          <cell r="E1943" t="str">
            <v>18G4392100</v>
          </cell>
          <cell r="F1943">
            <v>215.15015015015015</v>
          </cell>
        </row>
        <row r="1944">
          <cell r="E1944" t="str">
            <v>18G4392200</v>
          </cell>
          <cell r="F1944">
            <v>231.41074249605055</v>
          </cell>
        </row>
        <row r="1945">
          <cell r="E1945" t="str">
            <v>18G4395R00</v>
          </cell>
          <cell r="F1945">
            <v>16.899999999999999</v>
          </cell>
        </row>
        <row r="1946">
          <cell r="E1946" t="str">
            <v>18G4396100</v>
          </cell>
          <cell r="F1946">
            <v>218.07990012484393</v>
          </cell>
        </row>
        <row r="1947">
          <cell r="E1947" t="str">
            <v>18G4396200</v>
          </cell>
          <cell r="F1947">
            <v>234.34018264840182</v>
          </cell>
        </row>
        <row r="1948">
          <cell r="E1948" t="str">
            <v>18G4501100</v>
          </cell>
          <cell r="F1948">
            <v>229.36998663101605</v>
          </cell>
        </row>
        <row r="1949">
          <cell r="E1949" t="str">
            <v>18G4501R00</v>
          </cell>
          <cell r="F1949">
            <v>240.25</v>
          </cell>
        </row>
        <row r="1950">
          <cell r="E1950" t="str">
            <v>18G4502100</v>
          </cell>
          <cell r="F1950">
            <v>257.37004830917874</v>
          </cell>
        </row>
        <row r="1951">
          <cell r="E1951" t="str">
            <v>18G4507100</v>
          </cell>
          <cell r="F1951">
            <v>263.50994764397905</v>
          </cell>
        </row>
        <row r="1952">
          <cell r="E1952" t="str">
            <v>18G4508R00</v>
          </cell>
          <cell r="F1952">
            <v>234.9</v>
          </cell>
        </row>
        <row r="1953">
          <cell r="E1953" t="str">
            <v>18G4512170</v>
          </cell>
          <cell r="F1953">
            <v>131.4</v>
          </cell>
        </row>
        <row r="1954">
          <cell r="E1954" t="str">
            <v>18G4512C70</v>
          </cell>
          <cell r="F1954">
            <v>154.04761904761904</v>
          </cell>
        </row>
        <row r="1955">
          <cell r="E1955" t="str">
            <v>18G4516170</v>
          </cell>
          <cell r="F1955">
            <v>69.760869565217391</v>
          </cell>
        </row>
        <row r="1956">
          <cell r="E1956" t="str">
            <v>18G4527100</v>
          </cell>
          <cell r="F1956">
            <v>268</v>
          </cell>
        </row>
        <row r="1957">
          <cell r="E1957" t="str">
            <v>18G4539100</v>
          </cell>
          <cell r="F1957">
            <v>10.489945155393054</v>
          </cell>
        </row>
        <row r="1958">
          <cell r="E1958" t="str">
            <v>18G4541100</v>
          </cell>
          <cell r="F1958">
            <v>10.5</v>
          </cell>
        </row>
        <row r="1959">
          <cell r="E1959" t="str">
            <v>18G4544100</v>
          </cell>
          <cell r="F1959">
            <v>10.492537313432836</v>
          </cell>
        </row>
        <row r="1960">
          <cell r="E1960" t="str">
            <v>18G4579100</v>
          </cell>
          <cell r="F1960">
            <v>71</v>
          </cell>
        </row>
        <row r="1961">
          <cell r="E1961" t="str">
            <v>18G4580100</v>
          </cell>
          <cell r="F1961">
            <v>74</v>
          </cell>
        </row>
        <row r="1962">
          <cell r="E1962" t="str">
            <v>18G4599100</v>
          </cell>
          <cell r="F1962">
            <v>15.207865168539326</v>
          </cell>
        </row>
        <row r="1963">
          <cell r="E1963" t="str">
            <v>18G4600100</v>
          </cell>
          <cell r="F1963">
            <v>15.204545454545455</v>
          </cell>
        </row>
        <row r="1964">
          <cell r="E1964" t="str">
            <v>18G4630100</v>
          </cell>
          <cell r="F1964">
            <v>186.95901639344262</v>
          </cell>
        </row>
        <row r="1965">
          <cell r="E1965" t="str">
            <v>18G4675100</v>
          </cell>
          <cell r="F1965">
            <v>8.9186046511627914</v>
          </cell>
        </row>
        <row r="1966">
          <cell r="E1966" t="str">
            <v>18G4692100</v>
          </cell>
          <cell r="F1966">
            <v>90</v>
          </cell>
        </row>
        <row r="1967">
          <cell r="E1967" t="str">
            <v>18G4693100</v>
          </cell>
          <cell r="F1967">
            <v>90</v>
          </cell>
        </row>
        <row r="1968">
          <cell r="E1968" t="str">
            <v>18G4744100</v>
          </cell>
          <cell r="F1968">
            <v>90</v>
          </cell>
        </row>
        <row r="1969">
          <cell r="E1969" t="str">
            <v>18G49851J0</v>
          </cell>
          <cell r="F1969">
            <v>1.32</v>
          </cell>
        </row>
        <row r="1970">
          <cell r="E1970" t="str">
            <v>18G50561J0</v>
          </cell>
          <cell r="F1970">
            <v>0.57999999999999996</v>
          </cell>
        </row>
        <row r="1971">
          <cell r="E1971" t="str">
            <v>18G5158100</v>
          </cell>
          <cell r="F1971">
            <v>29.95</v>
          </cell>
        </row>
        <row r="1972">
          <cell r="E1972" t="str">
            <v>18L0234100</v>
          </cell>
          <cell r="F1972">
            <v>13.42297149122807</v>
          </cell>
        </row>
        <row r="1973">
          <cell r="E1973" t="str">
            <v>18L0241100</v>
          </cell>
          <cell r="F1973">
            <v>14.428971962616822</v>
          </cell>
        </row>
        <row r="1974">
          <cell r="E1974" t="str">
            <v>18L0474100</v>
          </cell>
          <cell r="F1974">
            <v>19.253731343283583</v>
          </cell>
        </row>
        <row r="1975">
          <cell r="E1975" t="str">
            <v>18L0580100</v>
          </cell>
          <cell r="F1975">
            <v>25</v>
          </cell>
        </row>
        <row r="1976">
          <cell r="E1976" t="str">
            <v>18L0580300</v>
          </cell>
          <cell r="F1976">
            <v>25.438749999999999</v>
          </cell>
        </row>
        <row r="1977">
          <cell r="E1977" t="str">
            <v>18L0580500</v>
          </cell>
          <cell r="F1977">
            <v>26.4</v>
          </cell>
        </row>
        <row r="1978">
          <cell r="E1978" t="str">
            <v>18L0580R00</v>
          </cell>
          <cell r="F1978">
            <v>25.314285714285713</v>
          </cell>
        </row>
        <row r="1979">
          <cell r="E1979" t="str">
            <v>18L0581100</v>
          </cell>
          <cell r="F1979">
            <v>25</v>
          </cell>
        </row>
        <row r="1980">
          <cell r="E1980" t="str">
            <v>18L0581300</v>
          </cell>
          <cell r="F1980">
            <v>25.4375</v>
          </cell>
        </row>
        <row r="1981">
          <cell r="E1981" t="str">
            <v>18L0581R00</v>
          </cell>
          <cell r="F1981">
            <v>25.44</v>
          </cell>
        </row>
        <row r="1982">
          <cell r="E1982" t="str">
            <v>18L0582100</v>
          </cell>
          <cell r="F1982">
            <v>25.583561643835615</v>
          </cell>
        </row>
        <row r="1983">
          <cell r="E1983" t="str">
            <v>18L0582500</v>
          </cell>
          <cell r="F1983">
            <v>26.428571428571427</v>
          </cell>
        </row>
        <row r="1984">
          <cell r="E1984" t="str">
            <v>18L0582R00</v>
          </cell>
          <cell r="F1984">
            <v>25.6</v>
          </cell>
        </row>
        <row r="1985">
          <cell r="E1985" t="str">
            <v>18L0583100</v>
          </cell>
          <cell r="F1985">
            <v>28.120873124147341</v>
          </cell>
        </row>
        <row r="1986">
          <cell r="E1986" t="str">
            <v>18L0583R00</v>
          </cell>
          <cell r="F1986">
            <v>28.1</v>
          </cell>
        </row>
        <row r="1987">
          <cell r="E1987" t="str">
            <v>18M0233100</v>
          </cell>
          <cell r="F1987">
            <v>0.19718749999999999</v>
          </cell>
        </row>
        <row r="1988">
          <cell r="E1988" t="str">
            <v>18M0234100</v>
          </cell>
          <cell r="F1988">
            <v>0.19737609329446065</v>
          </cell>
        </row>
        <row r="1989">
          <cell r="E1989" t="str">
            <v>42005901UF</v>
          </cell>
          <cell r="F1989">
            <v>22.7</v>
          </cell>
        </row>
        <row r="1990">
          <cell r="E1990" t="str">
            <v>4430481100</v>
          </cell>
          <cell r="F1990">
            <v>197.72727272727272</v>
          </cell>
        </row>
        <row r="1991">
          <cell r="E1991" t="str">
            <v>4430482100</v>
          </cell>
          <cell r="F1991">
            <v>192</v>
          </cell>
        </row>
        <row r="1992">
          <cell r="E1992" t="str">
            <v>77030011TF</v>
          </cell>
          <cell r="F1992">
            <v>0.02</v>
          </cell>
        </row>
        <row r="1993">
          <cell r="E1993" t="str">
            <v>77030331TF</v>
          </cell>
          <cell r="F1993">
            <v>0.08</v>
          </cell>
        </row>
        <row r="1994">
          <cell r="E1994" t="str">
            <v>79030370NF</v>
          </cell>
          <cell r="F1994">
            <v>3.3333333333333333E-2</v>
          </cell>
        </row>
        <row r="1995">
          <cell r="E1995" t="str">
            <v>79032010PF</v>
          </cell>
          <cell r="F1995">
            <v>7.0000000000000007E-2</v>
          </cell>
        </row>
        <row r="1996">
          <cell r="E1996" t="str">
            <v>79032340PF</v>
          </cell>
          <cell r="F1996">
            <v>0.03</v>
          </cell>
        </row>
        <row r="1997">
          <cell r="E1997" t="str">
            <v>91514449PF</v>
          </cell>
          <cell r="F1997">
            <v>0.65</v>
          </cell>
        </row>
        <row r="1998">
          <cell r="E1998" t="str">
            <v>96240371MF</v>
          </cell>
          <cell r="F1998">
            <v>3.15</v>
          </cell>
        </row>
        <row r="1999">
          <cell r="E1999" t="str">
            <v>96256823MF</v>
          </cell>
          <cell r="F1999">
            <v>3.0333333333333332</v>
          </cell>
        </row>
        <row r="2000">
          <cell r="E2000" t="str">
            <v>96367567MF</v>
          </cell>
          <cell r="F2000">
            <v>7.7</v>
          </cell>
        </row>
        <row r="2001">
          <cell r="E2001" t="str">
            <v>96367568MF</v>
          </cell>
          <cell r="F2001">
            <v>8.1</v>
          </cell>
        </row>
        <row r="2002">
          <cell r="E2002" t="str">
            <v>96367572MF</v>
          </cell>
          <cell r="F2002">
            <v>3</v>
          </cell>
        </row>
        <row r="2003">
          <cell r="E2003" t="str">
            <v>96427428MF</v>
          </cell>
          <cell r="F2003">
            <v>8.75</v>
          </cell>
        </row>
        <row r="2004">
          <cell r="E2004" t="str">
            <v>A02202B</v>
          </cell>
          <cell r="F2004">
            <v>8.9499999999999993</v>
          </cell>
        </row>
        <row r="2005">
          <cell r="E2005" t="str">
            <v>A04219C</v>
          </cell>
          <cell r="F2005">
            <v>0.81333333333333335</v>
          </cell>
        </row>
        <row r="2006">
          <cell r="E2006" t="str">
            <v>A04309</v>
          </cell>
          <cell r="F2006">
            <v>12.288617886178862</v>
          </cell>
        </row>
        <row r="2007">
          <cell r="E2007" t="str">
            <v>A04315B</v>
          </cell>
          <cell r="F2007">
            <v>9.5353535353535346</v>
          </cell>
        </row>
        <row r="2008">
          <cell r="E2008" t="str">
            <v>A04317</v>
          </cell>
          <cell r="F2008">
            <v>26.642857142857142</v>
          </cell>
        </row>
        <row r="2009">
          <cell r="E2009" t="str">
            <v>A04345B</v>
          </cell>
          <cell r="F2009">
            <v>15.189710610932476</v>
          </cell>
        </row>
        <row r="2010">
          <cell r="E2010" t="str">
            <v>A04347</v>
          </cell>
          <cell r="F2010">
            <v>14.527777777777779</v>
          </cell>
        </row>
        <row r="2011">
          <cell r="E2011" t="str">
            <v>A04356</v>
          </cell>
          <cell r="F2011">
            <v>18.131147540983605</v>
          </cell>
        </row>
        <row r="2012">
          <cell r="E2012" t="str">
            <v>A04364B</v>
          </cell>
          <cell r="F2012">
            <v>27.6</v>
          </cell>
        </row>
        <row r="2013">
          <cell r="E2013" t="str">
            <v>A04369A</v>
          </cell>
          <cell r="F2013">
            <v>22.28125</v>
          </cell>
        </row>
        <row r="2014">
          <cell r="E2014" t="str">
            <v>A04660</v>
          </cell>
          <cell r="F2014">
            <v>15.675000000000001</v>
          </cell>
        </row>
        <row r="2015">
          <cell r="E2015" t="str">
            <v>A05421C</v>
          </cell>
          <cell r="F2015">
            <v>8.689839572192513</v>
          </cell>
        </row>
        <row r="2016">
          <cell r="E2016" t="str">
            <v>A05421V</v>
          </cell>
          <cell r="F2016">
            <v>8.6897590361445776</v>
          </cell>
        </row>
        <row r="2017">
          <cell r="E2017" t="str">
            <v>A05627</v>
          </cell>
          <cell r="F2017">
            <v>79.89</v>
          </cell>
        </row>
        <row r="2018">
          <cell r="E2018" t="str">
            <v>A05631</v>
          </cell>
          <cell r="F2018">
            <v>104.83720930232558</v>
          </cell>
        </row>
        <row r="2019">
          <cell r="E2019" t="str">
            <v>A05749</v>
          </cell>
          <cell r="F2019">
            <v>18.514285714285716</v>
          </cell>
        </row>
        <row r="2020">
          <cell r="E2020" t="str">
            <v>A05774</v>
          </cell>
          <cell r="F2020">
            <v>114.5</v>
          </cell>
        </row>
        <row r="2021">
          <cell r="E2021" t="str">
            <v>A05923</v>
          </cell>
          <cell r="F2021">
            <v>5.9694444444444441</v>
          </cell>
        </row>
        <row r="2022">
          <cell r="E2022" t="str">
            <v>A05988</v>
          </cell>
          <cell r="F2022">
            <v>89.391304347826093</v>
          </cell>
        </row>
        <row r="2023">
          <cell r="E2023" t="str">
            <v>A06049</v>
          </cell>
          <cell r="F2023">
            <v>4.2297619047619044</v>
          </cell>
        </row>
        <row r="2024">
          <cell r="E2024" t="str">
            <v>A06095</v>
          </cell>
          <cell r="F2024">
            <v>116.27272727272727</v>
          </cell>
        </row>
        <row r="2025">
          <cell r="E2025" t="str">
            <v>A06107</v>
          </cell>
          <cell r="F2025">
            <v>103.8</v>
          </cell>
        </row>
        <row r="2026">
          <cell r="E2026" t="str">
            <v>A06121</v>
          </cell>
          <cell r="F2026">
            <v>98.48</v>
          </cell>
        </row>
        <row r="2027">
          <cell r="E2027" t="str">
            <v>A06352</v>
          </cell>
          <cell r="F2027">
            <v>102.32</v>
          </cell>
        </row>
        <row r="2028">
          <cell r="E2028" t="str">
            <v>A06353</v>
          </cell>
          <cell r="F2028">
            <v>85.4</v>
          </cell>
        </row>
        <row r="2029">
          <cell r="E2029" t="str">
            <v>A06377B</v>
          </cell>
          <cell r="F2029">
            <v>21.5625</v>
          </cell>
        </row>
        <row r="2030">
          <cell r="E2030" t="str">
            <v>A06398B</v>
          </cell>
          <cell r="F2030">
            <v>44.48936170212766</v>
          </cell>
        </row>
        <row r="2031">
          <cell r="E2031" t="str">
            <v>A06429</v>
          </cell>
          <cell r="F2031">
            <v>16.82</v>
          </cell>
        </row>
        <row r="2032">
          <cell r="E2032" t="str">
            <v>A06473</v>
          </cell>
          <cell r="F2032">
            <v>93.504000000000005</v>
          </cell>
        </row>
        <row r="2033">
          <cell r="E2033" t="str">
            <v>A06476</v>
          </cell>
          <cell r="F2033">
            <v>98.886075949367083</v>
          </cell>
        </row>
        <row r="2034">
          <cell r="E2034" t="str">
            <v>A06587</v>
          </cell>
          <cell r="F2034">
            <v>8.3617021276595747</v>
          </cell>
        </row>
        <row r="2035">
          <cell r="E2035" t="str">
            <v>A06638</v>
          </cell>
          <cell r="F2035">
            <v>17.732142857142858</v>
          </cell>
        </row>
        <row r="2036">
          <cell r="E2036" t="str">
            <v>A06639</v>
          </cell>
          <cell r="F2036">
            <v>24</v>
          </cell>
        </row>
        <row r="2037">
          <cell r="E2037" t="str">
            <v>A06640</v>
          </cell>
          <cell r="F2037">
            <v>21.539682539682541</v>
          </cell>
        </row>
        <row r="2038">
          <cell r="E2038" t="str">
            <v>A06709</v>
          </cell>
          <cell r="F2038">
            <v>5.4071428571428575</v>
          </cell>
        </row>
        <row r="2039">
          <cell r="E2039" t="str">
            <v>A06728</v>
          </cell>
          <cell r="F2039">
            <v>33.302013422818789</v>
          </cell>
        </row>
        <row r="2040">
          <cell r="E2040" t="str">
            <v>A06730</v>
          </cell>
          <cell r="F2040">
            <v>31.722222222222221</v>
          </cell>
        </row>
        <row r="2041">
          <cell r="E2041" t="str">
            <v>A06732</v>
          </cell>
          <cell r="F2041">
            <v>9.3181818181818183</v>
          </cell>
        </row>
        <row r="2042">
          <cell r="E2042" t="str">
            <v>A06751</v>
          </cell>
          <cell r="F2042">
            <v>31.027586206896551</v>
          </cell>
        </row>
        <row r="2043">
          <cell r="E2043" t="str">
            <v>A06788B</v>
          </cell>
          <cell r="F2043">
            <v>12.029702970297029</v>
          </cell>
        </row>
        <row r="2044">
          <cell r="E2044" t="str">
            <v>A06791B</v>
          </cell>
          <cell r="F2044">
            <v>12.028571428571428</v>
          </cell>
        </row>
        <row r="2045">
          <cell r="E2045" t="str">
            <v>A06797B</v>
          </cell>
          <cell r="F2045">
            <v>18.144927536231883</v>
          </cell>
        </row>
        <row r="2046">
          <cell r="E2046" t="str">
            <v>A06800B</v>
          </cell>
          <cell r="F2046">
            <v>20.962025316455698</v>
          </cell>
        </row>
        <row r="2047">
          <cell r="E2047" t="str">
            <v>A06817B</v>
          </cell>
          <cell r="F2047">
            <v>20.842857142857142</v>
          </cell>
        </row>
        <row r="2048">
          <cell r="E2048" t="str">
            <v>A06866Z</v>
          </cell>
          <cell r="F2048">
            <v>18.760000000000002</v>
          </cell>
        </row>
        <row r="2049">
          <cell r="E2049" t="str">
            <v>A06867Z</v>
          </cell>
          <cell r="F2049">
            <v>8.6231884057971016</v>
          </cell>
        </row>
        <row r="2050">
          <cell r="E2050" t="str">
            <v>A06872Z</v>
          </cell>
          <cell r="F2050">
            <v>7.0133333333333336</v>
          </cell>
        </row>
        <row r="2051">
          <cell r="E2051" t="str">
            <v>A06877Z</v>
          </cell>
          <cell r="F2051">
            <v>6.6</v>
          </cell>
        </row>
        <row r="2052">
          <cell r="E2052" t="str">
            <v>A06935</v>
          </cell>
          <cell r="F2052">
            <v>20.309090909090909</v>
          </cell>
        </row>
        <row r="2053">
          <cell r="E2053" t="str">
            <v>A06941</v>
          </cell>
          <cell r="F2053">
            <v>12.94</v>
          </cell>
        </row>
        <row r="2054">
          <cell r="E2054" t="str">
            <v>A07039B</v>
          </cell>
          <cell r="F2054">
            <v>27.571428571428573</v>
          </cell>
        </row>
        <row r="2055">
          <cell r="E2055" t="str">
            <v>A07048B</v>
          </cell>
          <cell r="F2055">
            <v>29.6</v>
          </cell>
        </row>
        <row r="2056">
          <cell r="E2056" t="str">
            <v>A07052B</v>
          </cell>
          <cell r="F2056">
            <v>33.4</v>
          </cell>
        </row>
        <row r="2057">
          <cell r="E2057" t="str">
            <v>A07054B</v>
          </cell>
          <cell r="F2057">
            <v>31.919330289193304</v>
          </cell>
        </row>
        <row r="2058">
          <cell r="E2058" t="str">
            <v>A07062B</v>
          </cell>
          <cell r="F2058">
            <v>31.00836820083682</v>
          </cell>
        </row>
        <row r="2059">
          <cell r="E2059" t="str">
            <v>A07065B</v>
          </cell>
          <cell r="F2059">
            <v>33.678571428571431</v>
          </cell>
        </row>
        <row r="2060">
          <cell r="E2060" t="str">
            <v>A07067B</v>
          </cell>
          <cell r="F2060">
            <v>28.9</v>
          </cell>
        </row>
        <row r="2061">
          <cell r="E2061" t="str">
            <v>A07068B</v>
          </cell>
          <cell r="F2061">
            <v>32.28</v>
          </cell>
        </row>
        <row r="2062">
          <cell r="E2062" t="str">
            <v>A07091</v>
          </cell>
          <cell r="F2062">
            <v>23.6015625</v>
          </cell>
        </row>
        <row r="2063">
          <cell r="E2063" t="str">
            <v>A07093</v>
          </cell>
          <cell r="F2063">
            <v>23.848958333333332</v>
          </cell>
        </row>
        <row r="2064">
          <cell r="E2064" t="str">
            <v>A07102</v>
          </cell>
          <cell r="F2064">
            <v>28.53125</v>
          </cell>
        </row>
        <row r="2065">
          <cell r="E2065" t="str">
            <v>A07104</v>
          </cell>
          <cell r="F2065">
            <v>23.4609375</v>
          </cell>
        </row>
        <row r="2066">
          <cell r="E2066" t="str">
            <v>A07113B</v>
          </cell>
          <cell r="F2066">
            <v>19.09375</v>
          </cell>
        </row>
        <row r="2067">
          <cell r="E2067" t="str">
            <v>A07158</v>
          </cell>
          <cell r="F2067">
            <v>120.52</v>
          </cell>
        </row>
        <row r="2068">
          <cell r="E2068" t="str">
            <v>A07206</v>
          </cell>
          <cell r="F2068">
            <v>15.742857142857142</v>
          </cell>
        </row>
        <row r="2069">
          <cell r="E2069" t="str">
            <v>A07234B</v>
          </cell>
          <cell r="F2069">
            <v>36.678571428571431</v>
          </cell>
        </row>
        <row r="2070">
          <cell r="E2070" t="str">
            <v>A07235B</v>
          </cell>
          <cell r="F2070">
            <v>39.31</v>
          </cell>
        </row>
        <row r="2071">
          <cell r="E2071" t="str">
            <v>A07335C</v>
          </cell>
          <cell r="F2071">
            <v>35.607142857142854</v>
          </cell>
        </row>
        <row r="2072">
          <cell r="E2072" t="str">
            <v>A07409</v>
          </cell>
          <cell r="F2072">
            <v>42.375</v>
          </cell>
        </row>
        <row r="2073">
          <cell r="E2073" t="str">
            <v>A07441</v>
          </cell>
          <cell r="F2073">
            <v>161.72727272727272</v>
          </cell>
        </row>
        <row r="2074">
          <cell r="E2074" t="str">
            <v>A07460</v>
          </cell>
          <cell r="F2074">
            <v>4.6501650165016502</v>
          </cell>
        </row>
        <row r="2075">
          <cell r="E2075" t="str">
            <v>A07481</v>
          </cell>
          <cell r="F2075">
            <v>15.590659340659341</v>
          </cell>
        </row>
        <row r="2076">
          <cell r="E2076" t="str">
            <v>A07486B</v>
          </cell>
          <cell r="F2076">
            <v>25.868749999999999</v>
          </cell>
        </row>
        <row r="2077">
          <cell r="E2077" t="str">
            <v>A07487B</v>
          </cell>
          <cell r="F2077">
            <v>30.323809523809523</v>
          </cell>
        </row>
        <row r="2078">
          <cell r="E2078" t="str">
            <v>A07488B</v>
          </cell>
          <cell r="F2078">
            <v>33.914285714285711</v>
          </cell>
        </row>
        <row r="2079">
          <cell r="E2079" t="str">
            <v>A07505B</v>
          </cell>
          <cell r="F2079">
            <v>21.024999999999999</v>
          </cell>
        </row>
        <row r="2080">
          <cell r="E2080" t="str">
            <v>A07509B</v>
          </cell>
          <cell r="F2080">
            <v>27.46875</v>
          </cell>
        </row>
        <row r="2081">
          <cell r="E2081" t="str">
            <v>K10003807F</v>
          </cell>
          <cell r="F2081">
            <v>15.3</v>
          </cell>
        </row>
        <row r="2082">
          <cell r="E2082" t="str">
            <v>K10004008F</v>
          </cell>
          <cell r="F2082">
            <v>15.32</v>
          </cell>
        </row>
        <row r="2083">
          <cell r="E2083" t="str">
            <v>K100040T6F</v>
          </cell>
          <cell r="F2083">
            <v>15.303030303030303</v>
          </cell>
        </row>
        <row r="2084">
          <cell r="E2084" t="str">
            <v>K100040T8F</v>
          </cell>
          <cell r="F2084">
            <v>15.303225806451612</v>
          </cell>
        </row>
        <row r="2085">
          <cell r="E2085" t="str">
            <v>K10004508F</v>
          </cell>
          <cell r="F2085">
            <v>10.199999999999999</v>
          </cell>
        </row>
        <row r="2086">
          <cell r="E2086" t="str">
            <v>K100045T7F</v>
          </cell>
          <cell r="F2086">
            <v>15.303030303030303</v>
          </cell>
        </row>
        <row r="2087">
          <cell r="E2087" t="str">
            <v>K100045T9F</v>
          </cell>
          <cell r="F2087">
            <v>15.303030303030303</v>
          </cell>
        </row>
        <row r="2088">
          <cell r="E2088" t="str">
            <v>K10005005F</v>
          </cell>
          <cell r="F2088">
            <v>10.716666666666667</v>
          </cell>
        </row>
        <row r="2089">
          <cell r="E2089" t="str">
            <v>K10005008F</v>
          </cell>
          <cell r="F2089">
            <v>10.5</v>
          </cell>
        </row>
        <row r="2090">
          <cell r="E2090" t="str">
            <v>K10005010F</v>
          </cell>
          <cell r="F2090">
            <v>10.7</v>
          </cell>
        </row>
        <row r="2091">
          <cell r="E2091" t="str">
            <v>K1000501TF</v>
          </cell>
          <cell r="F2091">
            <v>15.302857142857142</v>
          </cell>
        </row>
        <row r="2092">
          <cell r="E2092" t="str">
            <v>K100050T8F</v>
          </cell>
          <cell r="F2092">
            <v>15.3</v>
          </cell>
        </row>
        <row r="2093">
          <cell r="E2093" t="str">
            <v>K10006016F</v>
          </cell>
          <cell r="F2093">
            <v>15.333333333333334</v>
          </cell>
        </row>
        <row r="2094">
          <cell r="E2094" t="str">
            <v>KE1000505F</v>
          </cell>
          <cell r="F2094">
            <v>10.5</v>
          </cell>
        </row>
        <row r="2095">
          <cell r="E2095" t="str">
            <v>KE1000506F</v>
          </cell>
          <cell r="F2095">
            <v>10.5</v>
          </cell>
        </row>
        <row r="2096">
          <cell r="E2096" t="str">
            <v>KE1000508F</v>
          </cell>
          <cell r="F2096">
            <v>10.5</v>
          </cell>
        </row>
        <row r="2097">
          <cell r="E2097" t="str">
            <v>MC0005TF</v>
          </cell>
          <cell r="F2097">
            <v>41</v>
          </cell>
        </row>
        <row r="2098">
          <cell r="E2098" t="str">
            <v>PF135274J4</v>
          </cell>
          <cell r="F2098">
            <v>10.326923076923077</v>
          </cell>
        </row>
        <row r="2099">
          <cell r="E2099" t="str">
            <v>PF136058J1</v>
          </cell>
          <cell r="F2099">
            <v>5.606299212598425</v>
          </cell>
        </row>
        <row r="2100">
          <cell r="E2100" t="str">
            <v>PF136262J4</v>
          </cell>
          <cell r="F2100">
            <v>11.309859154929578</v>
          </cell>
        </row>
        <row r="2101">
          <cell r="E2101" t="str">
            <v>PF136272J0</v>
          </cell>
          <cell r="F2101">
            <v>11.853403141361257</v>
          </cell>
        </row>
        <row r="2102">
          <cell r="E2102" t="str">
            <v>PF136272J2</v>
          </cell>
          <cell r="F2102">
            <v>12.252959501557632</v>
          </cell>
        </row>
        <row r="2103">
          <cell r="E2103" t="str">
            <v>PF13627862</v>
          </cell>
          <cell r="F2103">
            <v>12.683257918552036</v>
          </cell>
        </row>
        <row r="2104">
          <cell r="E2104" t="str">
            <v>PF250236J0</v>
          </cell>
          <cell r="F2104">
            <v>9.2469135802469129</v>
          </cell>
        </row>
        <row r="2105">
          <cell r="E2105" t="str">
            <v>PF250256J0</v>
          </cell>
          <cell r="F2105">
            <v>7.0666666666666664</v>
          </cell>
        </row>
        <row r="2106">
          <cell r="E2106" t="str">
            <v>PF25045000</v>
          </cell>
          <cell r="F2106">
            <v>10.384615384615385</v>
          </cell>
        </row>
        <row r="2107">
          <cell r="E2107" t="str">
            <v>T313810100</v>
          </cell>
          <cell r="F2107">
            <v>3.2872928176795582</v>
          </cell>
        </row>
        <row r="2108">
          <cell r="E2108" t="str">
            <v>T9433220MF</v>
          </cell>
          <cell r="F2108">
            <v>63.6</v>
          </cell>
        </row>
        <row r="2109">
          <cell r="E2109" t="str">
            <v>Z0002257MF</v>
          </cell>
          <cell r="F2109">
            <v>33.82</v>
          </cell>
        </row>
        <row r="2110">
          <cell r="E2110" t="str">
            <v>Z0002257NF</v>
          </cell>
          <cell r="F2110">
            <v>27.05</v>
          </cell>
        </row>
      </sheetData>
      <sheetData sheetId="17" refreshError="1">
        <row r="4">
          <cell r="A4" t="str">
            <v>1105921099</v>
          </cell>
          <cell r="B4">
            <v>0.28999999999999998</v>
          </cell>
          <cell r="C4">
            <v>0.04</v>
          </cell>
          <cell r="D4">
            <v>0.06</v>
          </cell>
        </row>
        <row r="5">
          <cell r="A5" t="str">
            <v>1106203299</v>
          </cell>
          <cell r="B5">
            <v>0.28000000000000003</v>
          </cell>
          <cell r="C5">
            <v>0.01</v>
          </cell>
          <cell r="D5">
            <v>0.02</v>
          </cell>
        </row>
        <row r="6">
          <cell r="A6" t="str">
            <v>1108114319</v>
          </cell>
          <cell r="B6">
            <v>5.12</v>
          </cell>
          <cell r="C6">
            <v>3.9</v>
          </cell>
          <cell r="D6">
            <v>5.93</v>
          </cell>
        </row>
        <row r="7">
          <cell r="A7" t="str">
            <v>1108260618</v>
          </cell>
          <cell r="B7">
            <v>0.98</v>
          </cell>
          <cell r="C7">
            <v>0.23</v>
          </cell>
          <cell r="D7">
            <v>0.37</v>
          </cell>
        </row>
        <row r="8">
          <cell r="A8" t="str">
            <v>1108285119</v>
          </cell>
          <cell r="B8">
            <v>7.98</v>
          </cell>
          <cell r="C8">
            <v>5.14</v>
          </cell>
          <cell r="D8">
            <v>7.49</v>
          </cell>
        </row>
        <row r="9">
          <cell r="A9" t="str">
            <v>1108316119</v>
          </cell>
          <cell r="B9">
            <v>10.09</v>
          </cell>
          <cell r="C9">
            <v>6.8</v>
          </cell>
          <cell r="D9">
            <v>29.46</v>
          </cell>
        </row>
        <row r="10">
          <cell r="A10" t="str">
            <v>1108329918</v>
          </cell>
          <cell r="B10">
            <v>1.19</v>
          </cell>
          <cell r="C10">
            <v>0.78</v>
          </cell>
          <cell r="D10">
            <v>1.0900000000000001</v>
          </cell>
        </row>
        <row r="11">
          <cell r="A11" t="str">
            <v>1108330018</v>
          </cell>
          <cell r="B11">
            <v>1.19</v>
          </cell>
          <cell r="C11">
            <v>0.78</v>
          </cell>
          <cell r="D11">
            <v>1.0900000000000001</v>
          </cell>
        </row>
        <row r="12">
          <cell r="A12" t="str">
            <v>1108331119</v>
          </cell>
          <cell r="B12">
            <v>5.47</v>
          </cell>
          <cell r="C12">
            <v>3.02</v>
          </cell>
          <cell r="D12">
            <v>4.37</v>
          </cell>
        </row>
        <row r="13">
          <cell r="A13" t="str">
            <v>1108347418</v>
          </cell>
          <cell r="B13">
            <v>1.63</v>
          </cell>
          <cell r="C13">
            <v>0.9</v>
          </cell>
          <cell r="D13">
            <v>1.27</v>
          </cell>
        </row>
        <row r="14">
          <cell r="A14" t="str">
            <v>1108347518</v>
          </cell>
          <cell r="B14">
            <v>1.63</v>
          </cell>
          <cell r="C14">
            <v>0.9</v>
          </cell>
          <cell r="D14">
            <v>1.32</v>
          </cell>
        </row>
        <row r="15">
          <cell r="A15" t="str">
            <v>1108417018</v>
          </cell>
          <cell r="B15">
            <v>42.92</v>
          </cell>
          <cell r="C15">
            <v>1.1299999999999999</v>
          </cell>
          <cell r="D15">
            <v>1.1599999999999999</v>
          </cell>
        </row>
        <row r="16">
          <cell r="A16" t="str">
            <v>1108417099</v>
          </cell>
          <cell r="B16">
            <v>21.75</v>
          </cell>
          <cell r="C16">
            <v>7.89</v>
          </cell>
          <cell r="D16">
            <v>8.84</v>
          </cell>
        </row>
        <row r="17">
          <cell r="A17" t="str">
            <v>1108417118</v>
          </cell>
          <cell r="B17">
            <v>1.96</v>
          </cell>
          <cell r="C17">
            <v>0.42</v>
          </cell>
          <cell r="D17">
            <v>12.3</v>
          </cell>
        </row>
        <row r="18">
          <cell r="A18" t="str">
            <v>1108494417</v>
          </cell>
          <cell r="B18">
            <v>20.67</v>
          </cell>
          <cell r="C18">
            <v>4.95</v>
          </cell>
          <cell r="D18">
            <v>10.72</v>
          </cell>
        </row>
        <row r="19">
          <cell r="A19" t="str">
            <v>1108496418</v>
          </cell>
          <cell r="B19">
            <v>0.38</v>
          </cell>
          <cell r="C19">
            <v>0</v>
          </cell>
          <cell r="D19">
            <v>0</v>
          </cell>
        </row>
        <row r="20">
          <cell r="A20" t="str">
            <v>1108499017</v>
          </cell>
          <cell r="B20">
            <v>5.23</v>
          </cell>
          <cell r="C20">
            <v>3.88</v>
          </cell>
          <cell r="D20">
            <v>5.41</v>
          </cell>
        </row>
        <row r="21">
          <cell r="A21" t="str">
            <v>1108501618</v>
          </cell>
          <cell r="B21">
            <v>0.33</v>
          </cell>
          <cell r="C21">
            <v>0</v>
          </cell>
          <cell r="D21">
            <v>0</v>
          </cell>
        </row>
        <row r="22">
          <cell r="A22" t="str">
            <v>1108501718</v>
          </cell>
          <cell r="B22">
            <v>0.23</v>
          </cell>
          <cell r="C22">
            <v>0</v>
          </cell>
          <cell r="D22">
            <v>0</v>
          </cell>
        </row>
        <row r="23">
          <cell r="A23" t="str">
            <v>1108501818</v>
          </cell>
          <cell r="B23">
            <v>0.42</v>
          </cell>
          <cell r="C23">
            <v>0</v>
          </cell>
          <cell r="D23">
            <v>0</v>
          </cell>
        </row>
        <row r="24">
          <cell r="A24" t="str">
            <v>1108509719</v>
          </cell>
          <cell r="B24">
            <v>3.34</v>
          </cell>
          <cell r="C24">
            <v>2.2000000000000002</v>
          </cell>
          <cell r="D24">
            <v>3.37</v>
          </cell>
        </row>
        <row r="25">
          <cell r="A25" t="str">
            <v>1108529618</v>
          </cell>
          <cell r="B25">
            <v>0.13</v>
          </cell>
          <cell r="C25">
            <v>0</v>
          </cell>
          <cell r="D25">
            <v>0</v>
          </cell>
        </row>
        <row r="26">
          <cell r="A26" t="str">
            <v>1108529919</v>
          </cell>
          <cell r="B26">
            <v>3.68</v>
          </cell>
          <cell r="C26">
            <v>2.2799999999999998</v>
          </cell>
          <cell r="D26">
            <v>3.27</v>
          </cell>
        </row>
        <row r="27">
          <cell r="A27" t="str">
            <v>1108539518</v>
          </cell>
          <cell r="B27">
            <v>1.06</v>
          </cell>
          <cell r="C27">
            <v>0</v>
          </cell>
          <cell r="D27">
            <v>0</v>
          </cell>
        </row>
        <row r="28">
          <cell r="A28" t="str">
            <v>1108539818</v>
          </cell>
          <cell r="B28">
            <v>0.77</v>
          </cell>
          <cell r="C28">
            <v>0</v>
          </cell>
          <cell r="D28">
            <v>0</v>
          </cell>
        </row>
        <row r="29">
          <cell r="A29" t="str">
            <v>1108567519</v>
          </cell>
          <cell r="B29">
            <v>4.1500000000000004</v>
          </cell>
          <cell r="C29">
            <v>3.37</v>
          </cell>
          <cell r="D29">
            <v>5.44</v>
          </cell>
        </row>
        <row r="30">
          <cell r="A30" t="str">
            <v>1108616218</v>
          </cell>
          <cell r="B30">
            <v>0.85</v>
          </cell>
          <cell r="C30">
            <v>0</v>
          </cell>
          <cell r="D30">
            <v>0</v>
          </cell>
        </row>
        <row r="31">
          <cell r="A31" t="str">
            <v>1108616618</v>
          </cell>
          <cell r="B31">
            <v>0.34</v>
          </cell>
          <cell r="C31">
            <v>0</v>
          </cell>
          <cell r="D31">
            <v>0</v>
          </cell>
        </row>
        <row r="32">
          <cell r="A32" t="str">
            <v>1108616918</v>
          </cell>
          <cell r="B32">
            <v>0.51</v>
          </cell>
          <cell r="C32">
            <v>0</v>
          </cell>
          <cell r="D32">
            <v>0</v>
          </cell>
        </row>
        <row r="33">
          <cell r="A33" t="str">
            <v>1108617018</v>
          </cell>
          <cell r="B33">
            <v>0.34</v>
          </cell>
          <cell r="C33">
            <v>0</v>
          </cell>
          <cell r="D33">
            <v>0</v>
          </cell>
        </row>
        <row r="34">
          <cell r="A34" t="str">
            <v>1108618817</v>
          </cell>
          <cell r="B34">
            <v>4.0599999999999996</v>
          </cell>
          <cell r="C34">
            <v>2.4</v>
          </cell>
          <cell r="D34">
            <v>3.49</v>
          </cell>
        </row>
        <row r="35">
          <cell r="A35" t="str">
            <v>1108618819</v>
          </cell>
          <cell r="B35">
            <v>4.0599999999999996</v>
          </cell>
          <cell r="C35">
            <v>2.4</v>
          </cell>
          <cell r="D35">
            <v>3.49</v>
          </cell>
        </row>
        <row r="36">
          <cell r="A36" t="str">
            <v>1108619219</v>
          </cell>
          <cell r="B36">
            <v>8.0399999999999991</v>
          </cell>
          <cell r="C36">
            <v>3.32</v>
          </cell>
          <cell r="D36">
            <v>4.4000000000000004</v>
          </cell>
        </row>
        <row r="37">
          <cell r="A37" t="str">
            <v>1108635015</v>
          </cell>
          <cell r="B37">
            <v>4.08</v>
          </cell>
          <cell r="C37">
            <v>2.73</v>
          </cell>
          <cell r="D37">
            <v>4.1399999999999997</v>
          </cell>
        </row>
        <row r="38">
          <cell r="A38" t="str">
            <v>1108635019</v>
          </cell>
          <cell r="B38">
            <v>4.08</v>
          </cell>
          <cell r="C38">
            <v>2.73</v>
          </cell>
          <cell r="D38">
            <v>3.77</v>
          </cell>
        </row>
        <row r="39">
          <cell r="A39" t="str">
            <v>1108638718</v>
          </cell>
          <cell r="B39">
            <v>0.13</v>
          </cell>
          <cell r="C39">
            <v>0</v>
          </cell>
          <cell r="D39">
            <v>0</v>
          </cell>
        </row>
        <row r="40">
          <cell r="A40" t="str">
            <v>1108638818</v>
          </cell>
          <cell r="B40">
            <v>0.2</v>
          </cell>
          <cell r="C40">
            <v>0</v>
          </cell>
          <cell r="D40">
            <v>0</v>
          </cell>
        </row>
        <row r="41">
          <cell r="A41" t="str">
            <v>1108638918</v>
          </cell>
          <cell r="B41">
            <v>0.2</v>
          </cell>
          <cell r="C41">
            <v>0</v>
          </cell>
          <cell r="D41">
            <v>0</v>
          </cell>
        </row>
        <row r="42">
          <cell r="A42" t="str">
            <v>1108672978</v>
          </cell>
          <cell r="B42">
            <v>118.92</v>
          </cell>
          <cell r="C42">
            <v>0</v>
          </cell>
          <cell r="D42">
            <v>0</v>
          </cell>
        </row>
        <row r="43">
          <cell r="A43" t="str">
            <v>1108673178</v>
          </cell>
          <cell r="B43">
            <v>118.92</v>
          </cell>
          <cell r="C43">
            <v>0</v>
          </cell>
          <cell r="D43">
            <v>0</v>
          </cell>
        </row>
        <row r="44">
          <cell r="A44" t="str">
            <v>1108688818</v>
          </cell>
          <cell r="B44">
            <v>1.59</v>
          </cell>
          <cell r="C44">
            <v>0</v>
          </cell>
          <cell r="D44">
            <v>0</v>
          </cell>
        </row>
        <row r="45">
          <cell r="A45" t="str">
            <v>1108693219</v>
          </cell>
          <cell r="B45">
            <v>14.14</v>
          </cell>
          <cell r="C45">
            <v>0.2</v>
          </cell>
          <cell r="D45">
            <v>0.19</v>
          </cell>
        </row>
        <row r="46">
          <cell r="A46" t="str">
            <v>1108705717</v>
          </cell>
          <cell r="B46">
            <v>3.75</v>
          </cell>
          <cell r="C46">
            <v>2.61</v>
          </cell>
          <cell r="D46">
            <v>3.81</v>
          </cell>
        </row>
        <row r="47">
          <cell r="A47" t="str">
            <v>1108707517</v>
          </cell>
          <cell r="B47">
            <v>13.44</v>
          </cell>
          <cell r="C47">
            <v>5.32</v>
          </cell>
          <cell r="D47">
            <v>16.760000000000002</v>
          </cell>
        </row>
        <row r="48">
          <cell r="A48" t="str">
            <v>1108718718</v>
          </cell>
          <cell r="B48">
            <v>0.76</v>
          </cell>
          <cell r="C48">
            <v>0</v>
          </cell>
          <cell r="D48">
            <v>0</v>
          </cell>
        </row>
        <row r="49">
          <cell r="A49" t="str">
            <v>1108718818</v>
          </cell>
          <cell r="B49">
            <v>0.61</v>
          </cell>
          <cell r="C49">
            <v>0</v>
          </cell>
          <cell r="D49">
            <v>0</v>
          </cell>
        </row>
        <row r="50">
          <cell r="A50" t="str">
            <v>1108721919</v>
          </cell>
          <cell r="B50">
            <v>16.45</v>
          </cell>
          <cell r="C50">
            <v>3.96</v>
          </cell>
          <cell r="D50">
            <v>4.51</v>
          </cell>
        </row>
        <row r="51">
          <cell r="A51" t="str">
            <v>1108753419</v>
          </cell>
          <cell r="B51">
            <v>4.8</v>
          </cell>
          <cell r="C51">
            <v>1.1200000000000001</v>
          </cell>
          <cell r="D51">
            <v>1.58</v>
          </cell>
        </row>
        <row r="52">
          <cell r="A52" t="str">
            <v>1108753619</v>
          </cell>
          <cell r="B52">
            <v>8.69</v>
          </cell>
          <cell r="C52">
            <v>1.6</v>
          </cell>
          <cell r="D52">
            <v>1.95</v>
          </cell>
        </row>
        <row r="53">
          <cell r="A53" t="str">
            <v>1108762119</v>
          </cell>
          <cell r="B53">
            <v>6.57</v>
          </cell>
          <cell r="C53">
            <v>1.87</v>
          </cell>
          <cell r="D53">
            <v>2.61</v>
          </cell>
        </row>
        <row r="54">
          <cell r="A54" t="str">
            <v>1108762719</v>
          </cell>
          <cell r="B54">
            <v>6.83</v>
          </cell>
          <cell r="C54">
            <v>4.7699999999999996</v>
          </cell>
          <cell r="D54">
            <v>6.98</v>
          </cell>
        </row>
        <row r="55">
          <cell r="A55" t="str">
            <v>1108764619</v>
          </cell>
          <cell r="B55">
            <v>58.35</v>
          </cell>
          <cell r="C55">
            <v>5.95</v>
          </cell>
          <cell r="D55">
            <v>6.36</v>
          </cell>
        </row>
        <row r="56">
          <cell r="A56" t="str">
            <v>1108765319</v>
          </cell>
          <cell r="B56">
            <v>7.5</v>
          </cell>
          <cell r="C56">
            <v>1.37</v>
          </cell>
          <cell r="D56">
            <v>1.45</v>
          </cell>
        </row>
        <row r="57">
          <cell r="A57" t="str">
            <v>1108771518</v>
          </cell>
          <cell r="B57">
            <v>0.56000000000000005</v>
          </cell>
          <cell r="C57">
            <v>0</v>
          </cell>
          <cell r="D57">
            <v>0</v>
          </cell>
        </row>
        <row r="58">
          <cell r="A58" t="str">
            <v>1108772218</v>
          </cell>
          <cell r="B58">
            <v>0.94</v>
          </cell>
          <cell r="C58">
            <v>0</v>
          </cell>
          <cell r="D58">
            <v>0</v>
          </cell>
        </row>
        <row r="59">
          <cell r="A59" t="str">
            <v>1108776118</v>
          </cell>
          <cell r="B59">
            <v>0.33</v>
          </cell>
          <cell r="C59">
            <v>0</v>
          </cell>
          <cell r="D59">
            <v>0</v>
          </cell>
        </row>
        <row r="60">
          <cell r="A60" t="str">
            <v>1108776218</v>
          </cell>
          <cell r="B60">
            <v>0.71</v>
          </cell>
          <cell r="C60">
            <v>0</v>
          </cell>
          <cell r="D60">
            <v>0</v>
          </cell>
        </row>
        <row r="61">
          <cell r="A61" t="str">
            <v>1108776318</v>
          </cell>
          <cell r="B61">
            <v>0.51</v>
          </cell>
          <cell r="C61">
            <v>0</v>
          </cell>
          <cell r="D61">
            <v>0</v>
          </cell>
        </row>
        <row r="62">
          <cell r="A62" t="str">
            <v>1108776418</v>
          </cell>
          <cell r="B62">
            <v>2.2000000000000002</v>
          </cell>
          <cell r="C62">
            <v>0</v>
          </cell>
          <cell r="D62">
            <v>0</v>
          </cell>
        </row>
        <row r="63">
          <cell r="A63" t="str">
            <v>1108776518</v>
          </cell>
          <cell r="B63">
            <v>1.0900000000000001</v>
          </cell>
          <cell r="C63">
            <v>0</v>
          </cell>
          <cell r="D63">
            <v>0</v>
          </cell>
        </row>
        <row r="64">
          <cell r="A64" t="str">
            <v>1108776618</v>
          </cell>
          <cell r="B64">
            <v>0.23</v>
          </cell>
          <cell r="C64">
            <v>0</v>
          </cell>
          <cell r="D64">
            <v>0</v>
          </cell>
        </row>
        <row r="65">
          <cell r="A65" t="str">
            <v>1108776818</v>
          </cell>
          <cell r="B65">
            <v>0.17</v>
          </cell>
          <cell r="C65">
            <v>0</v>
          </cell>
          <cell r="D65">
            <v>0</v>
          </cell>
        </row>
        <row r="66">
          <cell r="A66" t="str">
            <v>1108783419</v>
          </cell>
          <cell r="B66">
            <v>6.13</v>
          </cell>
          <cell r="C66">
            <v>3.87</v>
          </cell>
          <cell r="D66">
            <v>5.77</v>
          </cell>
        </row>
        <row r="67">
          <cell r="A67" t="str">
            <v>1108801818</v>
          </cell>
          <cell r="B67">
            <v>1.35</v>
          </cell>
          <cell r="C67">
            <v>0</v>
          </cell>
          <cell r="D67">
            <v>0</v>
          </cell>
        </row>
        <row r="68">
          <cell r="A68" t="str">
            <v>1108802018</v>
          </cell>
          <cell r="B68">
            <v>0.63</v>
          </cell>
          <cell r="C68">
            <v>0</v>
          </cell>
          <cell r="D68">
            <v>0</v>
          </cell>
        </row>
        <row r="69">
          <cell r="A69" t="str">
            <v>1108802118</v>
          </cell>
          <cell r="B69">
            <v>0.49</v>
          </cell>
          <cell r="C69">
            <v>0</v>
          </cell>
          <cell r="D69">
            <v>0</v>
          </cell>
        </row>
        <row r="70">
          <cell r="A70" t="str">
            <v>1108802218</v>
          </cell>
          <cell r="B70">
            <v>0.49</v>
          </cell>
          <cell r="C70">
            <v>0</v>
          </cell>
          <cell r="D70">
            <v>0</v>
          </cell>
        </row>
        <row r="71">
          <cell r="A71" t="str">
            <v>1108805619</v>
          </cell>
          <cell r="B71">
            <v>5.03</v>
          </cell>
          <cell r="C71">
            <v>2.73</v>
          </cell>
          <cell r="D71">
            <v>3.9</v>
          </cell>
        </row>
        <row r="72">
          <cell r="A72" t="str">
            <v>1108820917</v>
          </cell>
          <cell r="B72">
            <v>9.91</v>
          </cell>
          <cell r="C72">
            <v>1.37</v>
          </cell>
          <cell r="D72">
            <v>1.68</v>
          </cell>
        </row>
        <row r="73">
          <cell r="A73" t="str">
            <v>1108823718</v>
          </cell>
          <cell r="B73">
            <v>0.34</v>
          </cell>
          <cell r="C73">
            <v>0</v>
          </cell>
          <cell r="D73">
            <v>0</v>
          </cell>
        </row>
        <row r="74">
          <cell r="A74" t="str">
            <v>1108823818</v>
          </cell>
          <cell r="B74">
            <v>1.1499999999999999</v>
          </cell>
          <cell r="C74">
            <v>0</v>
          </cell>
          <cell r="D74">
            <v>0</v>
          </cell>
        </row>
        <row r="75">
          <cell r="A75" t="str">
            <v>1108827419</v>
          </cell>
          <cell r="B75">
            <v>4.74</v>
          </cell>
          <cell r="C75">
            <v>3.51</v>
          </cell>
          <cell r="D75">
            <v>5.62</v>
          </cell>
        </row>
        <row r="76">
          <cell r="A76" t="str">
            <v>1108828519</v>
          </cell>
          <cell r="B76">
            <v>8.4600000000000009</v>
          </cell>
          <cell r="C76">
            <v>2.68</v>
          </cell>
          <cell r="D76">
            <v>3.09</v>
          </cell>
        </row>
        <row r="77">
          <cell r="A77" t="str">
            <v>1108829918</v>
          </cell>
          <cell r="B77">
            <v>0.11</v>
          </cell>
          <cell r="C77">
            <v>0</v>
          </cell>
          <cell r="D77">
            <v>0</v>
          </cell>
        </row>
        <row r="78">
          <cell r="A78" t="str">
            <v>1108830018</v>
          </cell>
          <cell r="B78">
            <v>0.26</v>
          </cell>
          <cell r="C78">
            <v>0</v>
          </cell>
          <cell r="D78">
            <v>0</v>
          </cell>
        </row>
        <row r="79">
          <cell r="A79" t="str">
            <v>1108835319</v>
          </cell>
          <cell r="B79">
            <v>6.09</v>
          </cell>
          <cell r="C79">
            <v>3.91</v>
          </cell>
          <cell r="D79">
            <v>5.88</v>
          </cell>
        </row>
        <row r="80">
          <cell r="A80" t="str">
            <v>1108835519</v>
          </cell>
          <cell r="B80">
            <v>5.7</v>
          </cell>
          <cell r="C80">
            <v>3.95</v>
          </cell>
          <cell r="D80">
            <v>5.99</v>
          </cell>
        </row>
        <row r="81">
          <cell r="A81" t="str">
            <v>1108836719</v>
          </cell>
          <cell r="B81">
            <v>0.84</v>
          </cell>
          <cell r="C81">
            <v>0.3</v>
          </cell>
          <cell r="D81">
            <v>0.61</v>
          </cell>
        </row>
        <row r="82">
          <cell r="A82" t="str">
            <v>1108838518</v>
          </cell>
          <cell r="B82">
            <v>0.97</v>
          </cell>
          <cell r="C82">
            <v>0</v>
          </cell>
          <cell r="D82">
            <v>0</v>
          </cell>
        </row>
        <row r="83">
          <cell r="A83" t="str">
            <v>1108839719</v>
          </cell>
          <cell r="B83">
            <v>9.83</v>
          </cell>
          <cell r="C83">
            <v>2.61</v>
          </cell>
          <cell r="D83">
            <v>3.52</v>
          </cell>
        </row>
        <row r="84">
          <cell r="A84" t="str">
            <v>1108841119</v>
          </cell>
          <cell r="B84">
            <v>1.78</v>
          </cell>
          <cell r="C84">
            <v>0.56000000000000005</v>
          </cell>
          <cell r="D84">
            <v>1.06</v>
          </cell>
        </row>
        <row r="85">
          <cell r="A85" t="str">
            <v>1108843519</v>
          </cell>
          <cell r="B85">
            <v>6.71</v>
          </cell>
          <cell r="C85">
            <v>4.78</v>
          </cell>
          <cell r="D85">
            <v>6.28</v>
          </cell>
        </row>
        <row r="86">
          <cell r="A86" t="str">
            <v>1108847019</v>
          </cell>
          <cell r="B86">
            <v>6.71</v>
          </cell>
          <cell r="C86">
            <v>4.57</v>
          </cell>
          <cell r="D86">
            <v>6.03</v>
          </cell>
        </row>
        <row r="87">
          <cell r="A87" t="str">
            <v>1108848718</v>
          </cell>
          <cell r="B87">
            <v>0</v>
          </cell>
          <cell r="C87">
            <v>0.1</v>
          </cell>
          <cell r="D87">
            <v>0.13</v>
          </cell>
        </row>
        <row r="88">
          <cell r="A88" t="str">
            <v>1108855416</v>
          </cell>
          <cell r="B88">
            <v>0.91</v>
          </cell>
          <cell r="C88">
            <v>0.64</v>
          </cell>
          <cell r="D88">
            <v>3.93</v>
          </cell>
        </row>
        <row r="89">
          <cell r="A89" t="str">
            <v>1108855417</v>
          </cell>
          <cell r="B89">
            <v>0.91</v>
          </cell>
          <cell r="C89">
            <v>0.64</v>
          </cell>
          <cell r="D89">
            <v>3.49</v>
          </cell>
        </row>
        <row r="90">
          <cell r="A90" t="str">
            <v>1108869119</v>
          </cell>
          <cell r="B90">
            <v>2.4500000000000002</v>
          </cell>
          <cell r="C90">
            <v>1.2</v>
          </cell>
          <cell r="D90">
            <v>2.4</v>
          </cell>
        </row>
        <row r="91">
          <cell r="A91" t="str">
            <v>1108870919</v>
          </cell>
          <cell r="B91">
            <v>1.91</v>
          </cell>
          <cell r="C91">
            <v>1.21</v>
          </cell>
          <cell r="D91">
            <v>1.44</v>
          </cell>
        </row>
        <row r="92">
          <cell r="A92" t="str">
            <v>1108872618</v>
          </cell>
          <cell r="B92">
            <v>0.66</v>
          </cell>
          <cell r="C92">
            <v>0</v>
          </cell>
          <cell r="D92">
            <v>0</v>
          </cell>
        </row>
        <row r="93">
          <cell r="A93" t="str">
            <v>1108872718</v>
          </cell>
          <cell r="B93">
            <v>1.01</v>
          </cell>
          <cell r="C93">
            <v>0</v>
          </cell>
          <cell r="D93">
            <v>0</v>
          </cell>
        </row>
        <row r="94">
          <cell r="A94" t="str">
            <v>1108873698</v>
          </cell>
          <cell r="B94">
            <v>0</v>
          </cell>
          <cell r="C94">
            <v>7.0000000000000007E-2</v>
          </cell>
          <cell r="D94">
            <v>0.11</v>
          </cell>
        </row>
        <row r="95">
          <cell r="A95" t="str">
            <v>1108878417</v>
          </cell>
          <cell r="B95">
            <v>7.98</v>
          </cell>
          <cell r="C95">
            <v>6.59</v>
          </cell>
          <cell r="D95">
            <v>8.91</v>
          </cell>
        </row>
        <row r="96">
          <cell r="A96" t="str">
            <v>1108883519</v>
          </cell>
          <cell r="B96">
            <v>3.1</v>
          </cell>
          <cell r="C96">
            <v>0.99</v>
          </cell>
          <cell r="D96">
            <v>1.57</v>
          </cell>
        </row>
        <row r="97">
          <cell r="A97" t="str">
            <v>1108889719</v>
          </cell>
          <cell r="B97">
            <v>2.25</v>
          </cell>
          <cell r="C97">
            <v>2.1800000000000002</v>
          </cell>
          <cell r="D97">
            <v>2.65</v>
          </cell>
        </row>
        <row r="98">
          <cell r="A98" t="str">
            <v>1108895017</v>
          </cell>
          <cell r="B98">
            <v>1.5</v>
          </cell>
          <cell r="C98">
            <v>1.01</v>
          </cell>
          <cell r="D98">
            <v>1.45</v>
          </cell>
        </row>
        <row r="99">
          <cell r="A99" t="str">
            <v>1108895019</v>
          </cell>
          <cell r="B99">
            <v>1.5</v>
          </cell>
          <cell r="C99">
            <v>1.01</v>
          </cell>
          <cell r="D99">
            <v>1.45</v>
          </cell>
        </row>
        <row r="100">
          <cell r="A100" t="str">
            <v>1118000919</v>
          </cell>
          <cell r="B100">
            <v>3.23</v>
          </cell>
          <cell r="C100">
            <v>2.2999999999999998</v>
          </cell>
          <cell r="D100">
            <v>3.11</v>
          </cell>
        </row>
        <row r="101">
          <cell r="A101" t="str">
            <v>1118005118</v>
          </cell>
          <cell r="B101">
            <v>0.28000000000000003</v>
          </cell>
          <cell r="C101">
            <v>0</v>
          </cell>
          <cell r="D101">
            <v>0</v>
          </cell>
        </row>
        <row r="102">
          <cell r="A102" t="str">
            <v>1118005318</v>
          </cell>
          <cell r="B102">
            <v>0.42</v>
          </cell>
          <cell r="C102">
            <v>0</v>
          </cell>
          <cell r="D102">
            <v>0</v>
          </cell>
        </row>
        <row r="103">
          <cell r="A103" t="str">
            <v>1118006518</v>
          </cell>
          <cell r="B103">
            <v>0.2</v>
          </cell>
          <cell r="C103">
            <v>0</v>
          </cell>
          <cell r="D103">
            <v>0</v>
          </cell>
        </row>
        <row r="104">
          <cell r="A104" t="str">
            <v>1118006618</v>
          </cell>
          <cell r="B104">
            <v>0.24</v>
          </cell>
          <cell r="C104">
            <v>0</v>
          </cell>
          <cell r="D104">
            <v>0</v>
          </cell>
        </row>
        <row r="105">
          <cell r="A105" t="str">
            <v>1118009319</v>
          </cell>
          <cell r="B105">
            <v>0.89</v>
          </cell>
          <cell r="C105">
            <v>0.4</v>
          </cell>
          <cell r="D105">
            <v>0.79</v>
          </cell>
        </row>
        <row r="106">
          <cell r="A106" t="str">
            <v>1118009619</v>
          </cell>
          <cell r="B106">
            <v>4.6100000000000003</v>
          </cell>
          <cell r="C106">
            <v>3.47</v>
          </cell>
          <cell r="D106">
            <v>5.56</v>
          </cell>
        </row>
        <row r="107">
          <cell r="A107" t="str">
            <v>1118017319</v>
          </cell>
          <cell r="B107">
            <v>6.96</v>
          </cell>
          <cell r="C107">
            <v>1.76</v>
          </cell>
          <cell r="D107">
            <v>2.23</v>
          </cell>
        </row>
        <row r="108">
          <cell r="A108" t="str">
            <v>1118018019</v>
          </cell>
          <cell r="B108">
            <v>5.0599999999999996</v>
          </cell>
          <cell r="C108">
            <v>2.57</v>
          </cell>
          <cell r="D108">
            <v>10.09</v>
          </cell>
        </row>
        <row r="109">
          <cell r="A109" t="str">
            <v>1118019318</v>
          </cell>
          <cell r="B109">
            <v>0.19</v>
          </cell>
          <cell r="C109">
            <v>0</v>
          </cell>
          <cell r="D109">
            <v>0</v>
          </cell>
        </row>
        <row r="110">
          <cell r="A110" t="str">
            <v>1118020218</v>
          </cell>
          <cell r="B110">
            <v>0.54</v>
          </cell>
          <cell r="C110">
            <v>0</v>
          </cell>
          <cell r="D110">
            <v>0</v>
          </cell>
        </row>
        <row r="111">
          <cell r="A111" t="str">
            <v>1118026619</v>
          </cell>
          <cell r="B111">
            <v>4.5199999999999996</v>
          </cell>
          <cell r="C111">
            <v>3.38</v>
          </cell>
          <cell r="D111">
            <v>4.3099999999999996</v>
          </cell>
        </row>
        <row r="112">
          <cell r="A112" t="str">
            <v>1118031719</v>
          </cell>
          <cell r="B112">
            <v>4.45</v>
          </cell>
          <cell r="C112">
            <v>1.99</v>
          </cell>
          <cell r="D112">
            <v>2.77</v>
          </cell>
        </row>
        <row r="113">
          <cell r="A113" t="str">
            <v>1118032319</v>
          </cell>
          <cell r="B113">
            <v>3.25</v>
          </cell>
          <cell r="C113">
            <v>2.78</v>
          </cell>
          <cell r="D113">
            <v>4.08</v>
          </cell>
        </row>
        <row r="114">
          <cell r="A114" t="str">
            <v>1118033319</v>
          </cell>
          <cell r="B114">
            <v>4.87</v>
          </cell>
          <cell r="C114">
            <v>3.64</v>
          </cell>
          <cell r="D114">
            <v>5.14</v>
          </cell>
        </row>
        <row r="115">
          <cell r="A115" t="str">
            <v>1118035918</v>
          </cell>
          <cell r="B115">
            <v>1.78</v>
          </cell>
          <cell r="C115">
            <v>0</v>
          </cell>
          <cell r="D115">
            <v>0</v>
          </cell>
        </row>
        <row r="116">
          <cell r="A116" t="str">
            <v>1118038119</v>
          </cell>
          <cell r="B116">
            <v>0</v>
          </cell>
          <cell r="C116">
            <v>0.97</v>
          </cell>
          <cell r="D116">
            <v>4.5999999999999996</v>
          </cell>
        </row>
        <row r="117">
          <cell r="A117" t="str">
            <v>1118042017</v>
          </cell>
          <cell r="B117">
            <v>6.61</v>
          </cell>
          <cell r="C117">
            <v>3.77</v>
          </cell>
          <cell r="D117">
            <v>5.0999999999999996</v>
          </cell>
        </row>
        <row r="118">
          <cell r="A118" t="str">
            <v>1118045019</v>
          </cell>
          <cell r="B118">
            <v>3.39</v>
          </cell>
          <cell r="C118">
            <v>2.97</v>
          </cell>
          <cell r="D118">
            <v>4.7699999999999996</v>
          </cell>
        </row>
        <row r="119">
          <cell r="A119" t="str">
            <v>1118047418</v>
          </cell>
          <cell r="B119">
            <v>0.27</v>
          </cell>
          <cell r="C119">
            <v>0</v>
          </cell>
          <cell r="D119">
            <v>0</v>
          </cell>
        </row>
        <row r="120">
          <cell r="A120" t="str">
            <v>1118047519</v>
          </cell>
          <cell r="B120">
            <v>5.25</v>
          </cell>
          <cell r="C120">
            <v>4.84</v>
          </cell>
          <cell r="D120">
            <v>11.45</v>
          </cell>
        </row>
        <row r="121">
          <cell r="A121" t="str">
            <v>1118049919</v>
          </cell>
          <cell r="B121">
            <v>6.18</v>
          </cell>
          <cell r="C121">
            <v>2.61</v>
          </cell>
          <cell r="D121">
            <v>7.03</v>
          </cell>
        </row>
        <row r="122">
          <cell r="A122" t="str">
            <v>1118059119</v>
          </cell>
          <cell r="B122">
            <v>39.29</v>
          </cell>
          <cell r="C122">
            <v>4.84</v>
          </cell>
          <cell r="D122">
            <v>6.23</v>
          </cell>
        </row>
        <row r="123">
          <cell r="A123" t="str">
            <v>1118059717</v>
          </cell>
          <cell r="B123">
            <v>24.33</v>
          </cell>
          <cell r="C123">
            <v>7.63</v>
          </cell>
          <cell r="D123">
            <v>19.91</v>
          </cell>
        </row>
        <row r="124">
          <cell r="A124" t="str">
            <v>1118062719</v>
          </cell>
          <cell r="B124">
            <v>4.7</v>
          </cell>
          <cell r="C124">
            <v>2.66</v>
          </cell>
          <cell r="D124">
            <v>4.04</v>
          </cell>
        </row>
        <row r="125">
          <cell r="A125" t="str">
            <v>1118063119</v>
          </cell>
          <cell r="B125">
            <v>9.2899999999999991</v>
          </cell>
          <cell r="C125">
            <v>3.26</v>
          </cell>
          <cell r="D125">
            <v>4</v>
          </cell>
        </row>
        <row r="126">
          <cell r="A126" t="str">
            <v>1118066519</v>
          </cell>
          <cell r="B126">
            <v>12.66</v>
          </cell>
          <cell r="C126">
            <v>5.99</v>
          </cell>
          <cell r="D126">
            <v>7.02</v>
          </cell>
        </row>
        <row r="127">
          <cell r="A127" t="str">
            <v>1118069818</v>
          </cell>
          <cell r="B127">
            <v>0.51</v>
          </cell>
          <cell r="C127">
            <v>0</v>
          </cell>
          <cell r="D127">
            <v>0</v>
          </cell>
        </row>
        <row r="128">
          <cell r="A128" t="str">
            <v>1118071518</v>
          </cell>
          <cell r="B128">
            <v>0.03</v>
          </cell>
          <cell r="C128">
            <v>0</v>
          </cell>
          <cell r="D128">
            <v>0</v>
          </cell>
        </row>
        <row r="129">
          <cell r="A129" t="str">
            <v>1118072018</v>
          </cell>
          <cell r="B129">
            <v>0.49</v>
          </cell>
          <cell r="C129">
            <v>0</v>
          </cell>
          <cell r="D129">
            <v>0</v>
          </cell>
        </row>
        <row r="130">
          <cell r="A130" t="str">
            <v>1118072218</v>
          </cell>
          <cell r="B130">
            <v>0.23</v>
          </cell>
          <cell r="C130">
            <v>0</v>
          </cell>
          <cell r="D130">
            <v>0</v>
          </cell>
        </row>
        <row r="131">
          <cell r="A131" t="str">
            <v>1118072618</v>
          </cell>
          <cell r="B131">
            <v>0.68</v>
          </cell>
          <cell r="C131">
            <v>0</v>
          </cell>
          <cell r="D131">
            <v>0</v>
          </cell>
        </row>
        <row r="132">
          <cell r="A132" t="str">
            <v>1118082819</v>
          </cell>
          <cell r="B132">
            <v>7.2</v>
          </cell>
          <cell r="C132">
            <v>5.13</v>
          </cell>
          <cell r="D132">
            <v>11.83</v>
          </cell>
        </row>
        <row r="133">
          <cell r="A133" t="str">
            <v>1118084717</v>
          </cell>
          <cell r="B133">
            <v>5.18</v>
          </cell>
          <cell r="C133">
            <v>1.91</v>
          </cell>
          <cell r="D133">
            <v>2.77</v>
          </cell>
        </row>
        <row r="134">
          <cell r="A134" t="str">
            <v>1118084719</v>
          </cell>
          <cell r="B134">
            <v>5.18</v>
          </cell>
          <cell r="C134">
            <v>1.91</v>
          </cell>
          <cell r="D134">
            <v>2.77</v>
          </cell>
        </row>
        <row r="135">
          <cell r="A135" t="str">
            <v>1118085519</v>
          </cell>
          <cell r="B135">
            <v>3.86</v>
          </cell>
          <cell r="C135">
            <v>2.7</v>
          </cell>
          <cell r="D135">
            <v>11.62</v>
          </cell>
        </row>
        <row r="136">
          <cell r="A136" t="str">
            <v>1118085719</v>
          </cell>
          <cell r="B136">
            <v>3.98</v>
          </cell>
          <cell r="C136">
            <v>2.34</v>
          </cell>
          <cell r="D136">
            <v>5.51</v>
          </cell>
        </row>
        <row r="137">
          <cell r="A137" t="str">
            <v>1118086619</v>
          </cell>
          <cell r="B137">
            <v>38.29</v>
          </cell>
          <cell r="C137">
            <v>4.16</v>
          </cell>
          <cell r="D137">
            <v>4.6100000000000003</v>
          </cell>
        </row>
        <row r="138">
          <cell r="A138" t="str">
            <v>1118089518</v>
          </cell>
          <cell r="B138">
            <v>0.22</v>
          </cell>
          <cell r="C138">
            <v>0</v>
          </cell>
          <cell r="D138">
            <v>0</v>
          </cell>
        </row>
        <row r="139">
          <cell r="A139" t="str">
            <v>1118090317</v>
          </cell>
          <cell r="B139">
            <v>2.02</v>
          </cell>
          <cell r="C139">
            <v>1.07</v>
          </cell>
          <cell r="D139">
            <v>1.58</v>
          </cell>
        </row>
        <row r="140">
          <cell r="A140" t="str">
            <v>1118090319</v>
          </cell>
          <cell r="B140">
            <v>2.02</v>
          </cell>
          <cell r="C140">
            <v>1.07</v>
          </cell>
          <cell r="D140">
            <v>1.58</v>
          </cell>
        </row>
        <row r="141">
          <cell r="A141" t="str">
            <v>1118091017</v>
          </cell>
          <cell r="B141">
            <v>5.23</v>
          </cell>
          <cell r="C141">
            <v>2.63</v>
          </cell>
          <cell r="D141">
            <v>4.7699999999999996</v>
          </cell>
        </row>
        <row r="142">
          <cell r="A142" t="str">
            <v>1118091019</v>
          </cell>
          <cell r="B142">
            <v>5.23</v>
          </cell>
          <cell r="C142">
            <v>2.63</v>
          </cell>
          <cell r="D142">
            <v>4.7699999999999996</v>
          </cell>
        </row>
        <row r="143">
          <cell r="A143" t="str">
            <v>11180995MF</v>
          </cell>
          <cell r="B143">
            <v>1.71</v>
          </cell>
          <cell r="C143">
            <v>0</v>
          </cell>
          <cell r="D143">
            <v>0</v>
          </cell>
        </row>
        <row r="144">
          <cell r="A144" t="str">
            <v>11180996MF</v>
          </cell>
          <cell r="B144">
            <v>1.71</v>
          </cell>
          <cell r="C144">
            <v>0</v>
          </cell>
          <cell r="D144">
            <v>0</v>
          </cell>
        </row>
        <row r="145">
          <cell r="A145" t="str">
            <v>11180998MF</v>
          </cell>
          <cell r="B145">
            <v>1.33</v>
          </cell>
          <cell r="C145">
            <v>0</v>
          </cell>
          <cell r="D145">
            <v>0</v>
          </cell>
        </row>
        <row r="146">
          <cell r="A146" t="str">
            <v>1118101219</v>
          </cell>
          <cell r="B146">
            <v>4.8899999999999997</v>
          </cell>
          <cell r="C146">
            <v>3.91</v>
          </cell>
          <cell r="D146">
            <v>5.75</v>
          </cell>
        </row>
        <row r="147">
          <cell r="A147" t="str">
            <v>1118101719</v>
          </cell>
          <cell r="B147">
            <v>3.34</v>
          </cell>
          <cell r="C147">
            <v>2.61</v>
          </cell>
          <cell r="D147">
            <v>4.03</v>
          </cell>
        </row>
        <row r="148">
          <cell r="A148" t="str">
            <v>1118102319</v>
          </cell>
          <cell r="B148">
            <v>4.57</v>
          </cell>
          <cell r="C148">
            <v>2.71</v>
          </cell>
          <cell r="D148">
            <v>12.14</v>
          </cell>
        </row>
        <row r="149">
          <cell r="A149" t="str">
            <v>1118103519</v>
          </cell>
          <cell r="B149">
            <v>5.03</v>
          </cell>
          <cell r="C149">
            <v>3.13</v>
          </cell>
          <cell r="D149">
            <v>4.6399999999999997</v>
          </cell>
        </row>
        <row r="150">
          <cell r="A150" t="str">
            <v>1118104218</v>
          </cell>
          <cell r="B150">
            <v>0.6</v>
          </cell>
          <cell r="C150">
            <v>0</v>
          </cell>
          <cell r="D150">
            <v>0</v>
          </cell>
        </row>
        <row r="151">
          <cell r="A151" t="str">
            <v>1118104419</v>
          </cell>
          <cell r="B151">
            <v>6.58</v>
          </cell>
          <cell r="C151">
            <v>3.57</v>
          </cell>
          <cell r="D151">
            <v>5.12</v>
          </cell>
        </row>
        <row r="152">
          <cell r="A152" t="str">
            <v>1118106219</v>
          </cell>
          <cell r="B152">
            <v>13.34</v>
          </cell>
          <cell r="C152">
            <v>6.9</v>
          </cell>
          <cell r="D152">
            <v>9.26</v>
          </cell>
        </row>
        <row r="153">
          <cell r="A153" t="str">
            <v>1118116917</v>
          </cell>
          <cell r="B153">
            <v>5.32</v>
          </cell>
          <cell r="C153">
            <v>1.83</v>
          </cell>
          <cell r="D153">
            <v>2.56</v>
          </cell>
        </row>
        <row r="154">
          <cell r="A154" t="str">
            <v>1118116919</v>
          </cell>
          <cell r="B154">
            <v>5.32</v>
          </cell>
          <cell r="C154">
            <v>1.79</v>
          </cell>
          <cell r="D154">
            <v>2.54</v>
          </cell>
        </row>
        <row r="155">
          <cell r="A155" t="str">
            <v>1118117519</v>
          </cell>
          <cell r="B155">
            <v>5.16</v>
          </cell>
          <cell r="C155">
            <v>6.14</v>
          </cell>
          <cell r="D155">
            <v>11.43</v>
          </cell>
        </row>
        <row r="156">
          <cell r="A156" t="str">
            <v>1118120219</v>
          </cell>
          <cell r="B156">
            <v>0.12</v>
          </cell>
          <cell r="C156">
            <v>0.26</v>
          </cell>
          <cell r="D156">
            <v>0.39</v>
          </cell>
        </row>
        <row r="157">
          <cell r="A157" t="str">
            <v>1118120619</v>
          </cell>
          <cell r="B157">
            <v>4.0599999999999996</v>
          </cell>
          <cell r="C157">
            <v>2.71</v>
          </cell>
          <cell r="D157">
            <v>4.0999999999999996</v>
          </cell>
        </row>
        <row r="158">
          <cell r="A158" t="str">
            <v>1118122419</v>
          </cell>
          <cell r="B158">
            <v>7.07</v>
          </cell>
          <cell r="C158">
            <v>2.4900000000000002</v>
          </cell>
          <cell r="D158">
            <v>3.74</v>
          </cell>
        </row>
        <row r="159">
          <cell r="A159" t="str">
            <v>11181261PF</v>
          </cell>
          <cell r="B159">
            <v>1.33</v>
          </cell>
          <cell r="C159">
            <v>0</v>
          </cell>
          <cell r="D159">
            <v>0</v>
          </cell>
        </row>
        <row r="160">
          <cell r="A160" t="str">
            <v>1118131818</v>
          </cell>
          <cell r="B160">
            <v>0.37</v>
          </cell>
          <cell r="C160">
            <v>0</v>
          </cell>
          <cell r="D160">
            <v>0</v>
          </cell>
        </row>
        <row r="161">
          <cell r="A161" t="str">
            <v>1118131918</v>
          </cell>
          <cell r="B161">
            <v>1.3</v>
          </cell>
          <cell r="C161">
            <v>0</v>
          </cell>
          <cell r="D161">
            <v>0</v>
          </cell>
        </row>
        <row r="162">
          <cell r="A162" t="str">
            <v>1118133219</v>
          </cell>
          <cell r="B162">
            <v>3.26</v>
          </cell>
          <cell r="C162">
            <v>4.1399999999999997</v>
          </cell>
          <cell r="D162">
            <v>20.239999999999998</v>
          </cell>
        </row>
        <row r="163">
          <cell r="A163" t="str">
            <v>1118133504</v>
          </cell>
          <cell r="B163">
            <v>0.15</v>
          </cell>
          <cell r="C163">
            <v>0.03</v>
          </cell>
          <cell r="D163">
            <v>0.03</v>
          </cell>
        </row>
        <row r="164">
          <cell r="A164" t="str">
            <v>1118133604</v>
          </cell>
          <cell r="B164">
            <v>0.15</v>
          </cell>
          <cell r="C164">
            <v>0.03</v>
          </cell>
          <cell r="D164">
            <v>0.03</v>
          </cell>
        </row>
        <row r="165">
          <cell r="A165" t="str">
            <v>1118133804</v>
          </cell>
          <cell r="B165">
            <v>0.14000000000000001</v>
          </cell>
          <cell r="C165">
            <v>7.0000000000000007E-2</v>
          </cell>
          <cell r="D165">
            <v>0.14000000000000001</v>
          </cell>
        </row>
        <row r="166">
          <cell r="A166" t="str">
            <v>1118134219</v>
          </cell>
          <cell r="B166">
            <v>8.5399999999999991</v>
          </cell>
          <cell r="C166">
            <v>3.17</v>
          </cell>
          <cell r="D166">
            <v>4.7699999999999996</v>
          </cell>
        </row>
        <row r="167">
          <cell r="A167" t="str">
            <v>1118134719</v>
          </cell>
          <cell r="B167">
            <v>3.99</v>
          </cell>
          <cell r="C167">
            <v>1.62</v>
          </cell>
          <cell r="D167">
            <v>2.65</v>
          </cell>
        </row>
        <row r="168">
          <cell r="A168" t="str">
            <v>1118135719</v>
          </cell>
          <cell r="B168">
            <v>0.12</v>
          </cell>
          <cell r="C168">
            <v>0.32</v>
          </cell>
          <cell r="D168">
            <v>0.48</v>
          </cell>
        </row>
        <row r="169">
          <cell r="A169" t="str">
            <v>1118138318</v>
          </cell>
          <cell r="B169">
            <v>0.65</v>
          </cell>
          <cell r="C169">
            <v>0.04</v>
          </cell>
          <cell r="D169">
            <v>0.04</v>
          </cell>
        </row>
        <row r="170">
          <cell r="A170" t="str">
            <v>1118138876</v>
          </cell>
          <cell r="B170">
            <v>94.15</v>
          </cell>
          <cell r="C170">
            <v>0.02</v>
          </cell>
          <cell r="D170">
            <v>0.02</v>
          </cell>
        </row>
        <row r="171">
          <cell r="A171" t="str">
            <v>1118140019</v>
          </cell>
          <cell r="B171">
            <v>5.32</v>
          </cell>
          <cell r="C171">
            <v>2.44</v>
          </cell>
          <cell r="D171">
            <v>3.49</v>
          </cell>
        </row>
        <row r="172">
          <cell r="A172" t="str">
            <v>1118143117</v>
          </cell>
          <cell r="B172">
            <v>6.41</v>
          </cell>
          <cell r="C172">
            <v>4.08</v>
          </cell>
          <cell r="D172">
            <v>5.91</v>
          </cell>
        </row>
        <row r="173">
          <cell r="A173" t="str">
            <v>1118143119</v>
          </cell>
          <cell r="B173">
            <v>6.41</v>
          </cell>
          <cell r="C173">
            <v>4.08</v>
          </cell>
          <cell r="D173">
            <v>5.91</v>
          </cell>
        </row>
        <row r="174">
          <cell r="A174" t="str">
            <v>1118144418</v>
          </cell>
          <cell r="B174">
            <v>0.22</v>
          </cell>
          <cell r="C174">
            <v>0</v>
          </cell>
          <cell r="D174">
            <v>0</v>
          </cell>
        </row>
        <row r="175">
          <cell r="A175" t="str">
            <v>1118149719</v>
          </cell>
          <cell r="B175">
            <v>5.07</v>
          </cell>
          <cell r="C175">
            <v>4.83</v>
          </cell>
          <cell r="D175">
            <v>23.14</v>
          </cell>
        </row>
        <row r="176">
          <cell r="A176" t="str">
            <v>1118150119</v>
          </cell>
          <cell r="B176">
            <v>21.28</v>
          </cell>
          <cell r="C176">
            <v>7.96</v>
          </cell>
          <cell r="D176">
            <v>9.39</v>
          </cell>
        </row>
        <row r="177">
          <cell r="A177" t="str">
            <v>1118152419</v>
          </cell>
          <cell r="B177">
            <v>2.2200000000000002</v>
          </cell>
          <cell r="C177">
            <v>2.19</v>
          </cell>
          <cell r="D177">
            <v>2.95</v>
          </cell>
        </row>
        <row r="178">
          <cell r="A178" t="str">
            <v>1118152619</v>
          </cell>
          <cell r="B178">
            <v>1.95</v>
          </cell>
          <cell r="C178">
            <v>2.2200000000000002</v>
          </cell>
          <cell r="D178">
            <v>3.79</v>
          </cell>
        </row>
        <row r="179">
          <cell r="A179" t="str">
            <v>11181590J8</v>
          </cell>
          <cell r="B179">
            <v>0.55000000000000004</v>
          </cell>
          <cell r="C179">
            <v>0.05</v>
          </cell>
          <cell r="D179">
            <v>0.13</v>
          </cell>
        </row>
        <row r="180">
          <cell r="A180" t="str">
            <v>1118165619</v>
          </cell>
          <cell r="B180">
            <v>10.39</v>
          </cell>
          <cell r="C180">
            <v>3.42</v>
          </cell>
          <cell r="D180">
            <v>4.5599999999999996</v>
          </cell>
        </row>
        <row r="181">
          <cell r="A181" t="str">
            <v>1118167419</v>
          </cell>
          <cell r="B181">
            <v>7.35</v>
          </cell>
          <cell r="C181">
            <v>2.86</v>
          </cell>
          <cell r="D181">
            <v>3.62</v>
          </cell>
        </row>
        <row r="182">
          <cell r="A182" t="str">
            <v>1118180019</v>
          </cell>
          <cell r="B182">
            <v>0.09</v>
          </cell>
          <cell r="C182">
            <v>1.55</v>
          </cell>
          <cell r="D182">
            <v>1.34</v>
          </cell>
        </row>
        <row r="183">
          <cell r="A183" t="str">
            <v>1118182719</v>
          </cell>
          <cell r="B183">
            <v>9.7100000000000009</v>
          </cell>
          <cell r="C183">
            <v>2.94</v>
          </cell>
          <cell r="D183">
            <v>3.94</v>
          </cell>
        </row>
        <row r="184">
          <cell r="A184" t="str">
            <v>1118183017</v>
          </cell>
          <cell r="B184">
            <v>28.23</v>
          </cell>
          <cell r="C184">
            <v>3.06</v>
          </cell>
          <cell r="D184">
            <v>4.0199999999999996</v>
          </cell>
        </row>
        <row r="185">
          <cell r="A185" t="str">
            <v>1118183019</v>
          </cell>
          <cell r="B185">
            <v>28.23</v>
          </cell>
          <cell r="C185">
            <v>3.06</v>
          </cell>
          <cell r="D185">
            <v>4.0199999999999996</v>
          </cell>
        </row>
        <row r="186">
          <cell r="A186" t="str">
            <v>1118186417</v>
          </cell>
          <cell r="B186">
            <v>86.71</v>
          </cell>
          <cell r="C186">
            <v>2.15</v>
          </cell>
          <cell r="D186">
            <v>3.55</v>
          </cell>
        </row>
        <row r="187">
          <cell r="A187" t="str">
            <v>1118186718</v>
          </cell>
          <cell r="B187">
            <v>1.1200000000000001</v>
          </cell>
          <cell r="C187">
            <v>0.1</v>
          </cell>
          <cell r="D187">
            <v>0.38</v>
          </cell>
        </row>
        <row r="188">
          <cell r="A188" t="str">
            <v>1118188617</v>
          </cell>
          <cell r="B188">
            <v>35.35</v>
          </cell>
          <cell r="C188">
            <v>1.97</v>
          </cell>
          <cell r="D188">
            <v>3.1</v>
          </cell>
        </row>
        <row r="189">
          <cell r="A189" t="str">
            <v>1118188619</v>
          </cell>
          <cell r="B189">
            <v>35.33</v>
          </cell>
          <cell r="C189">
            <v>1.97</v>
          </cell>
          <cell r="D189">
            <v>3.1</v>
          </cell>
        </row>
        <row r="190">
          <cell r="A190" t="str">
            <v>1118188719</v>
          </cell>
          <cell r="B190">
            <v>17.510000000000002</v>
          </cell>
          <cell r="C190">
            <v>1.96</v>
          </cell>
          <cell r="D190">
            <v>2.97</v>
          </cell>
        </row>
        <row r="191">
          <cell r="A191" t="str">
            <v>1118192517</v>
          </cell>
          <cell r="B191">
            <v>4.6900000000000004</v>
          </cell>
          <cell r="C191">
            <v>4.17</v>
          </cell>
          <cell r="D191">
            <v>5.89</v>
          </cell>
        </row>
        <row r="192">
          <cell r="A192" t="str">
            <v>1118192617</v>
          </cell>
          <cell r="B192">
            <v>7.59</v>
          </cell>
          <cell r="C192">
            <v>4.47</v>
          </cell>
          <cell r="D192">
            <v>6.64</v>
          </cell>
        </row>
        <row r="193">
          <cell r="A193" t="str">
            <v>1118192719</v>
          </cell>
          <cell r="B193">
            <v>7.56</v>
          </cell>
          <cell r="C193">
            <v>5.01</v>
          </cell>
          <cell r="D193">
            <v>6.88</v>
          </cell>
        </row>
        <row r="194">
          <cell r="A194" t="str">
            <v>1118192819</v>
          </cell>
          <cell r="B194">
            <v>8.1300000000000008</v>
          </cell>
          <cell r="C194">
            <v>6.47</v>
          </cell>
          <cell r="D194">
            <v>9.1300000000000008</v>
          </cell>
        </row>
        <row r="195">
          <cell r="A195" t="str">
            <v>1118193119</v>
          </cell>
          <cell r="B195">
            <v>8.9700000000000006</v>
          </cell>
          <cell r="C195">
            <v>3.54</v>
          </cell>
          <cell r="D195">
            <v>5.42</v>
          </cell>
        </row>
        <row r="196">
          <cell r="A196" t="str">
            <v>1118193919</v>
          </cell>
          <cell r="B196">
            <v>3.67</v>
          </cell>
          <cell r="C196">
            <v>1.59</v>
          </cell>
          <cell r="D196">
            <v>2.0299999999999998</v>
          </cell>
        </row>
        <row r="197">
          <cell r="A197" t="str">
            <v>1118194219</v>
          </cell>
          <cell r="B197">
            <v>2.93</v>
          </cell>
          <cell r="C197">
            <v>3.98</v>
          </cell>
          <cell r="D197">
            <v>5.71</v>
          </cell>
        </row>
        <row r="198">
          <cell r="A198" t="str">
            <v>1118196118</v>
          </cell>
          <cell r="B198">
            <v>0.33</v>
          </cell>
          <cell r="C198">
            <v>0.03</v>
          </cell>
          <cell r="D198">
            <v>0.03</v>
          </cell>
        </row>
        <row r="199">
          <cell r="A199" t="str">
            <v>1118196204</v>
          </cell>
          <cell r="B199">
            <v>0.27</v>
          </cell>
          <cell r="C199">
            <v>0.04</v>
          </cell>
          <cell r="D199">
            <v>0.04</v>
          </cell>
        </row>
        <row r="200">
          <cell r="A200" t="str">
            <v>1118196519</v>
          </cell>
          <cell r="B200">
            <v>12.09</v>
          </cell>
          <cell r="C200">
            <v>6.3</v>
          </cell>
          <cell r="D200">
            <v>7.36</v>
          </cell>
        </row>
        <row r="201">
          <cell r="A201" t="str">
            <v>1118199119</v>
          </cell>
          <cell r="B201">
            <v>7.61</v>
          </cell>
          <cell r="C201">
            <v>4.21</v>
          </cell>
          <cell r="D201">
            <v>6.33</v>
          </cell>
        </row>
        <row r="202">
          <cell r="A202" t="str">
            <v>1118211318</v>
          </cell>
          <cell r="B202">
            <v>0.13</v>
          </cell>
          <cell r="C202">
            <v>0.03</v>
          </cell>
          <cell r="D202">
            <v>7.0000000000000007E-2</v>
          </cell>
        </row>
        <row r="203">
          <cell r="A203" t="str">
            <v>1118229118</v>
          </cell>
          <cell r="B203">
            <v>0.24</v>
          </cell>
          <cell r="C203">
            <v>0.04</v>
          </cell>
          <cell r="D203">
            <v>0.1</v>
          </cell>
        </row>
        <row r="204">
          <cell r="A204" t="str">
            <v>1118248418</v>
          </cell>
          <cell r="B204">
            <v>0.26</v>
          </cell>
          <cell r="C204">
            <v>0.15</v>
          </cell>
          <cell r="D204">
            <v>0.25</v>
          </cell>
        </row>
        <row r="205">
          <cell r="A205" t="str">
            <v>1118258718</v>
          </cell>
          <cell r="B205">
            <v>0.21</v>
          </cell>
          <cell r="C205">
            <v>0.04</v>
          </cell>
          <cell r="D205">
            <v>0.09</v>
          </cell>
        </row>
        <row r="206">
          <cell r="A206" t="str">
            <v>1118260079</v>
          </cell>
          <cell r="B206">
            <v>150.18</v>
          </cell>
          <cell r="C206">
            <v>0</v>
          </cell>
          <cell r="D206">
            <v>0</v>
          </cell>
        </row>
        <row r="207">
          <cell r="A207" t="str">
            <v>1118270718</v>
          </cell>
          <cell r="B207">
            <v>0.08</v>
          </cell>
          <cell r="C207">
            <v>0.02</v>
          </cell>
          <cell r="D207">
            <v>0.05</v>
          </cell>
        </row>
        <row r="208">
          <cell r="A208" t="str">
            <v>1118270818</v>
          </cell>
          <cell r="B208">
            <v>0.08</v>
          </cell>
          <cell r="C208">
            <v>0.02</v>
          </cell>
          <cell r="D208">
            <v>0.05</v>
          </cell>
        </row>
        <row r="209">
          <cell r="A209" t="str">
            <v>1118271618</v>
          </cell>
          <cell r="B209">
            <v>0.2</v>
          </cell>
          <cell r="C209">
            <v>0.04</v>
          </cell>
          <cell r="D209">
            <v>0.11</v>
          </cell>
        </row>
        <row r="210">
          <cell r="A210" t="str">
            <v>1118277418</v>
          </cell>
          <cell r="B210">
            <v>0.22</v>
          </cell>
          <cell r="C210">
            <v>0.04</v>
          </cell>
          <cell r="D210">
            <v>0.09</v>
          </cell>
        </row>
        <row r="211">
          <cell r="A211" t="str">
            <v>1118278418</v>
          </cell>
          <cell r="B211">
            <v>0.21</v>
          </cell>
          <cell r="C211">
            <v>0.15</v>
          </cell>
          <cell r="D211">
            <v>0.25</v>
          </cell>
        </row>
        <row r="212">
          <cell r="A212" t="str">
            <v>1118278618</v>
          </cell>
          <cell r="B212">
            <v>0.21</v>
          </cell>
          <cell r="C212">
            <v>0.15</v>
          </cell>
          <cell r="D212">
            <v>0.25</v>
          </cell>
        </row>
        <row r="213">
          <cell r="A213" t="str">
            <v>1118281918</v>
          </cell>
          <cell r="B213">
            <v>0.21</v>
          </cell>
          <cell r="C213">
            <v>0.15</v>
          </cell>
          <cell r="D213">
            <v>0.25</v>
          </cell>
        </row>
        <row r="214">
          <cell r="A214" t="str">
            <v>1118282418</v>
          </cell>
          <cell r="B214">
            <v>0.21</v>
          </cell>
          <cell r="C214">
            <v>0.15</v>
          </cell>
          <cell r="D214">
            <v>0.25</v>
          </cell>
        </row>
        <row r="215">
          <cell r="A215" t="str">
            <v>1118285218</v>
          </cell>
          <cell r="B215">
            <v>0.23</v>
          </cell>
          <cell r="C215">
            <v>0.04</v>
          </cell>
          <cell r="D215">
            <v>0.11</v>
          </cell>
        </row>
        <row r="216">
          <cell r="A216" t="str">
            <v>1118288118</v>
          </cell>
          <cell r="B216">
            <v>0.68</v>
          </cell>
          <cell r="C216">
            <v>0.06</v>
          </cell>
          <cell r="D216">
            <v>0.09</v>
          </cell>
        </row>
        <row r="217">
          <cell r="A217" t="str">
            <v>1118291518</v>
          </cell>
          <cell r="B217">
            <v>56.23</v>
          </cell>
          <cell r="C217">
            <v>8.48</v>
          </cell>
          <cell r="D217">
            <v>12.76</v>
          </cell>
        </row>
        <row r="218">
          <cell r="A218" t="str">
            <v>1118291579</v>
          </cell>
          <cell r="B218">
            <v>151.69999999999999</v>
          </cell>
          <cell r="C218">
            <v>0</v>
          </cell>
          <cell r="D218">
            <v>0</v>
          </cell>
        </row>
        <row r="219">
          <cell r="A219" t="str">
            <v>1118602418</v>
          </cell>
          <cell r="B219">
            <v>0.16</v>
          </cell>
          <cell r="C219">
            <v>0</v>
          </cell>
          <cell r="D219">
            <v>0</v>
          </cell>
        </row>
        <row r="220">
          <cell r="A220" t="str">
            <v>1118602617</v>
          </cell>
          <cell r="B220">
            <v>4.6100000000000003</v>
          </cell>
          <cell r="C220">
            <v>2.88</v>
          </cell>
          <cell r="D220">
            <v>5.46</v>
          </cell>
        </row>
        <row r="221">
          <cell r="A221" t="str">
            <v>1118602619</v>
          </cell>
          <cell r="B221">
            <v>4.6100000000000003</v>
          </cell>
          <cell r="C221">
            <v>2.88</v>
          </cell>
          <cell r="D221">
            <v>5.46</v>
          </cell>
        </row>
        <row r="222">
          <cell r="A222" t="str">
            <v>1118602818</v>
          </cell>
          <cell r="B222">
            <v>0.11</v>
          </cell>
          <cell r="C222">
            <v>0.15</v>
          </cell>
          <cell r="D222">
            <v>0.37</v>
          </cell>
        </row>
        <row r="223">
          <cell r="A223" t="str">
            <v>1118603018</v>
          </cell>
          <cell r="B223">
            <v>0.59</v>
          </cell>
          <cell r="C223">
            <v>0.06</v>
          </cell>
          <cell r="D223">
            <v>0.04</v>
          </cell>
        </row>
        <row r="224">
          <cell r="A224" t="str">
            <v>1118603417</v>
          </cell>
          <cell r="B224">
            <v>27.04</v>
          </cell>
          <cell r="C224">
            <v>3.07</v>
          </cell>
          <cell r="D224">
            <v>4.6399999999999997</v>
          </cell>
        </row>
        <row r="225">
          <cell r="A225" t="str">
            <v>1118603419</v>
          </cell>
          <cell r="B225">
            <v>27.04</v>
          </cell>
          <cell r="C225">
            <v>2.59</v>
          </cell>
          <cell r="D225">
            <v>4.01</v>
          </cell>
        </row>
        <row r="226">
          <cell r="A226" t="str">
            <v>1118603918</v>
          </cell>
          <cell r="B226">
            <v>1.5</v>
          </cell>
          <cell r="C226">
            <v>0.11</v>
          </cell>
          <cell r="D226">
            <v>0.42</v>
          </cell>
        </row>
        <row r="227">
          <cell r="A227" t="str">
            <v>1118605119</v>
          </cell>
          <cell r="B227">
            <v>8.36</v>
          </cell>
          <cell r="C227">
            <v>8.33</v>
          </cell>
          <cell r="D227">
            <v>7.7</v>
          </cell>
        </row>
        <row r="228">
          <cell r="A228" t="str">
            <v>1118605917</v>
          </cell>
          <cell r="B228">
            <v>6.02</v>
          </cell>
          <cell r="C228">
            <v>4.0199999999999996</v>
          </cell>
          <cell r="D228">
            <v>5.8</v>
          </cell>
        </row>
        <row r="229">
          <cell r="A229" t="str">
            <v>1118605919</v>
          </cell>
          <cell r="B229">
            <v>6.02</v>
          </cell>
          <cell r="C229">
            <v>4.0199999999999996</v>
          </cell>
          <cell r="D229">
            <v>5.8</v>
          </cell>
        </row>
        <row r="230">
          <cell r="A230" t="str">
            <v>1118606117</v>
          </cell>
          <cell r="B230">
            <v>4.9000000000000004</v>
          </cell>
          <cell r="C230">
            <v>2.54</v>
          </cell>
          <cell r="D230">
            <v>3.86</v>
          </cell>
        </row>
        <row r="231">
          <cell r="A231" t="str">
            <v>1118606119</v>
          </cell>
          <cell r="B231">
            <v>4.9000000000000004</v>
          </cell>
          <cell r="C231">
            <v>2.54</v>
          </cell>
          <cell r="D231">
            <v>3.86</v>
          </cell>
        </row>
        <row r="232">
          <cell r="A232" t="str">
            <v>1118607619</v>
          </cell>
          <cell r="B232">
            <v>8.6</v>
          </cell>
          <cell r="C232">
            <v>3.43</v>
          </cell>
          <cell r="D232">
            <v>4.25</v>
          </cell>
        </row>
        <row r="233">
          <cell r="A233" t="str">
            <v>1118608618</v>
          </cell>
          <cell r="B233">
            <v>1.1599999999999999</v>
          </cell>
          <cell r="C233">
            <v>0.31</v>
          </cell>
          <cell r="D233">
            <v>0.77</v>
          </cell>
        </row>
        <row r="234">
          <cell r="A234" t="str">
            <v>1118608718</v>
          </cell>
          <cell r="B234">
            <v>1.1599999999999999</v>
          </cell>
          <cell r="C234">
            <v>0.11</v>
          </cell>
          <cell r="D234">
            <v>0.41</v>
          </cell>
        </row>
        <row r="235">
          <cell r="A235" t="str">
            <v>1118609619</v>
          </cell>
          <cell r="B235">
            <v>5.36</v>
          </cell>
          <cell r="C235">
            <v>3.48</v>
          </cell>
          <cell r="D235">
            <v>5.29</v>
          </cell>
        </row>
        <row r="236">
          <cell r="A236" t="str">
            <v>1118613419</v>
          </cell>
          <cell r="B236">
            <v>15.23</v>
          </cell>
          <cell r="C236">
            <v>2.31</v>
          </cell>
          <cell r="D236">
            <v>2.5499999999999998</v>
          </cell>
        </row>
        <row r="237">
          <cell r="A237" t="str">
            <v>1118614318</v>
          </cell>
          <cell r="B237">
            <v>8.85</v>
          </cell>
          <cell r="C237">
            <v>1.51</v>
          </cell>
          <cell r="D237">
            <v>2.41</v>
          </cell>
        </row>
        <row r="238">
          <cell r="A238" t="str">
            <v>1118615618</v>
          </cell>
          <cell r="B238">
            <v>0.11</v>
          </cell>
          <cell r="C238">
            <v>0.15</v>
          </cell>
          <cell r="D238">
            <v>0.37</v>
          </cell>
        </row>
        <row r="239">
          <cell r="A239" t="str">
            <v>1118620318</v>
          </cell>
          <cell r="B239">
            <v>0.35</v>
          </cell>
          <cell r="C239">
            <v>0</v>
          </cell>
          <cell r="D239">
            <v>0</v>
          </cell>
        </row>
        <row r="240">
          <cell r="A240" t="str">
            <v>1118620418</v>
          </cell>
          <cell r="B240">
            <v>0.54</v>
          </cell>
          <cell r="C240">
            <v>0</v>
          </cell>
          <cell r="D240">
            <v>0</v>
          </cell>
        </row>
        <row r="241">
          <cell r="A241" t="str">
            <v>1118620618</v>
          </cell>
          <cell r="B241">
            <v>0.14000000000000001</v>
          </cell>
          <cell r="C241">
            <v>0</v>
          </cell>
          <cell r="D241">
            <v>0</v>
          </cell>
        </row>
        <row r="242">
          <cell r="A242" t="str">
            <v>1118621518</v>
          </cell>
          <cell r="B242">
            <v>0.93</v>
          </cell>
          <cell r="C242">
            <v>0</v>
          </cell>
          <cell r="D242">
            <v>0</v>
          </cell>
        </row>
        <row r="243">
          <cell r="A243" t="str">
            <v>1118621618</v>
          </cell>
          <cell r="B243">
            <v>0.39</v>
          </cell>
          <cell r="C243">
            <v>0</v>
          </cell>
          <cell r="D243">
            <v>0</v>
          </cell>
        </row>
        <row r="244">
          <cell r="A244" t="str">
            <v>1118621718</v>
          </cell>
          <cell r="B244">
            <v>0.79</v>
          </cell>
          <cell r="C244">
            <v>0</v>
          </cell>
          <cell r="D244">
            <v>0</v>
          </cell>
        </row>
        <row r="245">
          <cell r="A245" t="str">
            <v>1118624017</v>
          </cell>
          <cell r="B245">
            <v>89.19</v>
          </cell>
          <cell r="C245">
            <v>2.56</v>
          </cell>
          <cell r="D245">
            <v>4.3099999999999996</v>
          </cell>
        </row>
        <row r="246">
          <cell r="A246" t="str">
            <v>1118624019</v>
          </cell>
          <cell r="B246">
            <v>89.22</v>
          </cell>
          <cell r="C246">
            <v>2.56</v>
          </cell>
          <cell r="D246">
            <v>4.3099999999999996</v>
          </cell>
        </row>
        <row r="247">
          <cell r="A247" t="str">
            <v>1118627619</v>
          </cell>
          <cell r="B247">
            <v>8.85</v>
          </cell>
          <cell r="C247">
            <v>3.7</v>
          </cell>
          <cell r="D247">
            <v>5.4</v>
          </cell>
        </row>
        <row r="248">
          <cell r="A248" t="str">
            <v>1118629019</v>
          </cell>
          <cell r="B248">
            <v>8.5500000000000007</v>
          </cell>
          <cell r="C248">
            <v>6.52</v>
          </cell>
          <cell r="D248">
            <v>9.39</v>
          </cell>
        </row>
        <row r="249">
          <cell r="A249" t="str">
            <v>1118629919</v>
          </cell>
          <cell r="B249">
            <v>15.48</v>
          </cell>
          <cell r="C249">
            <v>2.33</v>
          </cell>
          <cell r="D249">
            <v>2.72</v>
          </cell>
        </row>
        <row r="250">
          <cell r="A250" t="str">
            <v>1118632719</v>
          </cell>
          <cell r="B250">
            <v>0.78</v>
          </cell>
          <cell r="C250">
            <v>1.08</v>
          </cell>
          <cell r="D250">
            <v>1.07</v>
          </cell>
        </row>
        <row r="251">
          <cell r="A251" t="str">
            <v>1118637717</v>
          </cell>
          <cell r="B251">
            <v>5.2</v>
          </cell>
          <cell r="C251">
            <v>5.68</v>
          </cell>
          <cell r="D251">
            <v>9.1300000000000008</v>
          </cell>
        </row>
        <row r="252">
          <cell r="A252" t="str">
            <v>1118638819</v>
          </cell>
          <cell r="B252">
            <v>4.32</v>
          </cell>
          <cell r="C252">
            <v>4.42</v>
          </cell>
          <cell r="D252">
            <v>5.89</v>
          </cell>
        </row>
        <row r="253">
          <cell r="A253" t="str">
            <v>1118639019</v>
          </cell>
          <cell r="B253">
            <v>10.44</v>
          </cell>
          <cell r="C253">
            <v>2.52</v>
          </cell>
          <cell r="D253">
            <v>3.31</v>
          </cell>
        </row>
        <row r="254">
          <cell r="A254" t="str">
            <v>1118639819</v>
          </cell>
          <cell r="B254">
            <v>117.08</v>
          </cell>
          <cell r="C254">
            <v>4.1100000000000003</v>
          </cell>
          <cell r="D254">
            <v>15.34</v>
          </cell>
        </row>
        <row r="255">
          <cell r="A255" t="str">
            <v>1118642119</v>
          </cell>
          <cell r="B255">
            <v>4.17</v>
          </cell>
          <cell r="C255">
            <v>4.24</v>
          </cell>
          <cell r="D255">
            <v>5.58</v>
          </cell>
        </row>
        <row r="256">
          <cell r="A256" t="str">
            <v>1118650219</v>
          </cell>
          <cell r="B256">
            <v>0</v>
          </cell>
          <cell r="C256">
            <v>0.6</v>
          </cell>
          <cell r="D256">
            <v>0.78</v>
          </cell>
        </row>
        <row r="257">
          <cell r="A257" t="str">
            <v>1118652517</v>
          </cell>
          <cell r="B257">
            <v>5.36</v>
          </cell>
          <cell r="C257">
            <v>3.52</v>
          </cell>
          <cell r="D257">
            <v>5.28</v>
          </cell>
        </row>
        <row r="258">
          <cell r="A258" t="str">
            <v>1118652519</v>
          </cell>
          <cell r="B258">
            <v>5.36</v>
          </cell>
          <cell r="C258">
            <v>3.52</v>
          </cell>
          <cell r="D258">
            <v>5.28</v>
          </cell>
        </row>
        <row r="259">
          <cell r="A259" t="str">
            <v>1118652617</v>
          </cell>
          <cell r="B259">
            <v>5.62</v>
          </cell>
          <cell r="C259">
            <v>3.55</v>
          </cell>
          <cell r="D259">
            <v>5.4</v>
          </cell>
        </row>
        <row r="260">
          <cell r="A260" t="str">
            <v>1118652619</v>
          </cell>
          <cell r="B260">
            <v>5.62</v>
          </cell>
          <cell r="C260">
            <v>3.53</v>
          </cell>
          <cell r="D260">
            <v>5.36</v>
          </cell>
        </row>
        <row r="261">
          <cell r="A261" t="str">
            <v>1118656919</v>
          </cell>
          <cell r="B261">
            <v>5.92</v>
          </cell>
          <cell r="C261">
            <v>4.47</v>
          </cell>
          <cell r="D261">
            <v>6.76</v>
          </cell>
        </row>
        <row r="262">
          <cell r="A262" t="str">
            <v>1118657117</v>
          </cell>
          <cell r="B262">
            <v>3.27</v>
          </cell>
          <cell r="C262">
            <v>4.33</v>
          </cell>
          <cell r="D262">
            <v>8.4</v>
          </cell>
        </row>
        <row r="263">
          <cell r="A263" t="str">
            <v>1118658719</v>
          </cell>
          <cell r="B263">
            <v>11.74</v>
          </cell>
          <cell r="C263">
            <v>2.42</v>
          </cell>
          <cell r="D263">
            <v>2.84</v>
          </cell>
        </row>
        <row r="264">
          <cell r="A264" t="str">
            <v>1118658918</v>
          </cell>
          <cell r="B264">
            <v>1.73</v>
          </cell>
          <cell r="C264">
            <v>0</v>
          </cell>
          <cell r="D264">
            <v>0</v>
          </cell>
        </row>
        <row r="265">
          <cell r="A265" t="str">
            <v>1118662519</v>
          </cell>
          <cell r="B265">
            <v>16.52</v>
          </cell>
          <cell r="C265">
            <v>6.66</v>
          </cell>
          <cell r="D265">
            <v>8.15</v>
          </cell>
        </row>
        <row r="266">
          <cell r="A266" t="str">
            <v>1118662819</v>
          </cell>
          <cell r="B266">
            <v>4.76</v>
          </cell>
          <cell r="C266">
            <v>3.49</v>
          </cell>
          <cell r="D266">
            <v>5.4</v>
          </cell>
        </row>
        <row r="267">
          <cell r="A267" t="str">
            <v>1118663518</v>
          </cell>
          <cell r="B267">
            <v>0.61</v>
          </cell>
          <cell r="C267">
            <v>0</v>
          </cell>
          <cell r="D267">
            <v>0</v>
          </cell>
        </row>
        <row r="268">
          <cell r="A268" t="str">
            <v>1118668418</v>
          </cell>
          <cell r="B268">
            <v>7.91</v>
          </cell>
          <cell r="C268">
            <v>1.32</v>
          </cell>
          <cell r="D268">
            <v>2.23</v>
          </cell>
        </row>
        <row r="269">
          <cell r="A269" t="str">
            <v>1118671817</v>
          </cell>
          <cell r="B269">
            <v>5.85</v>
          </cell>
          <cell r="C269">
            <v>2.83</v>
          </cell>
          <cell r="D269">
            <v>4.13</v>
          </cell>
        </row>
        <row r="270">
          <cell r="A270" t="str">
            <v>1118672017</v>
          </cell>
          <cell r="B270">
            <v>6.03</v>
          </cell>
          <cell r="C270">
            <v>2.89</v>
          </cell>
          <cell r="D270">
            <v>4.41</v>
          </cell>
        </row>
        <row r="271">
          <cell r="A271" t="str">
            <v>1118672019</v>
          </cell>
          <cell r="B271">
            <v>6.03</v>
          </cell>
          <cell r="C271">
            <v>3.68</v>
          </cell>
          <cell r="D271">
            <v>4.3499999999999996</v>
          </cell>
        </row>
        <row r="272">
          <cell r="A272" t="str">
            <v>1118672418</v>
          </cell>
          <cell r="B272">
            <v>0.15</v>
          </cell>
          <cell r="C272">
            <v>0</v>
          </cell>
          <cell r="D272">
            <v>0</v>
          </cell>
        </row>
        <row r="273">
          <cell r="A273" t="str">
            <v>1118673216</v>
          </cell>
          <cell r="B273">
            <v>123.1</v>
          </cell>
          <cell r="C273">
            <v>3.51</v>
          </cell>
          <cell r="D273">
            <v>7.82</v>
          </cell>
        </row>
        <row r="274">
          <cell r="A274" t="str">
            <v>1118673316</v>
          </cell>
          <cell r="B274">
            <v>123.1</v>
          </cell>
          <cell r="C274">
            <v>3.51</v>
          </cell>
          <cell r="D274">
            <v>7.82</v>
          </cell>
        </row>
        <row r="275">
          <cell r="A275" t="str">
            <v>1118673517</v>
          </cell>
          <cell r="B275">
            <v>11.3</v>
          </cell>
          <cell r="C275">
            <v>2.16</v>
          </cell>
          <cell r="D275">
            <v>3.53</v>
          </cell>
        </row>
        <row r="276">
          <cell r="A276" t="str">
            <v>1118673519</v>
          </cell>
          <cell r="B276">
            <v>11.3</v>
          </cell>
          <cell r="C276">
            <v>2.16</v>
          </cell>
          <cell r="D276">
            <v>3.53</v>
          </cell>
        </row>
        <row r="277">
          <cell r="A277" t="str">
            <v>1118676019</v>
          </cell>
          <cell r="B277">
            <v>1.67</v>
          </cell>
          <cell r="C277">
            <v>0.74</v>
          </cell>
          <cell r="D277">
            <v>1.22</v>
          </cell>
        </row>
        <row r="278">
          <cell r="A278" t="str">
            <v>1118676618</v>
          </cell>
          <cell r="B278">
            <v>1.76</v>
          </cell>
          <cell r="C278">
            <v>0.79</v>
          </cell>
          <cell r="D278">
            <v>1.27</v>
          </cell>
        </row>
        <row r="279">
          <cell r="A279" t="str">
            <v>1118676817</v>
          </cell>
          <cell r="B279">
            <v>7.39</v>
          </cell>
          <cell r="C279">
            <v>3.19</v>
          </cell>
          <cell r="D279">
            <v>4.08</v>
          </cell>
        </row>
        <row r="280">
          <cell r="A280" t="str">
            <v>1118676819</v>
          </cell>
          <cell r="B280">
            <v>7.39</v>
          </cell>
          <cell r="C280">
            <v>3.19</v>
          </cell>
          <cell r="D280">
            <v>4.08</v>
          </cell>
        </row>
        <row r="281">
          <cell r="A281" t="str">
            <v>1118682019</v>
          </cell>
          <cell r="B281">
            <v>13.25</v>
          </cell>
          <cell r="C281">
            <v>10.06</v>
          </cell>
          <cell r="D281">
            <v>14.65</v>
          </cell>
        </row>
        <row r="282">
          <cell r="A282" t="str">
            <v>1118682119</v>
          </cell>
          <cell r="B282">
            <v>13.46</v>
          </cell>
          <cell r="C282">
            <v>10.06</v>
          </cell>
          <cell r="D282">
            <v>14.66</v>
          </cell>
        </row>
        <row r="283">
          <cell r="A283" t="str">
            <v>1118683919</v>
          </cell>
          <cell r="B283">
            <v>5.99</v>
          </cell>
          <cell r="C283">
            <v>3.88</v>
          </cell>
          <cell r="D283">
            <v>5.82</v>
          </cell>
        </row>
        <row r="284">
          <cell r="A284" t="str">
            <v>1118684117</v>
          </cell>
          <cell r="B284">
            <v>7.12</v>
          </cell>
          <cell r="C284">
            <v>2.31</v>
          </cell>
          <cell r="D284">
            <v>3.83</v>
          </cell>
        </row>
        <row r="285">
          <cell r="A285" t="str">
            <v>1118684119</v>
          </cell>
          <cell r="B285">
            <v>7.12</v>
          </cell>
          <cell r="C285">
            <v>2.31</v>
          </cell>
          <cell r="D285">
            <v>3.83</v>
          </cell>
        </row>
        <row r="286">
          <cell r="A286" t="str">
            <v>1118686817</v>
          </cell>
          <cell r="B286">
            <v>7.9</v>
          </cell>
          <cell r="C286">
            <v>5.0999999999999996</v>
          </cell>
          <cell r="D286">
            <v>7.13</v>
          </cell>
        </row>
        <row r="287">
          <cell r="A287" t="str">
            <v>1118690318</v>
          </cell>
          <cell r="B287">
            <v>0.32</v>
          </cell>
          <cell r="C287">
            <v>0</v>
          </cell>
          <cell r="D287">
            <v>0</v>
          </cell>
        </row>
        <row r="288">
          <cell r="A288" t="str">
            <v>11186903MF</v>
          </cell>
          <cell r="B288">
            <v>0.69</v>
          </cell>
          <cell r="C288">
            <v>0</v>
          </cell>
          <cell r="D288">
            <v>0</v>
          </cell>
        </row>
        <row r="289">
          <cell r="A289" t="str">
            <v>11186903TF</v>
          </cell>
          <cell r="B289">
            <v>0.69</v>
          </cell>
          <cell r="C289">
            <v>0</v>
          </cell>
          <cell r="D289">
            <v>0</v>
          </cell>
        </row>
        <row r="290">
          <cell r="A290" t="str">
            <v>1118691400</v>
          </cell>
          <cell r="B290">
            <v>0.1</v>
          </cell>
          <cell r="C290">
            <v>0.02</v>
          </cell>
          <cell r="D290">
            <v>0.06</v>
          </cell>
        </row>
        <row r="291">
          <cell r="A291" t="str">
            <v>1118692017</v>
          </cell>
          <cell r="B291">
            <v>7.61</v>
          </cell>
          <cell r="C291">
            <v>4.68</v>
          </cell>
          <cell r="D291">
            <v>6.9</v>
          </cell>
        </row>
        <row r="292">
          <cell r="A292" t="str">
            <v>1118692019</v>
          </cell>
          <cell r="B292">
            <v>7.61</v>
          </cell>
          <cell r="C292">
            <v>4.68</v>
          </cell>
          <cell r="D292">
            <v>6.9</v>
          </cell>
        </row>
        <row r="293">
          <cell r="A293" t="str">
            <v>1118692718</v>
          </cell>
          <cell r="B293">
            <v>7.17</v>
          </cell>
          <cell r="C293">
            <v>0</v>
          </cell>
          <cell r="D293">
            <v>0</v>
          </cell>
        </row>
        <row r="294">
          <cell r="A294" t="str">
            <v>1118692719</v>
          </cell>
          <cell r="B294">
            <v>7.17</v>
          </cell>
          <cell r="C294">
            <v>0</v>
          </cell>
          <cell r="D294">
            <v>0</v>
          </cell>
        </row>
        <row r="295">
          <cell r="A295" t="str">
            <v>1118693419</v>
          </cell>
          <cell r="B295">
            <v>5.01</v>
          </cell>
          <cell r="C295">
            <v>5.33</v>
          </cell>
          <cell r="D295">
            <v>10.82</v>
          </cell>
        </row>
        <row r="296">
          <cell r="A296" t="str">
            <v>1118693519</v>
          </cell>
          <cell r="B296">
            <v>8.7200000000000006</v>
          </cell>
          <cell r="C296">
            <v>2.61</v>
          </cell>
          <cell r="D296">
            <v>3.87</v>
          </cell>
        </row>
        <row r="297">
          <cell r="A297" t="str">
            <v>1118694019</v>
          </cell>
          <cell r="B297">
            <v>9.09</v>
          </cell>
          <cell r="C297">
            <v>2.64</v>
          </cell>
          <cell r="D297">
            <v>3.94</v>
          </cell>
        </row>
        <row r="298">
          <cell r="A298" t="str">
            <v>1118696018</v>
          </cell>
          <cell r="B298">
            <v>0.34</v>
          </cell>
          <cell r="C298">
            <v>0</v>
          </cell>
          <cell r="D298">
            <v>0</v>
          </cell>
        </row>
        <row r="299">
          <cell r="A299" t="str">
            <v>1118696719</v>
          </cell>
          <cell r="B299">
            <v>8.86</v>
          </cell>
          <cell r="C299">
            <v>2.61</v>
          </cell>
          <cell r="D299">
            <v>3.01</v>
          </cell>
        </row>
        <row r="300">
          <cell r="A300" t="str">
            <v>1118696918</v>
          </cell>
          <cell r="B300">
            <v>1.92</v>
          </cell>
          <cell r="C300">
            <v>0</v>
          </cell>
          <cell r="D300">
            <v>0</v>
          </cell>
        </row>
        <row r="301">
          <cell r="A301" t="str">
            <v>1118697118</v>
          </cell>
          <cell r="B301">
            <v>0.34</v>
          </cell>
          <cell r="C301">
            <v>0</v>
          </cell>
          <cell r="D301">
            <v>0</v>
          </cell>
        </row>
        <row r="302">
          <cell r="A302" t="str">
            <v>1118697218</v>
          </cell>
          <cell r="B302">
            <v>0.5</v>
          </cell>
          <cell r="C302">
            <v>0</v>
          </cell>
          <cell r="D302">
            <v>0</v>
          </cell>
        </row>
        <row r="303">
          <cell r="A303" t="str">
            <v>1118697418</v>
          </cell>
          <cell r="B303">
            <v>0.69</v>
          </cell>
          <cell r="C303">
            <v>0</v>
          </cell>
          <cell r="D303">
            <v>0</v>
          </cell>
        </row>
        <row r="304">
          <cell r="A304" t="str">
            <v>1118699619</v>
          </cell>
          <cell r="B304">
            <v>11.54</v>
          </cell>
          <cell r="C304">
            <v>3.22</v>
          </cell>
          <cell r="D304">
            <v>5.01</v>
          </cell>
        </row>
        <row r="305">
          <cell r="A305" t="str">
            <v>1118703619</v>
          </cell>
          <cell r="B305">
            <v>7.46</v>
          </cell>
          <cell r="C305">
            <v>6.15</v>
          </cell>
          <cell r="D305">
            <v>8.98</v>
          </cell>
        </row>
        <row r="306">
          <cell r="A306" t="str">
            <v>1118705419</v>
          </cell>
          <cell r="B306">
            <v>13.7</v>
          </cell>
          <cell r="C306">
            <v>0</v>
          </cell>
          <cell r="D306">
            <v>0</v>
          </cell>
        </row>
        <row r="307">
          <cell r="A307" t="str">
            <v>1118706417</v>
          </cell>
          <cell r="B307">
            <v>8.11</v>
          </cell>
          <cell r="C307">
            <v>3.24</v>
          </cell>
          <cell r="D307">
            <v>4.3499999999999996</v>
          </cell>
        </row>
        <row r="308">
          <cell r="A308" t="str">
            <v>1118706419</v>
          </cell>
          <cell r="B308">
            <v>8.11</v>
          </cell>
          <cell r="C308">
            <v>3.24</v>
          </cell>
          <cell r="D308">
            <v>4.3499999999999996</v>
          </cell>
        </row>
        <row r="309">
          <cell r="A309" t="str">
            <v>1118708517</v>
          </cell>
          <cell r="B309">
            <v>4.68</v>
          </cell>
          <cell r="C309">
            <v>1.45</v>
          </cell>
          <cell r="D309">
            <v>2.09</v>
          </cell>
        </row>
        <row r="310">
          <cell r="A310" t="str">
            <v>1118712818</v>
          </cell>
          <cell r="B310">
            <v>0.69</v>
          </cell>
          <cell r="C310">
            <v>0</v>
          </cell>
          <cell r="D310">
            <v>0</v>
          </cell>
        </row>
        <row r="311">
          <cell r="A311" t="str">
            <v>1118712918</v>
          </cell>
          <cell r="B311">
            <v>1.02</v>
          </cell>
          <cell r="C311">
            <v>0</v>
          </cell>
          <cell r="D311">
            <v>0</v>
          </cell>
        </row>
        <row r="312">
          <cell r="A312" t="str">
            <v>1118717419</v>
          </cell>
          <cell r="B312">
            <v>23.02</v>
          </cell>
          <cell r="C312">
            <v>7.12</v>
          </cell>
          <cell r="D312">
            <v>10.039999999999999</v>
          </cell>
        </row>
        <row r="313">
          <cell r="A313" t="str">
            <v>1118720719</v>
          </cell>
          <cell r="B313">
            <v>4.3</v>
          </cell>
          <cell r="C313">
            <v>1.91</v>
          </cell>
          <cell r="D313">
            <v>2.5</v>
          </cell>
        </row>
        <row r="314">
          <cell r="A314" t="str">
            <v>1118721519</v>
          </cell>
          <cell r="B314">
            <v>4.47</v>
          </cell>
          <cell r="C314">
            <v>4.8499999999999996</v>
          </cell>
          <cell r="D314">
            <v>10.59</v>
          </cell>
        </row>
        <row r="315">
          <cell r="A315" t="str">
            <v>1118723018</v>
          </cell>
          <cell r="B315">
            <v>0.35</v>
          </cell>
          <cell r="C315">
            <v>7.0000000000000007E-2</v>
          </cell>
          <cell r="D315">
            <v>0.15</v>
          </cell>
        </row>
        <row r="316">
          <cell r="A316" t="str">
            <v>1118724417</v>
          </cell>
          <cell r="B316">
            <v>6</v>
          </cell>
          <cell r="C316">
            <v>4.3899999999999997</v>
          </cell>
          <cell r="D316">
            <v>11.33</v>
          </cell>
        </row>
        <row r="317">
          <cell r="A317" t="str">
            <v>1118724718</v>
          </cell>
          <cell r="B317">
            <v>0.43</v>
          </cell>
          <cell r="C317">
            <v>0</v>
          </cell>
          <cell r="D317">
            <v>0</v>
          </cell>
        </row>
        <row r="318">
          <cell r="A318" t="str">
            <v>1810022100</v>
          </cell>
          <cell r="B318">
            <v>0.24</v>
          </cell>
          <cell r="C318">
            <v>0.04</v>
          </cell>
          <cell r="D318">
            <v>0.1</v>
          </cell>
        </row>
        <row r="319">
          <cell r="A319" t="str">
            <v>1810064100</v>
          </cell>
          <cell r="B319">
            <v>0.17</v>
          </cell>
          <cell r="C319">
            <v>0.14000000000000001</v>
          </cell>
          <cell r="D319">
            <v>0.25</v>
          </cell>
        </row>
        <row r="320">
          <cell r="A320" t="str">
            <v>1810086100</v>
          </cell>
          <cell r="B320">
            <v>0.14000000000000001</v>
          </cell>
          <cell r="C320">
            <v>0.01</v>
          </cell>
          <cell r="D320">
            <v>0.04</v>
          </cell>
        </row>
        <row r="321">
          <cell r="A321" t="str">
            <v>1810115100</v>
          </cell>
          <cell r="B321">
            <v>0.23</v>
          </cell>
          <cell r="C321">
            <v>0.09</v>
          </cell>
          <cell r="D321">
            <v>0.2</v>
          </cell>
        </row>
        <row r="322">
          <cell r="A322" t="str">
            <v>1810163100</v>
          </cell>
          <cell r="B322">
            <v>0.04</v>
          </cell>
          <cell r="C322">
            <v>0.01</v>
          </cell>
          <cell r="D322">
            <v>0.02</v>
          </cell>
        </row>
        <row r="323">
          <cell r="A323" t="str">
            <v>1810396100</v>
          </cell>
          <cell r="B323">
            <v>0.24</v>
          </cell>
          <cell r="C323">
            <v>0.03</v>
          </cell>
          <cell r="D323">
            <v>0.06</v>
          </cell>
        </row>
        <row r="324">
          <cell r="A324" t="str">
            <v>1810469100</v>
          </cell>
          <cell r="B324">
            <v>0.23</v>
          </cell>
          <cell r="C324">
            <v>0.04</v>
          </cell>
          <cell r="D324">
            <v>0.11</v>
          </cell>
        </row>
        <row r="325">
          <cell r="A325" t="str">
            <v>1810494100</v>
          </cell>
          <cell r="B325">
            <v>0.2</v>
          </cell>
          <cell r="C325">
            <v>0.15</v>
          </cell>
          <cell r="D325">
            <v>0.26</v>
          </cell>
        </row>
        <row r="326">
          <cell r="A326" t="str">
            <v>1810495100</v>
          </cell>
          <cell r="B326">
            <v>0.2</v>
          </cell>
          <cell r="C326">
            <v>0.15</v>
          </cell>
          <cell r="D326">
            <v>0.26</v>
          </cell>
        </row>
        <row r="327">
          <cell r="A327" t="str">
            <v>1810511100</v>
          </cell>
          <cell r="B327">
            <v>0.27</v>
          </cell>
          <cell r="C327">
            <v>0.04</v>
          </cell>
          <cell r="D327">
            <v>0.11</v>
          </cell>
        </row>
        <row r="328">
          <cell r="A328" t="str">
            <v>1810513100</v>
          </cell>
          <cell r="B328">
            <v>0.19</v>
          </cell>
          <cell r="C328">
            <v>0.03</v>
          </cell>
          <cell r="D328">
            <v>0.06</v>
          </cell>
        </row>
        <row r="329">
          <cell r="A329" t="str">
            <v>1810514100</v>
          </cell>
          <cell r="B329">
            <v>0.09</v>
          </cell>
          <cell r="C329">
            <v>0.02</v>
          </cell>
          <cell r="D329">
            <v>0.06</v>
          </cell>
        </row>
        <row r="330">
          <cell r="A330" t="str">
            <v>1810536100</v>
          </cell>
          <cell r="B330">
            <v>0.06</v>
          </cell>
          <cell r="C330">
            <v>0.04</v>
          </cell>
          <cell r="D330">
            <v>0.08</v>
          </cell>
        </row>
        <row r="331">
          <cell r="A331" t="str">
            <v>1810553100</v>
          </cell>
          <cell r="B331">
            <v>0.2</v>
          </cell>
          <cell r="C331">
            <v>0.04</v>
          </cell>
          <cell r="D331">
            <v>0.09</v>
          </cell>
        </row>
        <row r="332">
          <cell r="A332" t="str">
            <v>1810627100</v>
          </cell>
          <cell r="B332">
            <v>0.09</v>
          </cell>
          <cell r="C332">
            <v>0.04</v>
          </cell>
          <cell r="D332">
            <v>0.08</v>
          </cell>
        </row>
        <row r="333">
          <cell r="A333" t="str">
            <v>1810701100</v>
          </cell>
          <cell r="B333">
            <v>0.25</v>
          </cell>
          <cell r="C333">
            <v>0.04</v>
          </cell>
          <cell r="D333">
            <v>0.1</v>
          </cell>
        </row>
        <row r="334">
          <cell r="A334" t="str">
            <v>1811404093</v>
          </cell>
          <cell r="B334">
            <v>0.21</v>
          </cell>
          <cell r="C334">
            <v>0.03</v>
          </cell>
          <cell r="D334">
            <v>7.0000000000000007E-2</v>
          </cell>
        </row>
        <row r="335">
          <cell r="A335" t="str">
            <v>1820009T00</v>
          </cell>
          <cell r="B335">
            <v>73.2</v>
          </cell>
          <cell r="C335">
            <v>0</v>
          </cell>
          <cell r="D335">
            <v>2.0499999999999998</v>
          </cell>
        </row>
        <row r="336">
          <cell r="A336" t="str">
            <v>1820021R00</v>
          </cell>
          <cell r="B336">
            <v>4.01</v>
          </cell>
          <cell r="C336">
            <v>5.05</v>
          </cell>
          <cell r="D336">
            <v>10.45</v>
          </cell>
        </row>
        <row r="337">
          <cell r="A337" t="str">
            <v>1820029100</v>
          </cell>
          <cell r="B337">
            <v>1.1100000000000001</v>
          </cell>
          <cell r="C337">
            <v>0.06</v>
          </cell>
          <cell r="D337">
            <v>0.19</v>
          </cell>
        </row>
        <row r="338">
          <cell r="A338" t="str">
            <v>1820044100</v>
          </cell>
          <cell r="B338">
            <v>1.33</v>
          </cell>
          <cell r="C338">
            <v>0.11</v>
          </cell>
          <cell r="D338">
            <v>0.42</v>
          </cell>
        </row>
        <row r="339">
          <cell r="A339" t="str">
            <v>1820045100</v>
          </cell>
          <cell r="B339">
            <v>1.33</v>
          </cell>
          <cell r="C339">
            <v>0.11</v>
          </cell>
          <cell r="D339">
            <v>0.42</v>
          </cell>
        </row>
        <row r="340">
          <cell r="A340" t="str">
            <v>1820107R00</v>
          </cell>
          <cell r="B340">
            <v>9.34</v>
          </cell>
          <cell r="C340">
            <v>4.83</v>
          </cell>
          <cell r="D340">
            <v>7.08</v>
          </cell>
        </row>
        <row r="341">
          <cell r="A341" t="str">
            <v>1820132R00</v>
          </cell>
          <cell r="B341">
            <v>8.89</v>
          </cell>
          <cell r="C341">
            <v>3.42</v>
          </cell>
          <cell r="D341">
            <v>4.6100000000000003</v>
          </cell>
        </row>
        <row r="342">
          <cell r="A342" t="str">
            <v>1820132T00</v>
          </cell>
          <cell r="B342">
            <v>8.89</v>
          </cell>
          <cell r="C342">
            <v>3.42</v>
          </cell>
          <cell r="D342">
            <v>4.6100000000000003</v>
          </cell>
        </row>
        <row r="343">
          <cell r="A343" t="str">
            <v>18201360MF</v>
          </cell>
          <cell r="B343">
            <v>1.74</v>
          </cell>
          <cell r="C343">
            <v>0</v>
          </cell>
          <cell r="D343">
            <v>0</v>
          </cell>
        </row>
        <row r="344">
          <cell r="A344" t="str">
            <v>1820146C70</v>
          </cell>
          <cell r="B344">
            <v>147</v>
          </cell>
          <cell r="C344">
            <v>0.02</v>
          </cell>
          <cell r="D344">
            <v>0.02</v>
          </cell>
        </row>
        <row r="345">
          <cell r="A345" t="str">
            <v>1820162100</v>
          </cell>
          <cell r="B345">
            <v>0.35</v>
          </cell>
          <cell r="C345">
            <v>7.0000000000000007E-2</v>
          </cell>
          <cell r="D345">
            <v>0.15</v>
          </cell>
        </row>
        <row r="346">
          <cell r="A346" t="str">
            <v>1820163100</v>
          </cell>
          <cell r="B346">
            <v>0.24</v>
          </cell>
          <cell r="C346">
            <v>0.06</v>
          </cell>
          <cell r="D346">
            <v>0.13</v>
          </cell>
        </row>
        <row r="347">
          <cell r="A347" t="str">
            <v>1820185R00</v>
          </cell>
          <cell r="B347">
            <v>6.97</v>
          </cell>
          <cell r="C347">
            <v>2.16</v>
          </cell>
          <cell r="D347">
            <v>3.45</v>
          </cell>
        </row>
        <row r="348">
          <cell r="A348" t="str">
            <v>1820195R00</v>
          </cell>
          <cell r="B348">
            <v>8.3699999999999992</v>
          </cell>
          <cell r="C348">
            <v>2.42</v>
          </cell>
          <cell r="D348">
            <v>3.59</v>
          </cell>
        </row>
        <row r="349">
          <cell r="A349" t="str">
            <v>1820206R00</v>
          </cell>
          <cell r="B349">
            <v>23.67</v>
          </cell>
          <cell r="C349">
            <v>2.88</v>
          </cell>
          <cell r="D349">
            <v>4.75</v>
          </cell>
        </row>
        <row r="350">
          <cell r="A350" t="str">
            <v>1820209R00</v>
          </cell>
          <cell r="B350">
            <v>7.36</v>
          </cell>
          <cell r="C350">
            <v>3.45</v>
          </cell>
          <cell r="D350">
            <v>4.88</v>
          </cell>
        </row>
        <row r="351">
          <cell r="A351" t="str">
            <v>1820211R00</v>
          </cell>
          <cell r="B351">
            <v>8.11</v>
          </cell>
          <cell r="C351">
            <v>3.45</v>
          </cell>
          <cell r="D351">
            <v>4.99</v>
          </cell>
        </row>
        <row r="352">
          <cell r="A352" t="str">
            <v>1820225C00</v>
          </cell>
          <cell r="B352">
            <v>4.1399999999999997</v>
          </cell>
          <cell r="C352">
            <v>5.87</v>
          </cell>
          <cell r="D352">
            <v>10.73</v>
          </cell>
        </row>
        <row r="353">
          <cell r="A353" t="str">
            <v>18202260MF</v>
          </cell>
          <cell r="B353">
            <v>12.24</v>
          </cell>
          <cell r="C353">
            <v>0</v>
          </cell>
          <cell r="D353">
            <v>0</v>
          </cell>
        </row>
        <row r="354">
          <cell r="A354" t="str">
            <v>1820242T00</v>
          </cell>
          <cell r="B354">
            <v>7.76</v>
          </cell>
          <cell r="C354">
            <v>4.78</v>
          </cell>
          <cell r="D354">
            <v>7.2</v>
          </cell>
        </row>
        <row r="355">
          <cell r="A355" t="str">
            <v>1820254R00</v>
          </cell>
          <cell r="B355">
            <v>9.85</v>
          </cell>
          <cell r="C355">
            <v>3.74</v>
          </cell>
          <cell r="D355">
            <v>5.18</v>
          </cell>
        </row>
        <row r="356">
          <cell r="A356" t="str">
            <v>1820254T00</v>
          </cell>
          <cell r="B356">
            <v>9.85</v>
          </cell>
          <cell r="C356">
            <v>3.74</v>
          </cell>
          <cell r="D356">
            <v>5.18</v>
          </cell>
        </row>
        <row r="357">
          <cell r="A357" t="str">
            <v>18202600MF</v>
          </cell>
          <cell r="B357">
            <v>49.99</v>
          </cell>
          <cell r="C357">
            <v>0</v>
          </cell>
          <cell r="D357">
            <v>0</v>
          </cell>
        </row>
        <row r="358">
          <cell r="A358" t="str">
            <v>18202641J0</v>
          </cell>
          <cell r="B358">
            <v>0.32</v>
          </cell>
          <cell r="C358">
            <v>0</v>
          </cell>
          <cell r="D358">
            <v>0</v>
          </cell>
        </row>
        <row r="359">
          <cell r="A359" t="str">
            <v>1820273R00</v>
          </cell>
          <cell r="B359">
            <v>12.19</v>
          </cell>
          <cell r="C359">
            <v>7.77</v>
          </cell>
          <cell r="D359">
            <v>9.94</v>
          </cell>
        </row>
        <row r="360">
          <cell r="A360" t="str">
            <v>1820306R00</v>
          </cell>
          <cell r="B360">
            <v>6.93</v>
          </cell>
          <cell r="C360">
            <v>3.19</v>
          </cell>
          <cell r="D360">
            <v>4.5199999999999996</v>
          </cell>
        </row>
        <row r="361">
          <cell r="A361" t="str">
            <v>1820306T00</v>
          </cell>
          <cell r="B361">
            <v>6.93</v>
          </cell>
          <cell r="C361">
            <v>3.19</v>
          </cell>
          <cell r="D361">
            <v>4.5199999999999996</v>
          </cell>
        </row>
        <row r="362">
          <cell r="A362" t="str">
            <v>1820310100</v>
          </cell>
          <cell r="B362">
            <v>1.33</v>
          </cell>
          <cell r="C362">
            <v>0.11</v>
          </cell>
          <cell r="D362">
            <v>0.42</v>
          </cell>
        </row>
        <row r="363">
          <cell r="A363" t="str">
            <v>1820311100</v>
          </cell>
          <cell r="B363">
            <v>1.33</v>
          </cell>
          <cell r="C363">
            <v>0.11</v>
          </cell>
          <cell r="D363">
            <v>0.42</v>
          </cell>
        </row>
        <row r="364">
          <cell r="A364" t="str">
            <v>1820347R00</v>
          </cell>
          <cell r="B364">
            <v>6.35</v>
          </cell>
          <cell r="C364">
            <v>4.3899999999999997</v>
          </cell>
          <cell r="D364">
            <v>6.21</v>
          </cell>
        </row>
        <row r="365">
          <cell r="A365" t="str">
            <v>1820368F00</v>
          </cell>
          <cell r="B365">
            <v>4.1500000000000004</v>
          </cell>
          <cell r="C365">
            <v>3.1</v>
          </cell>
          <cell r="D365">
            <v>5.18</v>
          </cell>
        </row>
        <row r="366">
          <cell r="A366" t="str">
            <v>1820385100</v>
          </cell>
          <cell r="B366">
            <v>0.77</v>
          </cell>
          <cell r="C366">
            <v>0</v>
          </cell>
          <cell r="D366">
            <v>0</v>
          </cell>
        </row>
        <row r="367">
          <cell r="A367" t="str">
            <v>1820386100</v>
          </cell>
          <cell r="B367">
            <v>0.36</v>
          </cell>
          <cell r="C367">
            <v>0</v>
          </cell>
          <cell r="D367">
            <v>0</v>
          </cell>
        </row>
        <row r="368">
          <cell r="A368" t="str">
            <v>18203910MF</v>
          </cell>
          <cell r="B368">
            <v>3.56</v>
          </cell>
          <cell r="C368">
            <v>0</v>
          </cell>
          <cell r="D368">
            <v>0</v>
          </cell>
        </row>
        <row r="369">
          <cell r="A369" t="str">
            <v>1820412100</v>
          </cell>
          <cell r="B369">
            <v>0.56999999999999995</v>
          </cell>
          <cell r="C369">
            <v>0</v>
          </cell>
          <cell r="D369">
            <v>0</v>
          </cell>
        </row>
        <row r="370">
          <cell r="A370" t="str">
            <v>1820433R00</v>
          </cell>
          <cell r="B370">
            <v>7.57</v>
          </cell>
          <cell r="C370">
            <v>6.47</v>
          </cell>
          <cell r="D370">
            <v>9.0500000000000007</v>
          </cell>
        </row>
        <row r="371">
          <cell r="A371" t="str">
            <v>1820438100</v>
          </cell>
          <cell r="B371">
            <v>0.44</v>
          </cell>
          <cell r="C371">
            <v>0.05</v>
          </cell>
          <cell r="D371">
            <v>0.13</v>
          </cell>
        </row>
        <row r="372">
          <cell r="A372" t="str">
            <v>1820456R0G</v>
          </cell>
          <cell r="B372">
            <v>6.34</v>
          </cell>
          <cell r="C372">
            <v>2.68</v>
          </cell>
          <cell r="D372">
            <v>4.0599999999999996</v>
          </cell>
        </row>
        <row r="373">
          <cell r="A373" t="str">
            <v>1820478R00</v>
          </cell>
          <cell r="B373">
            <v>10.52</v>
          </cell>
          <cell r="C373">
            <v>2</v>
          </cell>
          <cell r="D373">
            <v>3.04</v>
          </cell>
        </row>
        <row r="374">
          <cell r="A374" t="str">
            <v>1820497100</v>
          </cell>
          <cell r="B374">
            <v>0.68</v>
          </cell>
          <cell r="C374">
            <v>0</v>
          </cell>
          <cell r="D374">
            <v>0</v>
          </cell>
        </row>
        <row r="375">
          <cell r="A375" t="str">
            <v>1820509R00</v>
          </cell>
          <cell r="B375">
            <v>8.1300000000000008</v>
          </cell>
          <cell r="C375">
            <v>6.28</v>
          </cell>
          <cell r="D375">
            <v>6.2</v>
          </cell>
        </row>
        <row r="376">
          <cell r="A376" t="str">
            <v>1820510R00</v>
          </cell>
          <cell r="B376">
            <v>8.1300000000000008</v>
          </cell>
          <cell r="C376">
            <v>6.28</v>
          </cell>
          <cell r="D376">
            <v>6.2</v>
          </cell>
        </row>
        <row r="377">
          <cell r="A377" t="str">
            <v>1820514R00</v>
          </cell>
          <cell r="B377">
            <v>23.08</v>
          </cell>
          <cell r="C377">
            <v>5.35</v>
          </cell>
          <cell r="D377">
            <v>5.98</v>
          </cell>
        </row>
        <row r="378">
          <cell r="A378" t="str">
            <v>1820518R00</v>
          </cell>
          <cell r="B378">
            <v>18.02</v>
          </cell>
          <cell r="C378">
            <v>5.65</v>
          </cell>
          <cell r="D378">
            <v>6.53</v>
          </cell>
        </row>
        <row r="379">
          <cell r="A379" t="str">
            <v>1820524100</v>
          </cell>
          <cell r="B379">
            <v>0.98</v>
          </cell>
          <cell r="C379">
            <v>0.1</v>
          </cell>
          <cell r="D379">
            <v>0.38</v>
          </cell>
        </row>
        <row r="380">
          <cell r="A380" t="str">
            <v>1820525100</v>
          </cell>
          <cell r="B380">
            <v>0.98</v>
          </cell>
          <cell r="C380">
            <v>0.1</v>
          </cell>
          <cell r="D380">
            <v>0.38</v>
          </cell>
        </row>
        <row r="381">
          <cell r="A381" t="str">
            <v>1820567R00</v>
          </cell>
          <cell r="B381">
            <v>10</v>
          </cell>
          <cell r="C381">
            <v>3.64</v>
          </cell>
          <cell r="D381">
            <v>5.13</v>
          </cell>
        </row>
        <row r="382">
          <cell r="A382" t="str">
            <v>1820597R00</v>
          </cell>
          <cell r="B382">
            <v>6.7</v>
          </cell>
          <cell r="C382">
            <v>2.4500000000000002</v>
          </cell>
          <cell r="D382">
            <v>3.67</v>
          </cell>
        </row>
        <row r="383">
          <cell r="A383" t="str">
            <v>1820601R00</v>
          </cell>
          <cell r="B383">
            <v>6.3</v>
          </cell>
          <cell r="C383">
            <v>4.7699999999999996</v>
          </cell>
          <cell r="D383">
            <v>5.38</v>
          </cell>
        </row>
        <row r="384">
          <cell r="A384" t="str">
            <v>1820605R00</v>
          </cell>
          <cell r="B384">
            <v>7.03</v>
          </cell>
          <cell r="C384">
            <v>6.72</v>
          </cell>
          <cell r="D384">
            <v>9.93</v>
          </cell>
        </row>
        <row r="385">
          <cell r="A385" t="str">
            <v>1820627T00</v>
          </cell>
          <cell r="B385">
            <v>19.12</v>
          </cell>
          <cell r="C385">
            <v>6.48</v>
          </cell>
          <cell r="D385">
            <v>8</v>
          </cell>
        </row>
        <row r="386">
          <cell r="A386" t="str">
            <v>1820632T00</v>
          </cell>
          <cell r="B386">
            <v>3.9</v>
          </cell>
          <cell r="C386">
            <v>4.75</v>
          </cell>
          <cell r="D386">
            <v>9.0299999999999994</v>
          </cell>
        </row>
        <row r="387">
          <cell r="A387" t="str">
            <v>1820649100</v>
          </cell>
          <cell r="B387">
            <v>1.68</v>
          </cell>
          <cell r="C387">
            <v>0</v>
          </cell>
          <cell r="D387">
            <v>0</v>
          </cell>
        </row>
        <row r="388">
          <cell r="A388" t="str">
            <v>1820664R00</v>
          </cell>
          <cell r="B388">
            <v>129.34</v>
          </cell>
          <cell r="C388">
            <v>2.34</v>
          </cell>
          <cell r="D388">
            <v>2.78</v>
          </cell>
        </row>
        <row r="389">
          <cell r="A389" t="str">
            <v>1820696100</v>
          </cell>
          <cell r="B389">
            <v>3.08</v>
          </cell>
          <cell r="C389">
            <v>2.13</v>
          </cell>
          <cell r="D389">
            <v>3.21</v>
          </cell>
        </row>
        <row r="390">
          <cell r="A390" t="str">
            <v>1820702100</v>
          </cell>
          <cell r="B390">
            <v>1.93</v>
          </cell>
          <cell r="C390">
            <v>0</v>
          </cell>
          <cell r="D390">
            <v>0</v>
          </cell>
        </row>
        <row r="391">
          <cell r="A391" t="str">
            <v>18207191J0</v>
          </cell>
          <cell r="B391">
            <v>0.25</v>
          </cell>
          <cell r="C391">
            <v>7.0000000000000007E-2</v>
          </cell>
          <cell r="D391">
            <v>0.15</v>
          </cell>
        </row>
        <row r="392">
          <cell r="A392" t="str">
            <v>1820727R00</v>
          </cell>
          <cell r="B392">
            <v>3.56</v>
          </cell>
          <cell r="C392">
            <v>3.92</v>
          </cell>
          <cell r="D392">
            <v>13.43</v>
          </cell>
        </row>
        <row r="393">
          <cell r="A393" t="str">
            <v>1820741R00</v>
          </cell>
          <cell r="B393">
            <v>8.9499999999999993</v>
          </cell>
          <cell r="C393">
            <v>3.48</v>
          </cell>
          <cell r="D393">
            <v>5.17</v>
          </cell>
        </row>
        <row r="394">
          <cell r="A394" t="str">
            <v>1820741T00</v>
          </cell>
          <cell r="B394">
            <v>8.9499999999999993</v>
          </cell>
          <cell r="C394">
            <v>3.48</v>
          </cell>
          <cell r="D394">
            <v>5.17</v>
          </cell>
        </row>
        <row r="395">
          <cell r="A395" t="str">
            <v>1820744T00</v>
          </cell>
          <cell r="B395">
            <v>4.93</v>
          </cell>
          <cell r="C395">
            <v>3.54</v>
          </cell>
          <cell r="D395">
            <v>4.03</v>
          </cell>
        </row>
        <row r="396">
          <cell r="A396" t="str">
            <v>1820760T00</v>
          </cell>
          <cell r="B396">
            <v>2.16</v>
          </cell>
          <cell r="C396">
            <v>1.21</v>
          </cell>
          <cell r="D396">
            <v>1.7</v>
          </cell>
        </row>
        <row r="397">
          <cell r="A397" t="str">
            <v>1820762R00</v>
          </cell>
          <cell r="B397">
            <v>130.12</v>
          </cell>
          <cell r="C397">
            <v>2.75</v>
          </cell>
          <cell r="D397">
            <v>4.58</v>
          </cell>
        </row>
        <row r="398">
          <cell r="A398" t="str">
            <v>1820778T00</v>
          </cell>
          <cell r="B398">
            <v>7.06</v>
          </cell>
          <cell r="C398">
            <v>4.18</v>
          </cell>
          <cell r="D398">
            <v>5.82</v>
          </cell>
        </row>
        <row r="399">
          <cell r="A399" t="str">
            <v>1820790R00</v>
          </cell>
          <cell r="B399">
            <v>129.29</v>
          </cell>
          <cell r="C399">
            <v>2.0299999999999998</v>
          </cell>
          <cell r="D399">
            <v>3.16</v>
          </cell>
        </row>
        <row r="400">
          <cell r="A400" t="str">
            <v>1820793C00</v>
          </cell>
          <cell r="B400">
            <v>4</v>
          </cell>
          <cell r="C400">
            <v>4.92</v>
          </cell>
          <cell r="D400">
            <v>5.84</v>
          </cell>
        </row>
        <row r="401">
          <cell r="A401" t="str">
            <v>1820793T00</v>
          </cell>
          <cell r="B401">
            <v>4</v>
          </cell>
          <cell r="C401">
            <v>4.92</v>
          </cell>
          <cell r="D401">
            <v>5.84</v>
          </cell>
        </row>
        <row r="402">
          <cell r="A402" t="str">
            <v>1820810R00</v>
          </cell>
          <cell r="B402">
            <v>129.31</v>
          </cell>
          <cell r="C402">
            <v>4.1100000000000003</v>
          </cell>
          <cell r="D402">
            <v>5</v>
          </cell>
        </row>
        <row r="403">
          <cell r="A403" t="str">
            <v>1820822T00</v>
          </cell>
          <cell r="B403">
            <v>2.85</v>
          </cell>
          <cell r="C403">
            <v>2.73</v>
          </cell>
          <cell r="D403">
            <v>4.2699999999999996</v>
          </cell>
        </row>
        <row r="404">
          <cell r="A404" t="str">
            <v>1820834R00</v>
          </cell>
          <cell r="B404">
            <v>9.25</v>
          </cell>
          <cell r="C404">
            <v>6.27</v>
          </cell>
          <cell r="D404">
            <v>7.8</v>
          </cell>
        </row>
        <row r="405">
          <cell r="A405" t="str">
            <v>1820851R00</v>
          </cell>
          <cell r="B405">
            <v>5.24</v>
          </cell>
          <cell r="C405">
            <v>2.4300000000000002</v>
          </cell>
          <cell r="D405">
            <v>3.15</v>
          </cell>
        </row>
        <row r="406">
          <cell r="A406" t="str">
            <v>1820854R00</v>
          </cell>
          <cell r="B406">
            <v>17.16</v>
          </cell>
          <cell r="C406">
            <v>4.53</v>
          </cell>
          <cell r="D406">
            <v>6.17</v>
          </cell>
        </row>
        <row r="407">
          <cell r="A407" t="str">
            <v>1820863R00</v>
          </cell>
          <cell r="B407">
            <v>11.43</v>
          </cell>
          <cell r="C407">
            <v>2.4</v>
          </cell>
          <cell r="D407">
            <v>3.84</v>
          </cell>
        </row>
        <row r="408">
          <cell r="A408" t="str">
            <v>1820863T00</v>
          </cell>
          <cell r="B408">
            <v>11.43</v>
          </cell>
          <cell r="C408">
            <v>2.4</v>
          </cell>
          <cell r="D408">
            <v>3.84</v>
          </cell>
        </row>
        <row r="409">
          <cell r="A409" t="str">
            <v>1820866R00</v>
          </cell>
          <cell r="B409">
            <v>4.9400000000000004</v>
          </cell>
          <cell r="C409">
            <v>2.37</v>
          </cell>
          <cell r="D409">
            <v>2.85</v>
          </cell>
        </row>
        <row r="410">
          <cell r="A410" t="str">
            <v>1820870C00</v>
          </cell>
          <cell r="B410">
            <v>91.44</v>
          </cell>
          <cell r="C410">
            <v>1.99</v>
          </cell>
          <cell r="D410">
            <v>2.58</v>
          </cell>
        </row>
        <row r="411">
          <cell r="A411" t="str">
            <v>1820887100</v>
          </cell>
          <cell r="B411">
            <v>0.3</v>
          </cell>
          <cell r="C411">
            <v>7.0000000000000007E-2</v>
          </cell>
          <cell r="D411">
            <v>0.57999999999999996</v>
          </cell>
        </row>
        <row r="412">
          <cell r="A412" t="str">
            <v>18208930MF</v>
          </cell>
          <cell r="B412">
            <v>0.64</v>
          </cell>
          <cell r="C412">
            <v>0</v>
          </cell>
          <cell r="D412">
            <v>0</v>
          </cell>
        </row>
        <row r="413">
          <cell r="A413" t="str">
            <v>1820897T00</v>
          </cell>
          <cell r="B413">
            <v>13.24</v>
          </cell>
          <cell r="C413">
            <v>7</v>
          </cell>
          <cell r="D413">
            <v>8.36</v>
          </cell>
        </row>
        <row r="414">
          <cell r="A414" t="str">
            <v>1820913T00</v>
          </cell>
          <cell r="B414">
            <v>8.6199999999999992</v>
          </cell>
          <cell r="C414">
            <v>6.04</v>
          </cell>
          <cell r="D414">
            <v>11.68</v>
          </cell>
        </row>
        <row r="415">
          <cell r="A415" t="str">
            <v>1820919R00</v>
          </cell>
          <cell r="B415">
            <v>128.33000000000001</v>
          </cell>
          <cell r="C415">
            <v>1.2</v>
          </cell>
          <cell r="D415">
            <v>2.35</v>
          </cell>
        </row>
        <row r="416">
          <cell r="A416" t="str">
            <v>1820952R00</v>
          </cell>
          <cell r="B416">
            <v>2.66</v>
          </cell>
          <cell r="C416">
            <v>3.43</v>
          </cell>
          <cell r="D416">
            <v>3.65</v>
          </cell>
        </row>
        <row r="417">
          <cell r="A417" t="str">
            <v>1820997R00</v>
          </cell>
          <cell r="B417">
            <v>7.81</v>
          </cell>
          <cell r="C417">
            <v>7.88</v>
          </cell>
          <cell r="D417">
            <v>12.54</v>
          </cell>
        </row>
        <row r="418">
          <cell r="A418" t="str">
            <v>1820997T00</v>
          </cell>
          <cell r="B418">
            <v>7.81</v>
          </cell>
          <cell r="C418">
            <v>7.88</v>
          </cell>
          <cell r="D418">
            <v>12.54</v>
          </cell>
        </row>
        <row r="419">
          <cell r="A419" t="str">
            <v>1821021100</v>
          </cell>
          <cell r="B419">
            <v>7.85</v>
          </cell>
          <cell r="C419">
            <v>1.32</v>
          </cell>
          <cell r="D419">
            <v>2.25</v>
          </cell>
        </row>
        <row r="420">
          <cell r="A420" t="str">
            <v>1821033R00</v>
          </cell>
          <cell r="B420">
            <v>17.39</v>
          </cell>
          <cell r="C420">
            <v>4.04</v>
          </cell>
          <cell r="D420">
            <v>5.28</v>
          </cell>
        </row>
        <row r="421">
          <cell r="A421" t="str">
            <v>1821034R00</v>
          </cell>
          <cell r="B421">
            <v>17.579999999999998</v>
          </cell>
          <cell r="C421">
            <v>4.0199999999999996</v>
          </cell>
          <cell r="D421">
            <v>5.22</v>
          </cell>
        </row>
        <row r="422">
          <cell r="A422" t="str">
            <v>1821051R00</v>
          </cell>
          <cell r="B422">
            <v>4.38</v>
          </cell>
          <cell r="C422">
            <v>2.71</v>
          </cell>
          <cell r="D422">
            <v>4.0999999999999996</v>
          </cell>
        </row>
        <row r="423">
          <cell r="A423" t="str">
            <v>1821060R00</v>
          </cell>
          <cell r="B423">
            <v>5.77</v>
          </cell>
          <cell r="C423">
            <v>3.11</v>
          </cell>
          <cell r="D423">
            <v>5.07</v>
          </cell>
        </row>
        <row r="424">
          <cell r="A424" t="str">
            <v>1821060T00</v>
          </cell>
          <cell r="B424">
            <v>5.77</v>
          </cell>
          <cell r="C424">
            <v>3.11</v>
          </cell>
          <cell r="D424">
            <v>5.07</v>
          </cell>
        </row>
        <row r="425">
          <cell r="A425" t="str">
            <v>1821073R00</v>
          </cell>
          <cell r="B425">
            <v>3.61</v>
          </cell>
          <cell r="C425">
            <v>4.49</v>
          </cell>
          <cell r="D425">
            <v>10</v>
          </cell>
        </row>
        <row r="426">
          <cell r="A426" t="str">
            <v>1821089R00</v>
          </cell>
          <cell r="B426">
            <v>5.12</v>
          </cell>
          <cell r="C426">
            <v>5.7</v>
          </cell>
          <cell r="D426">
            <v>8.08</v>
          </cell>
        </row>
        <row r="427">
          <cell r="A427" t="str">
            <v>1821091T00</v>
          </cell>
          <cell r="B427">
            <v>4.84</v>
          </cell>
          <cell r="C427">
            <v>4.8499999999999996</v>
          </cell>
          <cell r="D427">
            <v>6.74</v>
          </cell>
        </row>
        <row r="428">
          <cell r="A428" t="str">
            <v>1821104R00</v>
          </cell>
          <cell r="B428">
            <v>8.6199999999999992</v>
          </cell>
          <cell r="C428">
            <v>3.3</v>
          </cell>
          <cell r="D428">
            <v>4.92</v>
          </cell>
        </row>
        <row r="429">
          <cell r="A429" t="str">
            <v>1821105R00</v>
          </cell>
          <cell r="B429">
            <v>2.65</v>
          </cell>
          <cell r="C429">
            <v>1.66</v>
          </cell>
          <cell r="D429">
            <v>2.21</v>
          </cell>
        </row>
        <row r="430">
          <cell r="A430" t="str">
            <v>1821126R00</v>
          </cell>
          <cell r="B430">
            <v>3.47</v>
          </cell>
          <cell r="C430">
            <v>2.69</v>
          </cell>
          <cell r="D430">
            <v>4.26</v>
          </cell>
        </row>
        <row r="431">
          <cell r="A431" t="str">
            <v>1821137R00</v>
          </cell>
          <cell r="B431">
            <v>84.52</v>
          </cell>
          <cell r="C431">
            <v>2.91</v>
          </cell>
          <cell r="D431">
            <v>6.67</v>
          </cell>
        </row>
        <row r="432">
          <cell r="A432" t="str">
            <v>1821150100</v>
          </cell>
          <cell r="B432">
            <v>0.59</v>
          </cell>
          <cell r="C432">
            <v>0</v>
          </cell>
          <cell r="D432">
            <v>0</v>
          </cell>
        </row>
        <row r="433">
          <cell r="A433" t="str">
            <v>1821227R00</v>
          </cell>
          <cell r="B433">
            <v>1.54</v>
          </cell>
          <cell r="C433">
            <v>1.28</v>
          </cell>
          <cell r="D433">
            <v>1.95</v>
          </cell>
        </row>
        <row r="434">
          <cell r="A434" t="str">
            <v>1821229R00</v>
          </cell>
          <cell r="B434">
            <v>1.55</v>
          </cell>
          <cell r="C434">
            <v>1.45</v>
          </cell>
          <cell r="D434">
            <v>2.25</v>
          </cell>
        </row>
        <row r="435">
          <cell r="A435" t="str">
            <v>1821233T00</v>
          </cell>
          <cell r="B435">
            <v>5.71</v>
          </cell>
          <cell r="C435">
            <v>2.54</v>
          </cell>
          <cell r="D435">
            <v>3.99</v>
          </cell>
        </row>
        <row r="436">
          <cell r="A436" t="str">
            <v>1821287R00</v>
          </cell>
          <cell r="B436">
            <v>94.12</v>
          </cell>
          <cell r="C436">
            <v>3</v>
          </cell>
          <cell r="D436">
            <v>4.0599999999999996</v>
          </cell>
        </row>
        <row r="437">
          <cell r="A437" t="str">
            <v>1821295C00</v>
          </cell>
          <cell r="B437">
            <v>122.45</v>
          </cell>
          <cell r="C437">
            <v>2.5</v>
          </cell>
          <cell r="D437">
            <v>3.59</v>
          </cell>
        </row>
        <row r="438">
          <cell r="A438" t="str">
            <v>1821311T00</v>
          </cell>
          <cell r="B438">
            <v>9.1999999999999993</v>
          </cell>
          <cell r="C438">
            <v>5.0599999999999996</v>
          </cell>
          <cell r="D438">
            <v>7.1</v>
          </cell>
        </row>
        <row r="439">
          <cell r="A439" t="str">
            <v>1821348T00</v>
          </cell>
          <cell r="B439">
            <v>10.1</v>
          </cell>
          <cell r="C439">
            <v>5.04</v>
          </cell>
          <cell r="D439">
            <v>7.05</v>
          </cell>
        </row>
        <row r="440">
          <cell r="A440" t="str">
            <v>1821352C00</v>
          </cell>
          <cell r="B440">
            <v>143.38</v>
          </cell>
          <cell r="C440">
            <v>4.87</v>
          </cell>
          <cell r="D440">
            <v>9.57</v>
          </cell>
        </row>
        <row r="441">
          <cell r="A441" t="str">
            <v>1821353100</v>
          </cell>
          <cell r="B441">
            <v>12.71</v>
          </cell>
          <cell r="C441">
            <v>0</v>
          </cell>
          <cell r="D441">
            <v>0</v>
          </cell>
        </row>
        <row r="442">
          <cell r="A442" t="str">
            <v>1821353T00</v>
          </cell>
          <cell r="B442">
            <v>5.49</v>
          </cell>
          <cell r="C442">
            <v>2.63</v>
          </cell>
          <cell r="D442">
            <v>4.72</v>
          </cell>
        </row>
        <row r="443">
          <cell r="A443" t="str">
            <v>18213610MF</v>
          </cell>
          <cell r="B443">
            <v>3.32</v>
          </cell>
          <cell r="C443">
            <v>0</v>
          </cell>
          <cell r="D443">
            <v>0</v>
          </cell>
        </row>
        <row r="444">
          <cell r="A444" t="str">
            <v>1821365T00</v>
          </cell>
          <cell r="B444">
            <v>19.02</v>
          </cell>
          <cell r="C444">
            <v>6.26</v>
          </cell>
          <cell r="D444">
            <v>7.86</v>
          </cell>
        </row>
        <row r="445">
          <cell r="A445" t="str">
            <v>18213700MF</v>
          </cell>
          <cell r="B445">
            <v>2.79</v>
          </cell>
          <cell r="C445">
            <v>0</v>
          </cell>
          <cell r="D445">
            <v>0</v>
          </cell>
        </row>
        <row r="446">
          <cell r="A446" t="str">
            <v>18213710MF</v>
          </cell>
          <cell r="B446">
            <v>0.86</v>
          </cell>
          <cell r="C446">
            <v>0</v>
          </cell>
          <cell r="D446">
            <v>0</v>
          </cell>
        </row>
        <row r="447">
          <cell r="A447" t="str">
            <v>18213720MF</v>
          </cell>
          <cell r="B447">
            <v>0.74</v>
          </cell>
          <cell r="C447">
            <v>0</v>
          </cell>
          <cell r="D447">
            <v>0</v>
          </cell>
        </row>
        <row r="448">
          <cell r="A448" t="str">
            <v>18213730MF</v>
          </cell>
          <cell r="B448">
            <v>1.01</v>
          </cell>
          <cell r="C448">
            <v>0</v>
          </cell>
          <cell r="D448">
            <v>0</v>
          </cell>
        </row>
        <row r="449">
          <cell r="A449" t="str">
            <v>18213740MF</v>
          </cell>
          <cell r="B449">
            <v>0.68</v>
          </cell>
          <cell r="C449">
            <v>0</v>
          </cell>
          <cell r="D449">
            <v>0</v>
          </cell>
        </row>
        <row r="450">
          <cell r="A450" t="str">
            <v>18213780MF</v>
          </cell>
          <cell r="B450">
            <v>1.33</v>
          </cell>
          <cell r="C450">
            <v>0</v>
          </cell>
          <cell r="D450">
            <v>0</v>
          </cell>
        </row>
        <row r="451">
          <cell r="A451" t="str">
            <v>18213790MF</v>
          </cell>
          <cell r="B451">
            <v>0.31</v>
          </cell>
          <cell r="C451">
            <v>0</v>
          </cell>
          <cell r="D451">
            <v>0</v>
          </cell>
        </row>
        <row r="452">
          <cell r="A452" t="str">
            <v>1821388C00</v>
          </cell>
          <cell r="B452">
            <v>118.05</v>
          </cell>
          <cell r="C452">
            <v>4.82</v>
          </cell>
          <cell r="D452">
            <v>6.61</v>
          </cell>
        </row>
        <row r="453">
          <cell r="A453" t="str">
            <v>1821388T00</v>
          </cell>
          <cell r="B453">
            <v>118.6</v>
          </cell>
          <cell r="C453">
            <v>3.26</v>
          </cell>
          <cell r="D453">
            <v>5.1100000000000003</v>
          </cell>
        </row>
        <row r="454">
          <cell r="A454" t="str">
            <v>1821418R00</v>
          </cell>
          <cell r="B454">
            <v>101.18</v>
          </cell>
          <cell r="C454">
            <v>2.37</v>
          </cell>
          <cell r="D454">
            <v>3.7</v>
          </cell>
        </row>
        <row r="455">
          <cell r="A455" t="str">
            <v>1821418T00</v>
          </cell>
          <cell r="B455">
            <v>101.15</v>
          </cell>
          <cell r="C455">
            <v>2.37</v>
          </cell>
          <cell r="D455">
            <v>3.7</v>
          </cell>
        </row>
        <row r="456">
          <cell r="A456" t="str">
            <v>1821424100</v>
          </cell>
          <cell r="B456">
            <v>1.44</v>
          </cell>
          <cell r="C456">
            <v>0.11</v>
          </cell>
          <cell r="D456">
            <v>0.42</v>
          </cell>
        </row>
        <row r="457">
          <cell r="A457" t="str">
            <v>1821428100</v>
          </cell>
          <cell r="B457">
            <v>0.48</v>
          </cell>
          <cell r="C457">
            <v>0.08</v>
          </cell>
          <cell r="D457">
            <v>0.63</v>
          </cell>
        </row>
        <row r="458">
          <cell r="A458" t="str">
            <v>1821429100</v>
          </cell>
          <cell r="B458">
            <v>1.44</v>
          </cell>
          <cell r="C458">
            <v>0.11</v>
          </cell>
          <cell r="D458">
            <v>0.42</v>
          </cell>
        </row>
        <row r="459">
          <cell r="A459" t="str">
            <v>1821434R00</v>
          </cell>
          <cell r="B459">
            <v>16.8</v>
          </cell>
          <cell r="C459">
            <v>9.94</v>
          </cell>
          <cell r="D459">
            <v>13.32</v>
          </cell>
        </row>
        <row r="460">
          <cell r="A460" t="str">
            <v>1821452R00</v>
          </cell>
          <cell r="B460">
            <v>6.31</v>
          </cell>
          <cell r="C460">
            <v>3.76</v>
          </cell>
          <cell r="D460">
            <v>5.83</v>
          </cell>
        </row>
        <row r="461">
          <cell r="A461" t="str">
            <v>1821452T00</v>
          </cell>
          <cell r="B461">
            <v>6.31</v>
          </cell>
          <cell r="C461">
            <v>3.76</v>
          </cell>
          <cell r="D461">
            <v>5.83</v>
          </cell>
        </row>
        <row r="462">
          <cell r="A462" t="str">
            <v>1821470R00</v>
          </cell>
          <cell r="B462">
            <v>15.68</v>
          </cell>
          <cell r="C462">
            <v>2.83</v>
          </cell>
          <cell r="D462">
            <v>4.07</v>
          </cell>
        </row>
        <row r="463">
          <cell r="A463" t="str">
            <v>1821470T00</v>
          </cell>
          <cell r="B463">
            <v>15.68</v>
          </cell>
          <cell r="C463">
            <v>2.83</v>
          </cell>
          <cell r="D463">
            <v>4.07</v>
          </cell>
        </row>
        <row r="464">
          <cell r="A464" t="str">
            <v>1821475R00</v>
          </cell>
          <cell r="B464">
            <v>87.95</v>
          </cell>
          <cell r="C464">
            <v>4.38</v>
          </cell>
          <cell r="D464">
            <v>7.71</v>
          </cell>
        </row>
        <row r="465">
          <cell r="A465" t="str">
            <v>1821484R00</v>
          </cell>
          <cell r="B465">
            <v>6.02</v>
          </cell>
          <cell r="C465">
            <v>3.21</v>
          </cell>
          <cell r="D465">
            <v>5.64</v>
          </cell>
        </row>
        <row r="466">
          <cell r="A466" t="str">
            <v>1821484T00</v>
          </cell>
          <cell r="B466">
            <v>6.02</v>
          </cell>
          <cell r="C466">
            <v>3.21</v>
          </cell>
          <cell r="D466">
            <v>5.64</v>
          </cell>
        </row>
        <row r="467">
          <cell r="A467" t="str">
            <v>1821486R00</v>
          </cell>
          <cell r="B467">
            <v>59.71</v>
          </cell>
          <cell r="C467">
            <v>2.82</v>
          </cell>
          <cell r="D467">
            <v>3.85</v>
          </cell>
        </row>
        <row r="468">
          <cell r="A468" t="str">
            <v>1821486T00</v>
          </cell>
          <cell r="B468">
            <v>59.68</v>
          </cell>
          <cell r="C468">
            <v>2.82</v>
          </cell>
          <cell r="D468">
            <v>3.85</v>
          </cell>
        </row>
        <row r="469">
          <cell r="A469" t="str">
            <v>1821489R70</v>
          </cell>
          <cell r="B469">
            <v>132.25</v>
          </cell>
          <cell r="C469">
            <v>0.02</v>
          </cell>
          <cell r="D469">
            <v>0.02</v>
          </cell>
        </row>
        <row r="470">
          <cell r="A470" t="str">
            <v>1821503R00</v>
          </cell>
          <cell r="B470">
            <v>8.48</v>
          </cell>
          <cell r="C470">
            <v>4.0999999999999996</v>
          </cell>
          <cell r="D470">
            <v>5.05</v>
          </cell>
        </row>
        <row r="471">
          <cell r="A471" t="str">
            <v>1821507100</v>
          </cell>
          <cell r="B471">
            <v>0.4</v>
          </cell>
          <cell r="C471">
            <v>0</v>
          </cell>
          <cell r="D471">
            <v>0</v>
          </cell>
        </row>
        <row r="472">
          <cell r="A472" t="str">
            <v>1821509100</v>
          </cell>
          <cell r="B472">
            <v>2.66</v>
          </cell>
          <cell r="C472">
            <v>0</v>
          </cell>
          <cell r="D472">
            <v>0</v>
          </cell>
        </row>
        <row r="473">
          <cell r="A473" t="str">
            <v>1821510100</v>
          </cell>
          <cell r="B473">
            <v>0.8</v>
          </cell>
          <cell r="C473">
            <v>0</v>
          </cell>
          <cell r="D473">
            <v>0</v>
          </cell>
        </row>
        <row r="474">
          <cell r="A474" t="str">
            <v>1821521R00</v>
          </cell>
          <cell r="B474">
            <v>6.18</v>
          </cell>
          <cell r="C474">
            <v>5.56</v>
          </cell>
          <cell r="D474">
            <v>7.79</v>
          </cell>
        </row>
        <row r="475">
          <cell r="A475" t="str">
            <v>18215300MF</v>
          </cell>
          <cell r="B475">
            <v>0</v>
          </cell>
          <cell r="C475">
            <v>0</v>
          </cell>
          <cell r="D475">
            <v>0</v>
          </cell>
        </row>
        <row r="476">
          <cell r="A476" t="str">
            <v>18215301TF</v>
          </cell>
          <cell r="B476">
            <v>0</v>
          </cell>
          <cell r="C476">
            <v>0</v>
          </cell>
          <cell r="D476">
            <v>0</v>
          </cell>
        </row>
        <row r="477">
          <cell r="A477" t="str">
            <v>1821562R00</v>
          </cell>
          <cell r="B477">
            <v>80.959999999999994</v>
          </cell>
          <cell r="C477">
            <v>2.75</v>
          </cell>
          <cell r="D477">
            <v>4.58</v>
          </cell>
        </row>
        <row r="478">
          <cell r="A478" t="str">
            <v>1821562T00</v>
          </cell>
          <cell r="B478">
            <v>80.959999999999994</v>
          </cell>
          <cell r="C478">
            <v>2.75</v>
          </cell>
          <cell r="D478">
            <v>4.58</v>
          </cell>
        </row>
        <row r="479">
          <cell r="A479" t="str">
            <v>1821565100</v>
          </cell>
          <cell r="B479">
            <v>0.98</v>
          </cell>
          <cell r="C479">
            <v>0.1</v>
          </cell>
          <cell r="D479">
            <v>0.37</v>
          </cell>
        </row>
        <row r="480">
          <cell r="A480" t="str">
            <v>1821566100</v>
          </cell>
          <cell r="B480">
            <v>0.98</v>
          </cell>
          <cell r="C480">
            <v>0.1</v>
          </cell>
          <cell r="D480">
            <v>0.37</v>
          </cell>
        </row>
        <row r="481">
          <cell r="A481" t="str">
            <v>1821568100</v>
          </cell>
          <cell r="B481">
            <v>1.02</v>
          </cell>
          <cell r="C481">
            <v>0</v>
          </cell>
          <cell r="D481">
            <v>0.04</v>
          </cell>
        </row>
        <row r="482">
          <cell r="A482" t="str">
            <v>1821573R00</v>
          </cell>
          <cell r="B482">
            <v>83.56</v>
          </cell>
          <cell r="C482">
            <v>2.46</v>
          </cell>
          <cell r="D482">
            <v>4.07</v>
          </cell>
        </row>
        <row r="483">
          <cell r="A483" t="str">
            <v>1821573T00</v>
          </cell>
          <cell r="B483">
            <v>83.53</v>
          </cell>
          <cell r="C483">
            <v>2.46</v>
          </cell>
          <cell r="D483">
            <v>4.07</v>
          </cell>
        </row>
        <row r="484">
          <cell r="A484" t="str">
            <v>1821606R00</v>
          </cell>
          <cell r="B484">
            <v>2.93</v>
          </cell>
          <cell r="C484">
            <v>3.98</v>
          </cell>
          <cell r="D484">
            <v>6.14</v>
          </cell>
        </row>
        <row r="485">
          <cell r="A485" t="str">
            <v>1821612R00</v>
          </cell>
          <cell r="B485">
            <v>11.06</v>
          </cell>
          <cell r="C485">
            <v>3.58</v>
          </cell>
          <cell r="D485">
            <v>5.9</v>
          </cell>
        </row>
        <row r="486">
          <cell r="A486" t="str">
            <v>1821612T00</v>
          </cell>
          <cell r="B486">
            <v>11.06</v>
          </cell>
          <cell r="C486">
            <v>3.58</v>
          </cell>
          <cell r="D486">
            <v>5.9</v>
          </cell>
        </row>
        <row r="487">
          <cell r="A487" t="str">
            <v>1821613R00</v>
          </cell>
          <cell r="B487">
            <v>12.02</v>
          </cell>
          <cell r="C487">
            <v>3.7</v>
          </cell>
          <cell r="D487">
            <v>6.24</v>
          </cell>
        </row>
        <row r="488">
          <cell r="A488" t="str">
            <v>1821613T00</v>
          </cell>
          <cell r="B488">
            <v>12.02</v>
          </cell>
          <cell r="C488">
            <v>3.7</v>
          </cell>
          <cell r="D488">
            <v>6.24</v>
          </cell>
        </row>
        <row r="489">
          <cell r="A489" t="str">
            <v>1821614R00</v>
          </cell>
          <cell r="B489">
            <v>9.0500000000000007</v>
          </cell>
          <cell r="C489">
            <v>3.41</v>
          </cell>
          <cell r="D489">
            <v>5.83</v>
          </cell>
        </row>
        <row r="490">
          <cell r="A490" t="str">
            <v>1821614T00</v>
          </cell>
          <cell r="B490">
            <v>9.0500000000000007</v>
          </cell>
          <cell r="C490">
            <v>3.41</v>
          </cell>
          <cell r="D490">
            <v>5.83</v>
          </cell>
        </row>
        <row r="491">
          <cell r="A491" t="str">
            <v>1821616T00</v>
          </cell>
          <cell r="B491">
            <v>10.27</v>
          </cell>
          <cell r="C491">
            <v>3.49</v>
          </cell>
          <cell r="D491">
            <v>6.17</v>
          </cell>
        </row>
        <row r="492">
          <cell r="A492" t="str">
            <v>1821626R00</v>
          </cell>
          <cell r="B492">
            <v>86.52</v>
          </cell>
          <cell r="C492">
            <v>1.2</v>
          </cell>
          <cell r="D492">
            <v>2.35</v>
          </cell>
        </row>
        <row r="493">
          <cell r="A493" t="str">
            <v>1821645R00</v>
          </cell>
          <cell r="B493">
            <v>2.9</v>
          </cell>
          <cell r="C493">
            <v>1.65</v>
          </cell>
          <cell r="D493">
            <v>2.86</v>
          </cell>
        </row>
        <row r="494">
          <cell r="A494" t="str">
            <v>1821648R00</v>
          </cell>
          <cell r="B494">
            <v>6.18</v>
          </cell>
          <cell r="C494">
            <v>2.87</v>
          </cell>
          <cell r="D494">
            <v>5.56</v>
          </cell>
        </row>
        <row r="495">
          <cell r="A495" t="str">
            <v>1821655R00</v>
          </cell>
          <cell r="B495">
            <v>6.48</v>
          </cell>
          <cell r="C495">
            <v>3.33</v>
          </cell>
          <cell r="D495">
            <v>6.08</v>
          </cell>
        </row>
        <row r="496">
          <cell r="A496" t="str">
            <v>1821655T00</v>
          </cell>
          <cell r="B496">
            <v>6.48</v>
          </cell>
          <cell r="C496">
            <v>3.33</v>
          </cell>
          <cell r="D496">
            <v>6.08</v>
          </cell>
        </row>
        <row r="497">
          <cell r="A497" t="str">
            <v>1821675R00</v>
          </cell>
          <cell r="B497">
            <v>8.73</v>
          </cell>
          <cell r="C497">
            <v>3.69</v>
          </cell>
          <cell r="D497">
            <v>6.39</v>
          </cell>
        </row>
        <row r="498">
          <cell r="A498" t="str">
            <v>1821678R00</v>
          </cell>
          <cell r="B498">
            <v>10.93</v>
          </cell>
          <cell r="C498">
            <v>4.3099999999999996</v>
          </cell>
          <cell r="D498">
            <v>7.16</v>
          </cell>
        </row>
        <row r="499">
          <cell r="A499" t="str">
            <v>1821679100</v>
          </cell>
          <cell r="B499">
            <v>0.63</v>
          </cell>
          <cell r="C499">
            <v>0</v>
          </cell>
          <cell r="D499">
            <v>0</v>
          </cell>
        </row>
        <row r="500">
          <cell r="A500" t="str">
            <v>1821683R00</v>
          </cell>
          <cell r="B500">
            <v>6.8</v>
          </cell>
          <cell r="C500">
            <v>3.64</v>
          </cell>
          <cell r="D500">
            <v>8.01</v>
          </cell>
        </row>
        <row r="501">
          <cell r="A501" t="str">
            <v>1821684100</v>
          </cell>
          <cell r="B501">
            <v>1.41</v>
          </cell>
          <cell r="C501">
            <v>0</v>
          </cell>
          <cell r="D501">
            <v>0.04</v>
          </cell>
        </row>
        <row r="502">
          <cell r="A502" t="str">
            <v>1821686R00</v>
          </cell>
          <cell r="B502">
            <v>87.8</v>
          </cell>
          <cell r="C502">
            <v>4.03</v>
          </cell>
          <cell r="D502">
            <v>5.48</v>
          </cell>
        </row>
        <row r="503">
          <cell r="A503" t="str">
            <v>1821687R00</v>
          </cell>
          <cell r="B503">
            <v>97.48</v>
          </cell>
          <cell r="C503">
            <v>5.65</v>
          </cell>
          <cell r="D503">
            <v>10.55</v>
          </cell>
        </row>
        <row r="504">
          <cell r="A504" t="str">
            <v>1821709R00</v>
          </cell>
          <cell r="B504">
            <v>4.4400000000000004</v>
          </cell>
          <cell r="C504">
            <v>2.54</v>
          </cell>
          <cell r="D504">
            <v>5.29</v>
          </cell>
        </row>
        <row r="505">
          <cell r="A505" t="str">
            <v>1821709T00</v>
          </cell>
          <cell r="B505">
            <v>4.4400000000000004</v>
          </cell>
          <cell r="C505">
            <v>2.54</v>
          </cell>
          <cell r="D505">
            <v>5.29</v>
          </cell>
        </row>
        <row r="506">
          <cell r="A506" t="str">
            <v>1821733120</v>
          </cell>
          <cell r="B506">
            <v>3.6</v>
          </cell>
          <cell r="C506">
            <v>2.5099999999999998</v>
          </cell>
          <cell r="D506">
            <v>5.01</v>
          </cell>
        </row>
        <row r="507">
          <cell r="A507" t="str">
            <v>1821744C00</v>
          </cell>
          <cell r="B507">
            <v>42.8</v>
          </cell>
          <cell r="C507">
            <v>0.57999999999999996</v>
          </cell>
          <cell r="D507">
            <v>0.5</v>
          </cell>
        </row>
        <row r="508">
          <cell r="A508" t="str">
            <v>1821747T00</v>
          </cell>
          <cell r="B508">
            <v>42.81</v>
          </cell>
          <cell r="C508">
            <v>0.57999999999999996</v>
          </cell>
          <cell r="D508">
            <v>0.5</v>
          </cell>
        </row>
        <row r="509">
          <cell r="A509" t="str">
            <v>1821750100</v>
          </cell>
          <cell r="B509">
            <v>0.23</v>
          </cell>
          <cell r="C509">
            <v>0.04</v>
          </cell>
          <cell r="D509">
            <v>0.08</v>
          </cell>
        </row>
        <row r="510">
          <cell r="A510" t="str">
            <v>1821751R00</v>
          </cell>
          <cell r="B510">
            <v>2.82</v>
          </cell>
          <cell r="C510">
            <v>0.84</v>
          </cell>
          <cell r="D510">
            <v>1.43</v>
          </cell>
        </row>
        <row r="511">
          <cell r="A511" t="str">
            <v>1821754R00</v>
          </cell>
          <cell r="B511">
            <v>2.5099999999999998</v>
          </cell>
          <cell r="C511">
            <v>3.77</v>
          </cell>
          <cell r="D511">
            <v>3.94</v>
          </cell>
        </row>
        <row r="512">
          <cell r="A512" t="str">
            <v>1821767R00</v>
          </cell>
          <cell r="B512">
            <v>10.37</v>
          </cell>
          <cell r="C512">
            <v>8.76</v>
          </cell>
          <cell r="D512">
            <v>23.49</v>
          </cell>
        </row>
        <row r="513">
          <cell r="A513" t="str">
            <v>1821774R00</v>
          </cell>
          <cell r="B513">
            <v>9.18</v>
          </cell>
          <cell r="C513">
            <v>8.15</v>
          </cell>
          <cell r="D513">
            <v>18.11</v>
          </cell>
        </row>
        <row r="514">
          <cell r="A514" t="str">
            <v>1821780R00</v>
          </cell>
          <cell r="B514">
            <v>8.5399999999999991</v>
          </cell>
          <cell r="C514">
            <v>2.9</v>
          </cell>
          <cell r="D514">
            <v>4.1399999999999997</v>
          </cell>
        </row>
        <row r="515">
          <cell r="A515" t="str">
            <v>1821780T00</v>
          </cell>
          <cell r="B515">
            <v>8.5399999999999991</v>
          </cell>
          <cell r="C515">
            <v>2.9</v>
          </cell>
          <cell r="D515">
            <v>4.1399999999999997</v>
          </cell>
        </row>
        <row r="516">
          <cell r="A516" t="str">
            <v>1821781R00</v>
          </cell>
          <cell r="B516">
            <v>7.05</v>
          </cell>
          <cell r="C516">
            <v>2.9</v>
          </cell>
          <cell r="D516">
            <v>4.12</v>
          </cell>
        </row>
        <row r="517">
          <cell r="A517" t="str">
            <v>1821781T00</v>
          </cell>
          <cell r="B517">
            <v>7.05</v>
          </cell>
          <cell r="C517">
            <v>2.9</v>
          </cell>
          <cell r="D517">
            <v>4.12</v>
          </cell>
        </row>
        <row r="518">
          <cell r="A518" t="str">
            <v>1821783R00</v>
          </cell>
          <cell r="B518">
            <v>59.54</v>
          </cell>
          <cell r="C518">
            <v>2.9</v>
          </cell>
          <cell r="D518">
            <v>4.42</v>
          </cell>
        </row>
        <row r="519">
          <cell r="A519" t="str">
            <v>1821783T00</v>
          </cell>
          <cell r="B519">
            <v>59.52</v>
          </cell>
          <cell r="C519">
            <v>2.9</v>
          </cell>
          <cell r="D519">
            <v>4.42</v>
          </cell>
        </row>
        <row r="520">
          <cell r="A520" t="str">
            <v>1821787R00</v>
          </cell>
          <cell r="B520">
            <v>55.33</v>
          </cell>
          <cell r="C520">
            <v>2.4</v>
          </cell>
          <cell r="D520">
            <v>3.69</v>
          </cell>
        </row>
        <row r="521">
          <cell r="A521" t="str">
            <v>1821787T00</v>
          </cell>
          <cell r="B521">
            <v>55.33</v>
          </cell>
          <cell r="C521">
            <v>2.4</v>
          </cell>
          <cell r="D521">
            <v>3.69</v>
          </cell>
        </row>
        <row r="522">
          <cell r="A522" t="str">
            <v>1821792100</v>
          </cell>
          <cell r="B522">
            <v>0.77</v>
          </cell>
          <cell r="C522">
            <v>0</v>
          </cell>
          <cell r="D522">
            <v>0</v>
          </cell>
        </row>
        <row r="523">
          <cell r="A523" t="str">
            <v>1821793100</v>
          </cell>
          <cell r="B523">
            <v>0.69</v>
          </cell>
          <cell r="C523">
            <v>0</v>
          </cell>
          <cell r="D523">
            <v>0</v>
          </cell>
        </row>
        <row r="524">
          <cell r="A524" t="str">
            <v>1821794100</v>
          </cell>
          <cell r="B524">
            <v>0.31</v>
          </cell>
          <cell r="C524">
            <v>0</v>
          </cell>
          <cell r="D524">
            <v>0</v>
          </cell>
        </row>
        <row r="525">
          <cell r="A525" t="str">
            <v>1821795100</v>
          </cell>
          <cell r="B525">
            <v>0.31</v>
          </cell>
          <cell r="C525">
            <v>0</v>
          </cell>
          <cell r="D525">
            <v>0</v>
          </cell>
        </row>
        <row r="526">
          <cell r="A526" t="str">
            <v>1821797100</v>
          </cell>
          <cell r="B526">
            <v>0.28999999999999998</v>
          </cell>
          <cell r="C526">
            <v>0</v>
          </cell>
          <cell r="D526">
            <v>0</v>
          </cell>
        </row>
        <row r="527">
          <cell r="A527" t="str">
            <v>1821799T00</v>
          </cell>
          <cell r="B527">
            <v>2.4900000000000002</v>
          </cell>
          <cell r="C527">
            <v>1.04</v>
          </cell>
          <cell r="D527">
            <v>1.58</v>
          </cell>
        </row>
        <row r="528">
          <cell r="A528" t="str">
            <v>1821814R00</v>
          </cell>
          <cell r="B528">
            <v>112.02</v>
          </cell>
          <cell r="C528">
            <v>2.5</v>
          </cell>
          <cell r="D528">
            <v>4.04</v>
          </cell>
        </row>
        <row r="529">
          <cell r="A529" t="str">
            <v>1821821C00</v>
          </cell>
          <cell r="B529">
            <v>111.63</v>
          </cell>
          <cell r="C529">
            <v>4.91</v>
          </cell>
          <cell r="D529">
            <v>11.2</v>
          </cell>
        </row>
        <row r="530">
          <cell r="A530" t="str">
            <v>1821844R00</v>
          </cell>
          <cell r="B530">
            <v>5.04</v>
          </cell>
          <cell r="C530">
            <v>3.04</v>
          </cell>
          <cell r="D530">
            <v>5.88</v>
          </cell>
        </row>
        <row r="531">
          <cell r="A531" t="str">
            <v>1821854R00</v>
          </cell>
          <cell r="B531">
            <v>3.95</v>
          </cell>
          <cell r="C531">
            <v>2.08</v>
          </cell>
          <cell r="D531">
            <v>4.3499999999999996</v>
          </cell>
        </row>
        <row r="532">
          <cell r="A532" t="str">
            <v>1821878R00</v>
          </cell>
          <cell r="B532">
            <v>129.47</v>
          </cell>
          <cell r="C532">
            <v>2.37</v>
          </cell>
          <cell r="D532">
            <v>3.7</v>
          </cell>
        </row>
        <row r="533">
          <cell r="A533" t="str">
            <v>1821885C00</v>
          </cell>
          <cell r="B533">
            <v>129.01</v>
          </cell>
          <cell r="C533">
            <v>3.86</v>
          </cell>
          <cell r="D533">
            <v>5.16</v>
          </cell>
        </row>
        <row r="534">
          <cell r="A534" t="str">
            <v>1821888C00</v>
          </cell>
          <cell r="B534">
            <v>161.77000000000001</v>
          </cell>
          <cell r="C534">
            <v>1.94</v>
          </cell>
          <cell r="D534">
            <v>2.5099999999999998</v>
          </cell>
        </row>
        <row r="535">
          <cell r="A535" t="str">
            <v>1821901C00</v>
          </cell>
          <cell r="B535">
            <v>142.77000000000001</v>
          </cell>
          <cell r="C535">
            <v>4.5599999999999996</v>
          </cell>
          <cell r="D535">
            <v>5.09</v>
          </cell>
        </row>
        <row r="536">
          <cell r="A536" t="str">
            <v>1821901T00</v>
          </cell>
          <cell r="B536">
            <v>142.77000000000001</v>
          </cell>
          <cell r="C536">
            <v>4.5599999999999996</v>
          </cell>
          <cell r="D536">
            <v>5.09</v>
          </cell>
        </row>
        <row r="537">
          <cell r="A537" t="str">
            <v>1821912R00</v>
          </cell>
          <cell r="B537">
            <v>4.95</v>
          </cell>
          <cell r="C537">
            <v>2.91</v>
          </cell>
          <cell r="D537">
            <v>4.43</v>
          </cell>
        </row>
        <row r="538">
          <cell r="A538" t="str">
            <v>1821933R00</v>
          </cell>
          <cell r="B538">
            <v>5.85</v>
          </cell>
          <cell r="C538">
            <v>2.48</v>
          </cell>
          <cell r="D538">
            <v>3.25</v>
          </cell>
        </row>
        <row r="539">
          <cell r="A539" t="str">
            <v>1821939T00</v>
          </cell>
          <cell r="B539">
            <v>10.7</v>
          </cell>
          <cell r="C539">
            <v>6.13</v>
          </cell>
          <cell r="D539">
            <v>7.6</v>
          </cell>
        </row>
        <row r="540">
          <cell r="A540" t="str">
            <v>1821943R00</v>
          </cell>
          <cell r="B540">
            <v>5.91</v>
          </cell>
          <cell r="C540">
            <v>4.41</v>
          </cell>
          <cell r="D540">
            <v>7.04</v>
          </cell>
        </row>
        <row r="541">
          <cell r="A541" t="str">
            <v>1821948R00</v>
          </cell>
          <cell r="B541">
            <v>8.2200000000000006</v>
          </cell>
          <cell r="C541">
            <v>3.97</v>
          </cell>
          <cell r="D541">
            <v>6.44</v>
          </cell>
        </row>
        <row r="542">
          <cell r="A542" t="str">
            <v>1821963R00</v>
          </cell>
          <cell r="B542">
            <v>6.8</v>
          </cell>
          <cell r="C542">
            <v>2.73</v>
          </cell>
          <cell r="D542">
            <v>4.01</v>
          </cell>
        </row>
        <row r="543">
          <cell r="A543" t="str">
            <v>1821964R00</v>
          </cell>
          <cell r="B543">
            <v>7.79</v>
          </cell>
          <cell r="C543">
            <v>2.6</v>
          </cell>
          <cell r="D543">
            <v>3.94</v>
          </cell>
        </row>
        <row r="544">
          <cell r="A544" t="str">
            <v>1821968100</v>
          </cell>
          <cell r="B544">
            <v>0.34</v>
          </cell>
          <cell r="C544">
            <v>0.21</v>
          </cell>
          <cell r="D544">
            <v>0.34</v>
          </cell>
        </row>
        <row r="545">
          <cell r="A545" t="str">
            <v>18220010MF</v>
          </cell>
          <cell r="B545">
            <v>0.49</v>
          </cell>
          <cell r="C545">
            <v>0</v>
          </cell>
          <cell r="D545">
            <v>0</v>
          </cell>
        </row>
        <row r="546">
          <cell r="A546" t="str">
            <v>18220030MF</v>
          </cell>
          <cell r="B546">
            <v>0.59</v>
          </cell>
          <cell r="C546">
            <v>0</v>
          </cell>
          <cell r="D546">
            <v>0</v>
          </cell>
        </row>
        <row r="547">
          <cell r="A547" t="str">
            <v>1822004R00</v>
          </cell>
          <cell r="B547">
            <v>3.38</v>
          </cell>
          <cell r="C547">
            <v>1.96</v>
          </cell>
          <cell r="D547">
            <v>2.64</v>
          </cell>
        </row>
        <row r="548">
          <cell r="A548" t="str">
            <v>1822007R00</v>
          </cell>
          <cell r="B548">
            <v>9.16</v>
          </cell>
          <cell r="C548">
            <v>6.64</v>
          </cell>
          <cell r="D548">
            <v>9.82</v>
          </cell>
        </row>
        <row r="549">
          <cell r="A549" t="str">
            <v>1822025200</v>
          </cell>
          <cell r="B549">
            <v>4.46</v>
          </cell>
          <cell r="C549">
            <v>2.56</v>
          </cell>
          <cell r="D549">
            <v>5.34</v>
          </cell>
        </row>
        <row r="550">
          <cell r="A550" t="str">
            <v>1822025R00</v>
          </cell>
          <cell r="B550">
            <v>4.46</v>
          </cell>
          <cell r="C550">
            <v>2.58</v>
          </cell>
          <cell r="D550">
            <v>5.39</v>
          </cell>
        </row>
        <row r="551">
          <cell r="A551" t="str">
            <v>1822034200</v>
          </cell>
          <cell r="B551">
            <v>9.48</v>
          </cell>
          <cell r="C551">
            <v>2.7</v>
          </cell>
          <cell r="D551">
            <v>3.87</v>
          </cell>
        </row>
        <row r="552">
          <cell r="A552" t="str">
            <v>1822034R00</v>
          </cell>
          <cell r="B552">
            <v>9.48</v>
          </cell>
          <cell r="C552">
            <v>2.79</v>
          </cell>
          <cell r="D552">
            <v>3.98</v>
          </cell>
        </row>
        <row r="553">
          <cell r="A553" t="str">
            <v>1822042C00</v>
          </cell>
          <cell r="B553">
            <v>4.18</v>
          </cell>
          <cell r="C553">
            <v>4.13</v>
          </cell>
          <cell r="D553">
            <v>5.32</v>
          </cell>
        </row>
        <row r="554">
          <cell r="A554" t="str">
            <v>1822042R00</v>
          </cell>
          <cell r="B554">
            <v>4.18</v>
          </cell>
          <cell r="C554">
            <v>4.13</v>
          </cell>
          <cell r="D554">
            <v>5.32</v>
          </cell>
        </row>
        <row r="555">
          <cell r="A555" t="str">
            <v>1822051170</v>
          </cell>
          <cell r="B555">
            <v>86.06</v>
          </cell>
          <cell r="C555">
            <v>0.02</v>
          </cell>
          <cell r="D555">
            <v>0.02</v>
          </cell>
        </row>
        <row r="556">
          <cell r="A556" t="str">
            <v>1822051200</v>
          </cell>
          <cell r="B556">
            <v>86.49</v>
          </cell>
          <cell r="C556">
            <v>1.1599999999999999</v>
          </cell>
          <cell r="D556">
            <v>1.64</v>
          </cell>
        </row>
        <row r="557">
          <cell r="A557" t="str">
            <v>1822053100</v>
          </cell>
          <cell r="B557">
            <v>1.43</v>
          </cell>
          <cell r="C557">
            <v>0.08</v>
          </cell>
          <cell r="D557">
            <v>0.38</v>
          </cell>
        </row>
        <row r="558">
          <cell r="A558" t="str">
            <v>1822054100</v>
          </cell>
          <cell r="B558">
            <v>1.43</v>
          </cell>
          <cell r="C558">
            <v>0.08</v>
          </cell>
          <cell r="D558">
            <v>0.38</v>
          </cell>
        </row>
        <row r="559">
          <cell r="A559" t="str">
            <v>1822061R00</v>
          </cell>
          <cell r="B559">
            <v>109.11</v>
          </cell>
          <cell r="C559">
            <v>4.13</v>
          </cell>
          <cell r="D559">
            <v>5.68</v>
          </cell>
        </row>
        <row r="560">
          <cell r="A560" t="str">
            <v>1822066R00</v>
          </cell>
          <cell r="B560">
            <v>104.38</v>
          </cell>
          <cell r="C560">
            <v>6.12</v>
          </cell>
          <cell r="D560">
            <v>7.4</v>
          </cell>
        </row>
        <row r="561">
          <cell r="A561" t="str">
            <v>1822076T00</v>
          </cell>
          <cell r="B561">
            <v>15.48</v>
          </cell>
          <cell r="C561">
            <v>6.13</v>
          </cell>
          <cell r="D561">
            <v>7.6</v>
          </cell>
        </row>
        <row r="562">
          <cell r="A562" t="str">
            <v>1822090R00</v>
          </cell>
          <cell r="B562">
            <v>26.23</v>
          </cell>
          <cell r="C562">
            <v>3.86</v>
          </cell>
          <cell r="D562">
            <v>5.17</v>
          </cell>
        </row>
        <row r="563">
          <cell r="A563" t="str">
            <v>1822096100</v>
          </cell>
          <cell r="B563">
            <v>1.1200000000000001</v>
          </cell>
          <cell r="C563">
            <v>0.1</v>
          </cell>
          <cell r="D563">
            <v>0.38</v>
          </cell>
        </row>
        <row r="564">
          <cell r="A564" t="str">
            <v>1822103R00</v>
          </cell>
          <cell r="B564">
            <v>9.3800000000000008</v>
          </cell>
          <cell r="C564">
            <v>5.93</v>
          </cell>
          <cell r="D564">
            <v>7.54</v>
          </cell>
        </row>
        <row r="565">
          <cell r="A565" t="str">
            <v>1822117R00</v>
          </cell>
          <cell r="B565">
            <v>6.29</v>
          </cell>
          <cell r="C565">
            <v>2.89</v>
          </cell>
          <cell r="D565">
            <v>4.3</v>
          </cell>
        </row>
        <row r="566">
          <cell r="A566" t="str">
            <v>1822126100</v>
          </cell>
          <cell r="B566">
            <v>117.92</v>
          </cell>
          <cell r="C566">
            <v>5.6</v>
          </cell>
          <cell r="D566">
            <v>10.25</v>
          </cell>
        </row>
        <row r="567">
          <cell r="A567" t="str">
            <v>1822126C00</v>
          </cell>
          <cell r="B567">
            <v>118.04</v>
          </cell>
          <cell r="C567">
            <v>5.6</v>
          </cell>
          <cell r="D567">
            <v>10.27</v>
          </cell>
        </row>
        <row r="568">
          <cell r="A568" t="str">
            <v>1822138R00</v>
          </cell>
          <cell r="B568">
            <v>15.69</v>
          </cell>
          <cell r="C568">
            <v>4.18</v>
          </cell>
          <cell r="D568">
            <v>5.84</v>
          </cell>
        </row>
        <row r="569">
          <cell r="A569" t="str">
            <v>1822147R00</v>
          </cell>
          <cell r="B569">
            <v>10.35</v>
          </cell>
          <cell r="C569">
            <v>2.21</v>
          </cell>
          <cell r="D569">
            <v>3.66</v>
          </cell>
        </row>
        <row r="570">
          <cell r="A570" t="str">
            <v>1822151R00</v>
          </cell>
          <cell r="B570">
            <v>128.52000000000001</v>
          </cell>
          <cell r="C570">
            <v>2.0499999999999998</v>
          </cell>
          <cell r="D570">
            <v>3.74</v>
          </cell>
        </row>
        <row r="571">
          <cell r="A571" t="str">
            <v>1822155R00</v>
          </cell>
          <cell r="B571">
            <v>129.13</v>
          </cell>
          <cell r="C571">
            <v>3.7</v>
          </cell>
          <cell r="D571">
            <v>5.45</v>
          </cell>
        </row>
        <row r="572">
          <cell r="A572" t="str">
            <v>1822197100</v>
          </cell>
          <cell r="B572">
            <v>20.27</v>
          </cell>
          <cell r="C572">
            <v>6.24</v>
          </cell>
          <cell r="D572">
            <v>7.84</v>
          </cell>
        </row>
        <row r="573">
          <cell r="A573" t="str">
            <v>1822197R00</v>
          </cell>
          <cell r="B573">
            <v>20.27</v>
          </cell>
          <cell r="C573">
            <v>6.26</v>
          </cell>
          <cell r="D573">
            <v>7.86</v>
          </cell>
        </row>
        <row r="574">
          <cell r="A574" t="str">
            <v>1822246R00</v>
          </cell>
          <cell r="B574">
            <v>10.67</v>
          </cell>
          <cell r="C574">
            <v>2.4500000000000002</v>
          </cell>
          <cell r="D574">
            <v>3.96</v>
          </cell>
        </row>
        <row r="575">
          <cell r="A575" t="str">
            <v>1822248R00</v>
          </cell>
          <cell r="B575">
            <v>11.57</v>
          </cell>
          <cell r="C575">
            <v>2.84</v>
          </cell>
          <cell r="D575">
            <v>4.33</v>
          </cell>
        </row>
        <row r="576">
          <cell r="A576" t="str">
            <v>1822250R0E</v>
          </cell>
          <cell r="B576">
            <v>6.31</v>
          </cell>
          <cell r="C576">
            <v>3.06</v>
          </cell>
          <cell r="D576">
            <v>5.19</v>
          </cell>
        </row>
        <row r="577">
          <cell r="A577" t="str">
            <v>18222510MF</v>
          </cell>
          <cell r="B577">
            <v>0.44</v>
          </cell>
          <cell r="C577">
            <v>0</v>
          </cell>
          <cell r="D577">
            <v>0</v>
          </cell>
        </row>
        <row r="578">
          <cell r="A578" t="str">
            <v>1822252R00</v>
          </cell>
          <cell r="B578">
            <v>10.89</v>
          </cell>
          <cell r="C578">
            <v>4.08</v>
          </cell>
          <cell r="D578">
            <v>5.83</v>
          </cell>
        </row>
        <row r="579">
          <cell r="A579" t="str">
            <v>1822283R00</v>
          </cell>
          <cell r="B579">
            <v>9.17</v>
          </cell>
          <cell r="C579">
            <v>2.75</v>
          </cell>
          <cell r="D579">
            <v>3.94</v>
          </cell>
        </row>
        <row r="580">
          <cell r="A580" t="str">
            <v>1822283T00</v>
          </cell>
          <cell r="B580">
            <v>9.17</v>
          </cell>
          <cell r="C580">
            <v>2.75</v>
          </cell>
          <cell r="D580">
            <v>3.94</v>
          </cell>
        </row>
        <row r="581">
          <cell r="A581" t="str">
            <v>1822291R00</v>
          </cell>
          <cell r="B581">
            <v>13.47</v>
          </cell>
          <cell r="C581">
            <v>7.4</v>
          </cell>
          <cell r="D581">
            <v>9.6</v>
          </cell>
        </row>
        <row r="582">
          <cell r="A582" t="str">
            <v>1822312R00</v>
          </cell>
          <cell r="B582">
            <v>9.4</v>
          </cell>
          <cell r="C582">
            <v>2.2000000000000002</v>
          </cell>
          <cell r="D582">
            <v>3.46</v>
          </cell>
        </row>
        <row r="583">
          <cell r="A583" t="str">
            <v>1822321T00</v>
          </cell>
          <cell r="B583">
            <v>12.76</v>
          </cell>
          <cell r="C583">
            <v>0.16</v>
          </cell>
          <cell r="D583">
            <v>0.15</v>
          </cell>
        </row>
        <row r="584">
          <cell r="A584" t="str">
            <v>1822324T00</v>
          </cell>
          <cell r="B584">
            <v>11.32</v>
          </cell>
          <cell r="C584">
            <v>0.2</v>
          </cell>
          <cell r="D584">
            <v>0.19</v>
          </cell>
        </row>
        <row r="585">
          <cell r="A585" t="str">
            <v>1822335R00</v>
          </cell>
          <cell r="B585">
            <v>8.59</v>
          </cell>
          <cell r="C585">
            <v>5</v>
          </cell>
          <cell r="D585">
            <v>6.89</v>
          </cell>
        </row>
        <row r="586">
          <cell r="A586" t="str">
            <v>1822336R00</v>
          </cell>
          <cell r="B586">
            <v>6.31</v>
          </cell>
          <cell r="C586">
            <v>5.23</v>
          </cell>
          <cell r="D586">
            <v>7.55</v>
          </cell>
        </row>
        <row r="587">
          <cell r="A587" t="str">
            <v>1822340T00</v>
          </cell>
          <cell r="B587">
            <v>9.35</v>
          </cell>
          <cell r="C587">
            <v>4.62</v>
          </cell>
          <cell r="D587">
            <v>6.69</v>
          </cell>
        </row>
        <row r="588">
          <cell r="A588" t="str">
            <v>1822352T00</v>
          </cell>
          <cell r="B588">
            <v>10.18</v>
          </cell>
          <cell r="C588">
            <v>4.57</v>
          </cell>
          <cell r="D588">
            <v>6.82</v>
          </cell>
        </row>
        <row r="589">
          <cell r="A589" t="str">
            <v>1822361100</v>
          </cell>
          <cell r="B589">
            <v>7.88</v>
          </cell>
          <cell r="C589">
            <v>2.58</v>
          </cell>
          <cell r="D589">
            <v>3.9</v>
          </cell>
        </row>
        <row r="590">
          <cell r="A590" t="str">
            <v>1822361R00</v>
          </cell>
          <cell r="B590">
            <v>7.89</v>
          </cell>
          <cell r="C590">
            <v>3.25</v>
          </cell>
          <cell r="D590">
            <v>4.3899999999999997</v>
          </cell>
        </row>
        <row r="591">
          <cell r="A591" t="str">
            <v>1822372R00</v>
          </cell>
          <cell r="B591">
            <v>9.19</v>
          </cell>
          <cell r="C591">
            <v>3.66</v>
          </cell>
          <cell r="D591">
            <v>6.3</v>
          </cell>
        </row>
        <row r="592">
          <cell r="A592" t="str">
            <v>1822376R00</v>
          </cell>
          <cell r="B592">
            <v>6.51</v>
          </cell>
          <cell r="C592">
            <v>3.25</v>
          </cell>
          <cell r="D592">
            <v>5.86</v>
          </cell>
        </row>
        <row r="593">
          <cell r="A593" t="str">
            <v>1822386R00</v>
          </cell>
          <cell r="B593">
            <v>18.329999999999998</v>
          </cell>
          <cell r="C593">
            <v>6.71</v>
          </cell>
          <cell r="D593">
            <v>8.34</v>
          </cell>
        </row>
        <row r="594">
          <cell r="A594" t="str">
            <v>1822401C00</v>
          </cell>
          <cell r="B594">
            <v>129.05000000000001</v>
          </cell>
          <cell r="C594">
            <v>4.8600000000000003</v>
          </cell>
          <cell r="D594">
            <v>11.13</v>
          </cell>
        </row>
        <row r="595">
          <cell r="A595" t="str">
            <v>1822404C00</v>
          </cell>
          <cell r="B595">
            <v>129.05000000000001</v>
          </cell>
          <cell r="C595">
            <v>4.8600000000000003</v>
          </cell>
          <cell r="D595">
            <v>11.13</v>
          </cell>
        </row>
        <row r="596">
          <cell r="A596" t="str">
            <v>1822412R00</v>
          </cell>
          <cell r="B596">
            <v>7.12</v>
          </cell>
          <cell r="C596">
            <v>4.88</v>
          </cell>
          <cell r="D596">
            <v>5.04</v>
          </cell>
        </row>
        <row r="597">
          <cell r="A597" t="str">
            <v>18224771J0</v>
          </cell>
          <cell r="B597">
            <v>10.29</v>
          </cell>
          <cell r="C597">
            <v>3.28</v>
          </cell>
          <cell r="D597">
            <v>4.5999999999999996</v>
          </cell>
        </row>
        <row r="598">
          <cell r="A598" t="str">
            <v>18224890MF</v>
          </cell>
          <cell r="B598">
            <v>0.56999999999999995</v>
          </cell>
          <cell r="C598">
            <v>0</v>
          </cell>
          <cell r="D598">
            <v>0</v>
          </cell>
        </row>
        <row r="599">
          <cell r="A599" t="str">
            <v>18224891J0</v>
          </cell>
          <cell r="B599">
            <v>0.16</v>
          </cell>
          <cell r="C599">
            <v>0.1</v>
          </cell>
          <cell r="D599">
            <v>0.16</v>
          </cell>
        </row>
        <row r="600">
          <cell r="A600" t="str">
            <v>18224931TF</v>
          </cell>
          <cell r="B600">
            <v>0.4</v>
          </cell>
          <cell r="C600">
            <v>0</v>
          </cell>
          <cell r="D600">
            <v>0</v>
          </cell>
        </row>
        <row r="601">
          <cell r="A601" t="str">
            <v>1822494R00</v>
          </cell>
          <cell r="B601">
            <v>102.28</v>
          </cell>
          <cell r="C601">
            <v>5.01</v>
          </cell>
          <cell r="D601">
            <v>5.73</v>
          </cell>
        </row>
        <row r="602">
          <cell r="A602" t="str">
            <v>1822496R00</v>
          </cell>
          <cell r="B602">
            <v>12.46</v>
          </cell>
          <cell r="C602">
            <v>6.89</v>
          </cell>
          <cell r="D602">
            <v>8.73</v>
          </cell>
        </row>
        <row r="603">
          <cell r="A603" t="str">
            <v>1822502R00</v>
          </cell>
          <cell r="B603">
            <v>9.32</v>
          </cell>
          <cell r="C603">
            <v>2.99</v>
          </cell>
          <cell r="D603">
            <v>4.25</v>
          </cell>
        </row>
        <row r="604">
          <cell r="A604" t="str">
            <v>1822504100</v>
          </cell>
          <cell r="B604">
            <v>0.17</v>
          </cell>
          <cell r="C604">
            <v>7.0000000000000007E-2</v>
          </cell>
          <cell r="D604">
            <v>0.15</v>
          </cell>
        </row>
        <row r="605">
          <cell r="A605" t="str">
            <v>1822507R00</v>
          </cell>
          <cell r="B605">
            <v>4.12</v>
          </cell>
          <cell r="C605">
            <v>2.6</v>
          </cell>
          <cell r="D605">
            <v>3.97</v>
          </cell>
        </row>
        <row r="606">
          <cell r="A606" t="str">
            <v>1822513R00</v>
          </cell>
          <cell r="B606">
            <v>14.81</v>
          </cell>
          <cell r="C606">
            <v>2.3199999999999998</v>
          </cell>
          <cell r="D606">
            <v>3.42</v>
          </cell>
        </row>
        <row r="607">
          <cell r="A607" t="str">
            <v>18225142J0</v>
          </cell>
          <cell r="B607">
            <v>6.19</v>
          </cell>
          <cell r="C607">
            <v>0</v>
          </cell>
          <cell r="D607">
            <v>0</v>
          </cell>
        </row>
        <row r="608">
          <cell r="A608" t="str">
            <v>1822517100</v>
          </cell>
          <cell r="B608">
            <v>50.81</v>
          </cell>
          <cell r="C608">
            <v>0.73</v>
          </cell>
          <cell r="D608">
            <v>1.04</v>
          </cell>
        </row>
        <row r="609">
          <cell r="A609" t="str">
            <v>1822520R00</v>
          </cell>
          <cell r="B609">
            <v>55.01</v>
          </cell>
          <cell r="C609">
            <v>3.22</v>
          </cell>
          <cell r="D609">
            <v>5.19</v>
          </cell>
        </row>
        <row r="610">
          <cell r="A610" t="str">
            <v>1822522R00</v>
          </cell>
          <cell r="B610">
            <v>14.92</v>
          </cell>
          <cell r="C610">
            <v>2.1800000000000002</v>
          </cell>
          <cell r="D610">
            <v>3.42</v>
          </cell>
        </row>
        <row r="611">
          <cell r="A611" t="str">
            <v>1822551C00</v>
          </cell>
          <cell r="B611">
            <v>10.78</v>
          </cell>
          <cell r="C611">
            <v>0</v>
          </cell>
          <cell r="D611">
            <v>0</v>
          </cell>
        </row>
        <row r="612">
          <cell r="A612" t="str">
            <v>1822552R00</v>
          </cell>
          <cell r="B612">
            <v>5.84</v>
          </cell>
          <cell r="C612">
            <v>4.05</v>
          </cell>
          <cell r="D612">
            <v>4.49</v>
          </cell>
        </row>
        <row r="613">
          <cell r="A613" t="str">
            <v>1822594100</v>
          </cell>
          <cell r="B613">
            <v>1.43</v>
          </cell>
          <cell r="C613">
            <v>0.1</v>
          </cell>
          <cell r="D613">
            <v>0.38</v>
          </cell>
        </row>
        <row r="614">
          <cell r="A614" t="str">
            <v>1822595100</v>
          </cell>
          <cell r="B614">
            <v>1.43</v>
          </cell>
          <cell r="C614">
            <v>0.1</v>
          </cell>
          <cell r="D614">
            <v>0.38</v>
          </cell>
        </row>
        <row r="615">
          <cell r="A615" t="str">
            <v>1822599R00</v>
          </cell>
          <cell r="B615">
            <v>6.42</v>
          </cell>
          <cell r="C615">
            <v>5.0999999999999996</v>
          </cell>
          <cell r="D615">
            <v>8.58</v>
          </cell>
        </row>
        <row r="616">
          <cell r="A616" t="str">
            <v>1822599T00</v>
          </cell>
          <cell r="B616">
            <v>6.42</v>
          </cell>
          <cell r="C616">
            <v>5.0999999999999996</v>
          </cell>
          <cell r="D616">
            <v>8.58</v>
          </cell>
        </row>
        <row r="617">
          <cell r="A617" t="str">
            <v>1822622R00</v>
          </cell>
          <cell r="B617">
            <v>7.54</v>
          </cell>
          <cell r="C617">
            <v>3.52</v>
          </cell>
          <cell r="D617">
            <v>5.61</v>
          </cell>
        </row>
        <row r="618">
          <cell r="A618" t="str">
            <v>1822623R00</v>
          </cell>
          <cell r="B618">
            <v>7.19</v>
          </cell>
          <cell r="C618">
            <v>3.67</v>
          </cell>
          <cell r="D618">
            <v>5.84</v>
          </cell>
        </row>
        <row r="619">
          <cell r="A619" t="str">
            <v>1822626R00</v>
          </cell>
          <cell r="B619">
            <v>7.2</v>
          </cell>
          <cell r="C619">
            <v>3.75</v>
          </cell>
          <cell r="D619">
            <v>5.97</v>
          </cell>
        </row>
        <row r="620">
          <cell r="A620" t="str">
            <v>1822631R00</v>
          </cell>
          <cell r="B620">
            <v>4.21</v>
          </cell>
          <cell r="C620">
            <v>2.0499999999999998</v>
          </cell>
          <cell r="D620">
            <v>2.85</v>
          </cell>
        </row>
        <row r="621">
          <cell r="A621" t="str">
            <v>1822633R00</v>
          </cell>
          <cell r="B621">
            <v>6.84</v>
          </cell>
          <cell r="C621">
            <v>2.48</v>
          </cell>
          <cell r="D621">
            <v>3.19</v>
          </cell>
        </row>
        <row r="622">
          <cell r="A622" t="str">
            <v>1822639R00</v>
          </cell>
          <cell r="B622">
            <v>8.73</v>
          </cell>
          <cell r="C622">
            <v>4.8</v>
          </cell>
          <cell r="D622">
            <v>7.59</v>
          </cell>
        </row>
        <row r="623">
          <cell r="A623" t="str">
            <v>1822642R00</v>
          </cell>
          <cell r="B623">
            <v>9.42</v>
          </cell>
          <cell r="C623">
            <v>4.8</v>
          </cell>
          <cell r="D623">
            <v>7.58</v>
          </cell>
        </row>
        <row r="624">
          <cell r="A624" t="str">
            <v>1822644R00</v>
          </cell>
          <cell r="B624">
            <v>8.58</v>
          </cell>
          <cell r="C624">
            <v>4.97</v>
          </cell>
          <cell r="D624">
            <v>7.18</v>
          </cell>
        </row>
        <row r="625">
          <cell r="A625" t="str">
            <v>1822647R00</v>
          </cell>
          <cell r="B625">
            <v>9</v>
          </cell>
          <cell r="C625">
            <v>4.88</v>
          </cell>
          <cell r="D625">
            <v>7.13</v>
          </cell>
        </row>
        <row r="626">
          <cell r="A626" t="str">
            <v>1822652R00</v>
          </cell>
          <cell r="B626">
            <v>5.23</v>
          </cell>
          <cell r="C626">
            <v>3.73</v>
          </cell>
          <cell r="D626">
            <v>5.4</v>
          </cell>
        </row>
        <row r="627">
          <cell r="A627" t="str">
            <v>1822655R00</v>
          </cell>
          <cell r="B627">
            <v>5.93</v>
          </cell>
          <cell r="C627">
            <v>4.01</v>
          </cell>
          <cell r="D627">
            <v>5.92</v>
          </cell>
        </row>
        <row r="628">
          <cell r="A628" t="str">
            <v>1822665C00</v>
          </cell>
          <cell r="B628">
            <v>77.3</v>
          </cell>
          <cell r="C628">
            <v>0.11</v>
          </cell>
          <cell r="D628">
            <v>0.15</v>
          </cell>
        </row>
        <row r="629">
          <cell r="A629" t="str">
            <v>18226760MF</v>
          </cell>
          <cell r="B629">
            <v>0.03</v>
          </cell>
          <cell r="C629">
            <v>0</v>
          </cell>
          <cell r="D629">
            <v>0</v>
          </cell>
        </row>
        <row r="630">
          <cell r="A630" t="str">
            <v>18226761TF</v>
          </cell>
          <cell r="B630">
            <v>0.03</v>
          </cell>
          <cell r="C630">
            <v>0</v>
          </cell>
          <cell r="D630">
            <v>0</v>
          </cell>
        </row>
        <row r="631">
          <cell r="A631" t="str">
            <v>18226770MF</v>
          </cell>
          <cell r="B631">
            <v>0.06</v>
          </cell>
          <cell r="C631">
            <v>0</v>
          </cell>
          <cell r="D631">
            <v>0</v>
          </cell>
        </row>
        <row r="632">
          <cell r="A632" t="str">
            <v>18226771TF</v>
          </cell>
          <cell r="B632">
            <v>0.06</v>
          </cell>
          <cell r="C632">
            <v>0</v>
          </cell>
          <cell r="D632">
            <v>0</v>
          </cell>
        </row>
        <row r="633">
          <cell r="A633" t="str">
            <v>1822693R00</v>
          </cell>
          <cell r="B633">
            <v>49.04</v>
          </cell>
          <cell r="C633">
            <v>2.16</v>
          </cell>
          <cell r="D633">
            <v>2.2400000000000002</v>
          </cell>
        </row>
        <row r="634">
          <cell r="A634" t="str">
            <v>1822693T00</v>
          </cell>
          <cell r="B634">
            <v>49.01</v>
          </cell>
          <cell r="C634">
            <v>2.16</v>
          </cell>
          <cell r="D634">
            <v>2.2400000000000002</v>
          </cell>
        </row>
        <row r="635">
          <cell r="A635" t="str">
            <v>1822720R00</v>
          </cell>
          <cell r="B635">
            <v>110.36</v>
          </cell>
          <cell r="C635">
            <v>5.48</v>
          </cell>
          <cell r="D635">
            <v>7.73</v>
          </cell>
        </row>
        <row r="636">
          <cell r="A636" t="str">
            <v>1822720T00</v>
          </cell>
          <cell r="B636">
            <v>110.33</v>
          </cell>
          <cell r="C636">
            <v>5.48</v>
          </cell>
          <cell r="D636">
            <v>7.73</v>
          </cell>
        </row>
        <row r="637">
          <cell r="A637" t="str">
            <v>1822729R00</v>
          </cell>
          <cell r="B637">
            <v>29.3</v>
          </cell>
          <cell r="C637">
            <v>10.02</v>
          </cell>
          <cell r="D637">
            <v>11.97</v>
          </cell>
        </row>
        <row r="638">
          <cell r="A638" t="str">
            <v>1822730R00</v>
          </cell>
          <cell r="B638">
            <v>118.69</v>
          </cell>
          <cell r="C638">
            <v>4.8</v>
          </cell>
          <cell r="D638">
            <v>5.55</v>
          </cell>
        </row>
        <row r="639">
          <cell r="A639" t="str">
            <v>1822740100</v>
          </cell>
          <cell r="B639">
            <v>0.18</v>
          </cell>
          <cell r="C639">
            <v>0</v>
          </cell>
          <cell r="D639">
            <v>0</v>
          </cell>
        </row>
        <row r="640">
          <cell r="A640" t="str">
            <v>1822748R00</v>
          </cell>
          <cell r="B640">
            <v>105.43</v>
          </cell>
          <cell r="C640">
            <v>0.18</v>
          </cell>
          <cell r="D640">
            <v>0.39</v>
          </cell>
        </row>
        <row r="641">
          <cell r="A641" t="str">
            <v>1822779T00</v>
          </cell>
          <cell r="B641">
            <v>6.48</v>
          </cell>
          <cell r="C641">
            <v>4.5999999999999996</v>
          </cell>
          <cell r="D641">
            <v>8.33</v>
          </cell>
        </row>
        <row r="642">
          <cell r="A642" t="str">
            <v>1822784R00</v>
          </cell>
          <cell r="B642">
            <v>3.98</v>
          </cell>
          <cell r="C642">
            <v>1.99</v>
          </cell>
          <cell r="D642">
            <v>4.1100000000000003</v>
          </cell>
        </row>
        <row r="643">
          <cell r="A643" t="str">
            <v>1822787R00</v>
          </cell>
          <cell r="B643">
            <v>6.35</v>
          </cell>
          <cell r="C643">
            <v>2.44</v>
          </cell>
          <cell r="D643">
            <v>4.72</v>
          </cell>
        </row>
        <row r="644">
          <cell r="A644" t="str">
            <v>1822810R00</v>
          </cell>
          <cell r="B644">
            <v>97</v>
          </cell>
          <cell r="C644">
            <v>0.26</v>
          </cell>
          <cell r="D644">
            <v>0.46</v>
          </cell>
        </row>
        <row r="645">
          <cell r="A645" t="str">
            <v>1822837R00</v>
          </cell>
          <cell r="B645">
            <v>7.46</v>
          </cell>
          <cell r="C645">
            <v>3.67</v>
          </cell>
          <cell r="D645">
            <v>5.84</v>
          </cell>
        </row>
        <row r="646">
          <cell r="A646" t="str">
            <v>1822838R00</v>
          </cell>
          <cell r="B646">
            <v>5.8</v>
          </cell>
          <cell r="C646">
            <v>4.22</v>
          </cell>
          <cell r="D646">
            <v>5.85</v>
          </cell>
        </row>
        <row r="647">
          <cell r="A647" t="str">
            <v>1822847C00</v>
          </cell>
          <cell r="B647">
            <v>5.22</v>
          </cell>
          <cell r="C647">
            <v>4.5199999999999996</v>
          </cell>
          <cell r="D647">
            <v>5.6</v>
          </cell>
        </row>
        <row r="648">
          <cell r="A648" t="str">
            <v>1822850R00</v>
          </cell>
          <cell r="B648">
            <v>93.83</v>
          </cell>
          <cell r="C648">
            <v>5.48</v>
          </cell>
          <cell r="D648">
            <v>7.73</v>
          </cell>
        </row>
        <row r="649">
          <cell r="A649" t="str">
            <v>1822850T00</v>
          </cell>
          <cell r="B649">
            <v>93.83</v>
          </cell>
          <cell r="C649">
            <v>5.48</v>
          </cell>
          <cell r="D649">
            <v>7.73</v>
          </cell>
        </row>
        <row r="650">
          <cell r="A650" t="str">
            <v>18228550NF</v>
          </cell>
          <cell r="B650">
            <v>13.57</v>
          </cell>
          <cell r="C650">
            <v>0</v>
          </cell>
          <cell r="D650">
            <v>0</v>
          </cell>
        </row>
        <row r="651">
          <cell r="A651" t="str">
            <v>1822857R00</v>
          </cell>
          <cell r="B651">
            <v>10.119999999999999</v>
          </cell>
          <cell r="C651">
            <v>3.71</v>
          </cell>
          <cell r="D651">
            <v>5.16</v>
          </cell>
        </row>
        <row r="652">
          <cell r="A652" t="str">
            <v>1822857T00</v>
          </cell>
          <cell r="B652">
            <v>10.119999999999999</v>
          </cell>
          <cell r="C652">
            <v>3.71</v>
          </cell>
          <cell r="D652">
            <v>5.16</v>
          </cell>
        </row>
        <row r="653">
          <cell r="A653" t="str">
            <v>18228720MF</v>
          </cell>
          <cell r="B653">
            <v>7.0000000000000007E-2</v>
          </cell>
          <cell r="C653">
            <v>0</v>
          </cell>
          <cell r="D653">
            <v>0</v>
          </cell>
        </row>
        <row r="654">
          <cell r="A654" t="str">
            <v>1822887100</v>
          </cell>
          <cell r="B654">
            <v>3.75</v>
          </cell>
          <cell r="C654">
            <v>2.5099999999999998</v>
          </cell>
          <cell r="D654">
            <v>5.05</v>
          </cell>
        </row>
        <row r="655">
          <cell r="A655" t="str">
            <v>1822891100</v>
          </cell>
          <cell r="B655">
            <v>0.18</v>
          </cell>
          <cell r="C655">
            <v>0.06</v>
          </cell>
          <cell r="D655">
            <v>0.13</v>
          </cell>
        </row>
        <row r="656">
          <cell r="A656" t="str">
            <v>1822903R00</v>
          </cell>
          <cell r="B656">
            <v>10.96</v>
          </cell>
          <cell r="C656">
            <v>6.98</v>
          </cell>
          <cell r="D656">
            <v>10.23</v>
          </cell>
        </row>
        <row r="657">
          <cell r="A657" t="str">
            <v>1822917R00</v>
          </cell>
          <cell r="B657">
            <v>14.16</v>
          </cell>
          <cell r="C657">
            <v>3.95</v>
          </cell>
          <cell r="D657">
            <v>5.72</v>
          </cell>
        </row>
        <row r="658">
          <cell r="A658" t="str">
            <v>1822917T00</v>
          </cell>
          <cell r="B658">
            <v>14.16</v>
          </cell>
          <cell r="C658">
            <v>3.95</v>
          </cell>
          <cell r="D658">
            <v>5.72</v>
          </cell>
        </row>
        <row r="659">
          <cell r="A659" t="str">
            <v>1822921T0B</v>
          </cell>
          <cell r="B659">
            <v>7.09</v>
          </cell>
          <cell r="C659">
            <v>3.17</v>
          </cell>
          <cell r="D659">
            <v>4.55</v>
          </cell>
        </row>
        <row r="660">
          <cell r="A660" t="str">
            <v>1822923T0B</v>
          </cell>
          <cell r="B660">
            <v>6.51</v>
          </cell>
          <cell r="C660">
            <v>2.98</v>
          </cell>
          <cell r="D660">
            <v>5.04</v>
          </cell>
        </row>
        <row r="661">
          <cell r="A661" t="str">
            <v>1822926R00</v>
          </cell>
          <cell r="B661">
            <v>10.48</v>
          </cell>
          <cell r="C661">
            <v>1.6</v>
          </cell>
          <cell r="D661">
            <v>2.9</v>
          </cell>
        </row>
        <row r="662">
          <cell r="A662" t="str">
            <v>1822933R00</v>
          </cell>
          <cell r="B662">
            <v>13.73</v>
          </cell>
          <cell r="C662">
            <v>2.76</v>
          </cell>
          <cell r="D662">
            <v>4.1500000000000004</v>
          </cell>
        </row>
        <row r="663">
          <cell r="A663" t="str">
            <v>1822933T00</v>
          </cell>
          <cell r="B663">
            <v>13.73</v>
          </cell>
          <cell r="C663">
            <v>2.76</v>
          </cell>
          <cell r="D663">
            <v>4.1500000000000004</v>
          </cell>
        </row>
        <row r="664">
          <cell r="A664" t="str">
            <v>1822937100</v>
          </cell>
          <cell r="B664">
            <v>2.0099999999999998</v>
          </cell>
          <cell r="C664">
            <v>1.22</v>
          </cell>
          <cell r="D664">
            <v>1.88</v>
          </cell>
        </row>
        <row r="665">
          <cell r="A665" t="str">
            <v>1822937R00</v>
          </cell>
          <cell r="B665">
            <v>2.0099999999999998</v>
          </cell>
          <cell r="C665">
            <v>1.22</v>
          </cell>
          <cell r="D665">
            <v>1.88</v>
          </cell>
        </row>
        <row r="666">
          <cell r="A666" t="str">
            <v>1822939T00</v>
          </cell>
          <cell r="B666">
            <v>4.2699999999999996</v>
          </cell>
          <cell r="C666">
            <v>2.6</v>
          </cell>
          <cell r="D666">
            <v>3.98</v>
          </cell>
        </row>
        <row r="667">
          <cell r="A667" t="str">
            <v>1822966R00</v>
          </cell>
          <cell r="B667">
            <v>93.93</v>
          </cell>
          <cell r="C667">
            <v>6</v>
          </cell>
          <cell r="D667">
            <v>8.1300000000000008</v>
          </cell>
        </row>
        <row r="668">
          <cell r="A668" t="str">
            <v>1822966T00</v>
          </cell>
          <cell r="B668">
            <v>93.9</v>
          </cell>
          <cell r="C668">
            <v>6</v>
          </cell>
          <cell r="D668">
            <v>8.1300000000000008</v>
          </cell>
        </row>
        <row r="669">
          <cell r="A669" t="str">
            <v>1822967R00</v>
          </cell>
          <cell r="B669">
            <v>110.43</v>
          </cell>
          <cell r="C669">
            <v>6</v>
          </cell>
          <cell r="D669">
            <v>8.1300000000000008</v>
          </cell>
        </row>
        <row r="670">
          <cell r="A670" t="str">
            <v>1822967T00</v>
          </cell>
          <cell r="B670">
            <v>110.43</v>
          </cell>
          <cell r="C670">
            <v>6</v>
          </cell>
          <cell r="D670">
            <v>8.1300000000000008</v>
          </cell>
        </row>
        <row r="671">
          <cell r="A671" t="str">
            <v>182297220A</v>
          </cell>
          <cell r="B671">
            <v>3.83</v>
          </cell>
          <cell r="C671">
            <v>2.56</v>
          </cell>
          <cell r="D671">
            <v>3.92</v>
          </cell>
        </row>
        <row r="672">
          <cell r="A672" t="str">
            <v>1822972C00</v>
          </cell>
          <cell r="B672">
            <v>3.83</v>
          </cell>
          <cell r="C672">
            <v>2.6</v>
          </cell>
          <cell r="D672">
            <v>3.96</v>
          </cell>
        </row>
        <row r="673">
          <cell r="A673" t="str">
            <v>1822972R00</v>
          </cell>
          <cell r="B673">
            <v>3.83</v>
          </cell>
          <cell r="C673">
            <v>2.6</v>
          </cell>
          <cell r="D673">
            <v>3.96</v>
          </cell>
        </row>
        <row r="674">
          <cell r="A674" t="str">
            <v>1822973R0A</v>
          </cell>
          <cell r="B674">
            <v>6.33</v>
          </cell>
          <cell r="C674">
            <v>2.7</v>
          </cell>
          <cell r="D674">
            <v>4.84</v>
          </cell>
        </row>
        <row r="675">
          <cell r="A675" t="str">
            <v>1822990200</v>
          </cell>
          <cell r="B675">
            <v>9.56</v>
          </cell>
          <cell r="C675">
            <v>5.83</v>
          </cell>
          <cell r="D675">
            <v>7.42</v>
          </cell>
        </row>
        <row r="676">
          <cell r="A676" t="str">
            <v>1822990R00</v>
          </cell>
          <cell r="B676">
            <v>9.57</v>
          </cell>
          <cell r="C676">
            <v>5.85</v>
          </cell>
          <cell r="D676">
            <v>7.45</v>
          </cell>
        </row>
        <row r="677">
          <cell r="A677" t="str">
            <v>1822991100</v>
          </cell>
          <cell r="B677">
            <v>2.0699999999999998</v>
          </cell>
          <cell r="C677">
            <v>1.31</v>
          </cell>
          <cell r="D677">
            <v>2.0299999999999998</v>
          </cell>
        </row>
        <row r="678">
          <cell r="A678" t="str">
            <v>1823067R00</v>
          </cell>
          <cell r="B678">
            <v>39.01</v>
          </cell>
          <cell r="C678">
            <v>5.01</v>
          </cell>
          <cell r="D678">
            <v>6.05</v>
          </cell>
        </row>
        <row r="679">
          <cell r="A679" t="str">
            <v>18230720NF</v>
          </cell>
          <cell r="B679">
            <v>0.42</v>
          </cell>
          <cell r="C679">
            <v>0</v>
          </cell>
          <cell r="D679">
            <v>0</v>
          </cell>
        </row>
        <row r="680">
          <cell r="A680" t="str">
            <v>18230780NF</v>
          </cell>
          <cell r="B680">
            <v>3.24</v>
          </cell>
          <cell r="C680">
            <v>0</v>
          </cell>
          <cell r="D680">
            <v>0</v>
          </cell>
        </row>
        <row r="681">
          <cell r="A681" t="str">
            <v>18230800NF</v>
          </cell>
          <cell r="B681">
            <v>1.1000000000000001</v>
          </cell>
          <cell r="C681">
            <v>0</v>
          </cell>
          <cell r="D681">
            <v>0</v>
          </cell>
        </row>
        <row r="682">
          <cell r="A682" t="str">
            <v>18230800VF</v>
          </cell>
          <cell r="B682">
            <v>1.07</v>
          </cell>
          <cell r="C682">
            <v>0</v>
          </cell>
          <cell r="D682">
            <v>0</v>
          </cell>
        </row>
        <row r="683">
          <cell r="A683" t="str">
            <v>18230810NF</v>
          </cell>
          <cell r="B683">
            <v>1.1000000000000001</v>
          </cell>
          <cell r="C683">
            <v>0</v>
          </cell>
          <cell r="D683">
            <v>0</v>
          </cell>
        </row>
        <row r="684">
          <cell r="A684" t="str">
            <v>18230810VF</v>
          </cell>
          <cell r="B684">
            <v>1.05</v>
          </cell>
          <cell r="C684">
            <v>0</v>
          </cell>
          <cell r="D684">
            <v>0</v>
          </cell>
        </row>
        <row r="685">
          <cell r="A685" t="str">
            <v>18230820NF</v>
          </cell>
          <cell r="B685">
            <v>0.48</v>
          </cell>
          <cell r="C685">
            <v>0</v>
          </cell>
          <cell r="D685">
            <v>0</v>
          </cell>
        </row>
        <row r="686">
          <cell r="A686" t="str">
            <v>18230840NF</v>
          </cell>
          <cell r="B686">
            <v>11.87</v>
          </cell>
          <cell r="C686">
            <v>0</v>
          </cell>
          <cell r="D686">
            <v>0</v>
          </cell>
        </row>
        <row r="687">
          <cell r="A687" t="str">
            <v>18230901J0</v>
          </cell>
          <cell r="B687">
            <v>0.2</v>
          </cell>
          <cell r="C687">
            <v>7.0000000000000007E-2</v>
          </cell>
          <cell r="D687">
            <v>0.15</v>
          </cell>
        </row>
        <row r="688">
          <cell r="A688" t="str">
            <v>18230911J0</v>
          </cell>
          <cell r="B688">
            <v>0.22</v>
          </cell>
          <cell r="C688">
            <v>0.05</v>
          </cell>
          <cell r="D688">
            <v>0.12</v>
          </cell>
        </row>
        <row r="689">
          <cell r="A689" t="str">
            <v>18230931J0</v>
          </cell>
          <cell r="B689">
            <v>0.28999999999999998</v>
          </cell>
          <cell r="C689">
            <v>0.06</v>
          </cell>
          <cell r="D689">
            <v>0.13</v>
          </cell>
        </row>
        <row r="690">
          <cell r="A690" t="str">
            <v>1823118T00</v>
          </cell>
          <cell r="B690">
            <v>39.020000000000003</v>
          </cell>
          <cell r="C690">
            <v>5.01</v>
          </cell>
          <cell r="D690">
            <v>6.05</v>
          </cell>
        </row>
        <row r="691">
          <cell r="A691" t="str">
            <v>1823152100</v>
          </cell>
          <cell r="B691">
            <v>0.23</v>
          </cell>
          <cell r="C691">
            <v>7.0000000000000007E-2</v>
          </cell>
          <cell r="D691">
            <v>0.15</v>
          </cell>
        </row>
        <row r="692">
          <cell r="A692" t="str">
            <v>1823153100</v>
          </cell>
          <cell r="B692">
            <v>0.25</v>
          </cell>
          <cell r="C692">
            <v>0.06</v>
          </cell>
          <cell r="D692">
            <v>0.13</v>
          </cell>
        </row>
        <row r="693">
          <cell r="A693" t="str">
            <v>1823155100</v>
          </cell>
          <cell r="B693">
            <v>0.33</v>
          </cell>
          <cell r="C693">
            <v>0.06</v>
          </cell>
          <cell r="D693">
            <v>0.14000000000000001</v>
          </cell>
        </row>
        <row r="694">
          <cell r="A694" t="str">
            <v>1823175100</v>
          </cell>
          <cell r="B694">
            <v>16.399999999999999</v>
          </cell>
          <cell r="C694">
            <v>5.23</v>
          </cell>
          <cell r="D694">
            <v>6.6</v>
          </cell>
        </row>
        <row r="695">
          <cell r="A695" t="str">
            <v>1823175T00</v>
          </cell>
          <cell r="B695">
            <v>16.41</v>
          </cell>
          <cell r="C695">
            <v>5.28</v>
          </cell>
          <cell r="D695">
            <v>6.65</v>
          </cell>
        </row>
        <row r="696">
          <cell r="A696" t="str">
            <v>1823204T00</v>
          </cell>
          <cell r="B696">
            <v>72.2</v>
          </cell>
          <cell r="C696">
            <v>2.71</v>
          </cell>
          <cell r="D696">
            <v>5.01</v>
          </cell>
        </row>
        <row r="697">
          <cell r="A697" t="str">
            <v>1823209200</v>
          </cell>
          <cell r="B697">
            <v>3.48</v>
          </cell>
          <cell r="C697">
            <v>2.17</v>
          </cell>
          <cell r="D697">
            <v>4.97</v>
          </cell>
        </row>
        <row r="698">
          <cell r="A698" t="str">
            <v>1823209R00</v>
          </cell>
          <cell r="B698">
            <v>3.49</v>
          </cell>
          <cell r="C698">
            <v>2.2200000000000002</v>
          </cell>
          <cell r="D698">
            <v>5.04</v>
          </cell>
        </row>
        <row r="699">
          <cell r="A699" t="str">
            <v>1823209T00</v>
          </cell>
          <cell r="B699">
            <v>3.49</v>
          </cell>
          <cell r="C699">
            <v>2.2200000000000002</v>
          </cell>
          <cell r="D699">
            <v>5.04</v>
          </cell>
        </row>
        <row r="700">
          <cell r="A700" t="str">
            <v>1823226R00</v>
          </cell>
          <cell r="B700">
            <v>9.9</v>
          </cell>
          <cell r="C700">
            <v>3.56</v>
          </cell>
          <cell r="D700">
            <v>5.04</v>
          </cell>
        </row>
        <row r="701">
          <cell r="A701" t="str">
            <v>1823226T00</v>
          </cell>
          <cell r="B701">
            <v>9.9</v>
          </cell>
          <cell r="C701">
            <v>3.56</v>
          </cell>
          <cell r="D701">
            <v>5.04</v>
          </cell>
        </row>
        <row r="702">
          <cell r="A702" t="str">
            <v>1823249R0A</v>
          </cell>
          <cell r="B702">
            <v>6.4</v>
          </cell>
          <cell r="C702">
            <v>2.97</v>
          </cell>
          <cell r="D702">
            <v>5.04</v>
          </cell>
        </row>
        <row r="703">
          <cell r="A703" t="str">
            <v>1823255100</v>
          </cell>
          <cell r="B703">
            <v>8.49</v>
          </cell>
          <cell r="C703">
            <v>1.43</v>
          </cell>
          <cell r="D703">
            <v>2.42</v>
          </cell>
        </row>
        <row r="704">
          <cell r="A704" t="str">
            <v>1823260R00</v>
          </cell>
          <cell r="B704">
            <v>16.73</v>
          </cell>
          <cell r="C704">
            <v>3.17</v>
          </cell>
          <cell r="D704">
            <v>4.74</v>
          </cell>
        </row>
        <row r="705">
          <cell r="A705" t="str">
            <v>1823260T00</v>
          </cell>
          <cell r="B705">
            <v>16.73</v>
          </cell>
          <cell r="C705">
            <v>3.17</v>
          </cell>
          <cell r="D705">
            <v>4.74</v>
          </cell>
        </row>
        <row r="706">
          <cell r="A706" t="str">
            <v>1823263T00</v>
          </cell>
          <cell r="B706">
            <v>19.079999999999998</v>
          </cell>
          <cell r="C706">
            <v>6.58</v>
          </cell>
          <cell r="D706">
            <v>8.17</v>
          </cell>
        </row>
        <row r="707">
          <cell r="A707" t="str">
            <v>18232640MF</v>
          </cell>
          <cell r="B707">
            <v>19.59</v>
          </cell>
          <cell r="C707">
            <v>0</v>
          </cell>
          <cell r="D707">
            <v>0</v>
          </cell>
        </row>
        <row r="708">
          <cell r="A708" t="str">
            <v>1823264100</v>
          </cell>
          <cell r="B708">
            <v>10.77</v>
          </cell>
          <cell r="C708">
            <v>3.73</v>
          </cell>
          <cell r="D708">
            <v>5.09</v>
          </cell>
        </row>
        <row r="709">
          <cell r="A709" t="str">
            <v>18232650MF</v>
          </cell>
          <cell r="B709">
            <v>0.4</v>
          </cell>
          <cell r="C709">
            <v>0</v>
          </cell>
          <cell r="D709">
            <v>0</v>
          </cell>
        </row>
        <row r="710">
          <cell r="A710" t="str">
            <v>1823272100</v>
          </cell>
          <cell r="B710">
            <v>0.13</v>
          </cell>
          <cell r="C710">
            <v>0.03</v>
          </cell>
          <cell r="D710">
            <v>0.1</v>
          </cell>
        </row>
        <row r="711">
          <cell r="A711" t="str">
            <v>1823279R00</v>
          </cell>
          <cell r="B711">
            <v>18.37</v>
          </cell>
          <cell r="C711">
            <v>4.53</v>
          </cell>
          <cell r="D711">
            <v>6.18</v>
          </cell>
        </row>
        <row r="712">
          <cell r="A712" t="str">
            <v>1823366100</v>
          </cell>
          <cell r="B712">
            <v>4.4800000000000004</v>
          </cell>
          <cell r="C712">
            <v>2.2000000000000002</v>
          </cell>
          <cell r="D712">
            <v>7.4</v>
          </cell>
        </row>
        <row r="713">
          <cell r="A713" t="str">
            <v>1823393R00</v>
          </cell>
          <cell r="B713">
            <v>4.3899999999999997</v>
          </cell>
          <cell r="C713">
            <v>2.4900000000000002</v>
          </cell>
          <cell r="D713">
            <v>5.15</v>
          </cell>
        </row>
        <row r="714">
          <cell r="A714" t="str">
            <v>1823406R00</v>
          </cell>
          <cell r="B714">
            <v>21</v>
          </cell>
          <cell r="C714">
            <v>0.49</v>
          </cell>
          <cell r="D714">
            <v>1</v>
          </cell>
        </row>
        <row r="715">
          <cell r="A715" t="str">
            <v>1823409R00</v>
          </cell>
          <cell r="B715">
            <v>24.06</v>
          </cell>
          <cell r="C715">
            <v>1.76</v>
          </cell>
          <cell r="D715">
            <v>3.54</v>
          </cell>
        </row>
        <row r="716">
          <cell r="A716" t="str">
            <v>1823427R00</v>
          </cell>
          <cell r="B716">
            <v>293.69</v>
          </cell>
          <cell r="C716">
            <v>3.28</v>
          </cell>
          <cell r="D716">
            <v>4.08</v>
          </cell>
        </row>
        <row r="717">
          <cell r="A717" t="str">
            <v>1823429R00</v>
          </cell>
          <cell r="B717">
            <v>21.39</v>
          </cell>
          <cell r="C717">
            <v>4.47</v>
          </cell>
          <cell r="D717">
            <v>6.66</v>
          </cell>
        </row>
        <row r="718">
          <cell r="A718" t="str">
            <v>1823432R00</v>
          </cell>
          <cell r="B718">
            <v>13.79</v>
          </cell>
          <cell r="C718">
            <v>3.99</v>
          </cell>
          <cell r="D718">
            <v>5.68</v>
          </cell>
        </row>
        <row r="719">
          <cell r="A719" t="str">
            <v>1823432T00</v>
          </cell>
          <cell r="B719">
            <v>13.79</v>
          </cell>
          <cell r="C719">
            <v>3.99</v>
          </cell>
          <cell r="D719">
            <v>5.68</v>
          </cell>
        </row>
        <row r="720">
          <cell r="A720" t="str">
            <v>1823435200</v>
          </cell>
          <cell r="B720">
            <v>13.68</v>
          </cell>
          <cell r="C720">
            <v>3.91</v>
          </cell>
          <cell r="D720">
            <v>5.6</v>
          </cell>
        </row>
        <row r="721">
          <cell r="A721" t="str">
            <v>1823441100</v>
          </cell>
          <cell r="B721">
            <v>4.78</v>
          </cell>
          <cell r="C721">
            <v>4.1900000000000004</v>
          </cell>
          <cell r="D721">
            <v>6.11</v>
          </cell>
        </row>
        <row r="722">
          <cell r="A722" t="str">
            <v>1823441R00</v>
          </cell>
          <cell r="B722">
            <v>4.78</v>
          </cell>
          <cell r="C722">
            <v>4.24</v>
          </cell>
          <cell r="D722">
            <v>6.17</v>
          </cell>
        </row>
        <row r="723">
          <cell r="A723" t="str">
            <v>1823446R00</v>
          </cell>
          <cell r="B723">
            <v>12.55</v>
          </cell>
          <cell r="C723">
            <v>3.26</v>
          </cell>
          <cell r="D723">
            <v>4.87</v>
          </cell>
        </row>
        <row r="724">
          <cell r="A724" t="str">
            <v>1823461R00</v>
          </cell>
          <cell r="B724">
            <v>12.82</v>
          </cell>
          <cell r="C724">
            <v>2.31</v>
          </cell>
          <cell r="D724">
            <v>3.5</v>
          </cell>
        </row>
        <row r="725">
          <cell r="A725" t="str">
            <v>1823462R00</v>
          </cell>
          <cell r="B725">
            <v>7.47</v>
          </cell>
          <cell r="C725">
            <v>5.82</v>
          </cell>
          <cell r="D725">
            <v>7.8</v>
          </cell>
        </row>
        <row r="726">
          <cell r="A726" t="str">
            <v>1823470R00</v>
          </cell>
          <cell r="B726">
            <v>9.2899999999999991</v>
          </cell>
          <cell r="C726">
            <v>8.1999999999999993</v>
          </cell>
          <cell r="D726">
            <v>11.65</v>
          </cell>
        </row>
        <row r="727">
          <cell r="A727" t="str">
            <v>1823473R00</v>
          </cell>
          <cell r="B727">
            <v>48.66</v>
          </cell>
          <cell r="C727">
            <v>2.0099999999999998</v>
          </cell>
          <cell r="D727">
            <v>3.19</v>
          </cell>
        </row>
        <row r="728">
          <cell r="A728" t="str">
            <v>1823476T00</v>
          </cell>
          <cell r="B728">
            <v>12.22</v>
          </cell>
          <cell r="C728">
            <v>3.73</v>
          </cell>
          <cell r="D728">
            <v>6.49</v>
          </cell>
        </row>
        <row r="729">
          <cell r="A729" t="str">
            <v>1823484R00</v>
          </cell>
          <cell r="B729">
            <v>124.56</v>
          </cell>
          <cell r="C729">
            <v>9.74</v>
          </cell>
          <cell r="D729">
            <v>10.7</v>
          </cell>
        </row>
        <row r="730">
          <cell r="A730" t="str">
            <v>1823486R00</v>
          </cell>
          <cell r="B730">
            <v>23.85</v>
          </cell>
          <cell r="C730">
            <v>10.44</v>
          </cell>
          <cell r="D730">
            <v>13.31</v>
          </cell>
        </row>
        <row r="731">
          <cell r="A731" t="str">
            <v>182350810B</v>
          </cell>
          <cell r="B731">
            <v>12.16</v>
          </cell>
          <cell r="C731">
            <v>2.42</v>
          </cell>
          <cell r="D731">
            <v>3.59</v>
          </cell>
        </row>
        <row r="732">
          <cell r="A732" t="str">
            <v>1823508T0B</v>
          </cell>
          <cell r="B732">
            <v>12.17</v>
          </cell>
          <cell r="C732">
            <v>2.42</v>
          </cell>
          <cell r="D732">
            <v>3.59</v>
          </cell>
        </row>
        <row r="733">
          <cell r="A733" t="str">
            <v>18235230NF</v>
          </cell>
          <cell r="B733">
            <v>0.24</v>
          </cell>
          <cell r="C733">
            <v>0</v>
          </cell>
          <cell r="D733">
            <v>0</v>
          </cell>
        </row>
        <row r="734">
          <cell r="A734" t="str">
            <v>1823589R00</v>
          </cell>
          <cell r="B734">
            <v>7.34</v>
          </cell>
          <cell r="C734">
            <v>2.96</v>
          </cell>
          <cell r="D734">
            <v>5.69</v>
          </cell>
        </row>
        <row r="735">
          <cell r="A735" t="str">
            <v>1823600100</v>
          </cell>
          <cell r="B735">
            <v>0.2</v>
          </cell>
          <cell r="C735">
            <v>0.05</v>
          </cell>
          <cell r="D735">
            <v>0.12</v>
          </cell>
        </row>
        <row r="736">
          <cell r="A736" t="str">
            <v>1823601100</v>
          </cell>
          <cell r="B736">
            <v>0.56999999999999995</v>
          </cell>
          <cell r="C736">
            <v>0.17</v>
          </cell>
          <cell r="D736">
            <v>0.35</v>
          </cell>
        </row>
        <row r="737">
          <cell r="A737" t="str">
            <v>1823602100</v>
          </cell>
          <cell r="B737">
            <v>0.32</v>
          </cell>
          <cell r="C737">
            <v>0.18</v>
          </cell>
          <cell r="D737">
            <v>0.36</v>
          </cell>
        </row>
        <row r="738">
          <cell r="A738" t="str">
            <v>1823603T00</v>
          </cell>
          <cell r="B738">
            <v>10.15</v>
          </cell>
          <cell r="C738">
            <v>3.02</v>
          </cell>
          <cell r="D738">
            <v>4.84</v>
          </cell>
        </row>
        <row r="739">
          <cell r="A739" t="str">
            <v>1823615R00</v>
          </cell>
          <cell r="B739">
            <v>23.08</v>
          </cell>
          <cell r="C739">
            <v>9.19</v>
          </cell>
          <cell r="D739">
            <v>11.72</v>
          </cell>
        </row>
        <row r="740">
          <cell r="A740" t="str">
            <v>1823628R00</v>
          </cell>
          <cell r="B740">
            <v>23.77</v>
          </cell>
          <cell r="C740">
            <v>9.6199999999999992</v>
          </cell>
          <cell r="D740">
            <v>11.98</v>
          </cell>
        </row>
        <row r="741">
          <cell r="A741" t="str">
            <v>1823635R00</v>
          </cell>
          <cell r="B741">
            <v>24.54</v>
          </cell>
          <cell r="C741">
            <v>10.44</v>
          </cell>
          <cell r="D741">
            <v>13.5</v>
          </cell>
        </row>
        <row r="742">
          <cell r="A742" t="str">
            <v>1823641R00</v>
          </cell>
          <cell r="B742">
            <v>7.33</v>
          </cell>
          <cell r="C742">
            <v>3.62</v>
          </cell>
          <cell r="D742">
            <v>5.76</v>
          </cell>
        </row>
        <row r="743">
          <cell r="A743" t="str">
            <v>1823644R00</v>
          </cell>
          <cell r="B743">
            <v>7.38</v>
          </cell>
          <cell r="C743">
            <v>3.52</v>
          </cell>
          <cell r="D743">
            <v>5.58</v>
          </cell>
        </row>
        <row r="744">
          <cell r="A744" t="str">
            <v>1823662100</v>
          </cell>
          <cell r="B744">
            <v>0.38</v>
          </cell>
          <cell r="C744">
            <v>0.4</v>
          </cell>
          <cell r="D744">
            <v>0.67</v>
          </cell>
        </row>
        <row r="745">
          <cell r="A745" t="str">
            <v>1823663100</v>
          </cell>
          <cell r="B745">
            <v>0.44</v>
          </cell>
          <cell r="C745">
            <v>0.24</v>
          </cell>
          <cell r="D745">
            <v>0.43</v>
          </cell>
        </row>
        <row r="746">
          <cell r="A746" t="str">
            <v>1823670T00</v>
          </cell>
          <cell r="B746">
            <v>40.98</v>
          </cell>
          <cell r="C746">
            <v>3.2</v>
          </cell>
          <cell r="D746">
            <v>3.44</v>
          </cell>
        </row>
        <row r="747">
          <cell r="A747" t="str">
            <v>1823680100</v>
          </cell>
          <cell r="B747">
            <v>1.8</v>
          </cell>
          <cell r="C747">
            <v>0</v>
          </cell>
          <cell r="D747">
            <v>0</v>
          </cell>
        </row>
        <row r="748">
          <cell r="A748" t="str">
            <v>1823681100</v>
          </cell>
          <cell r="B748">
            <v>0.83</v>
          </cell>
          <cell r="C748">
            <v>0</v>
          </cell>
          <cell r="D748">
            <v>0</v>
          </cell>
        </row>
        <row r="749">
          <cell r="A749" t="str">
            <v>1823684100</v>
          </cell>
          <cell r="B749">
            <v>0.81</v>
          </cell>
          <cell r="C749">
            <v>0</v>
          </cell>
          <cell r="D749">
            <v>0</v>
          </cell>
        </row>
        <row r="750">
          <cell r="A750" t="str">
            <v>1823685100</v>
          </cell>
          <cell r="B750">
            <v>0.98</v>
          </cell>
          <cell r="C750">
            <v>0</v>
          </cell>
          <cell r="D750">
            <v>0</v>
          </cell>
        </row>
        <row r="751">
          <cell r="A751" t="str">
            <v>1823688100</v>
          </cell>
          <cell r="B751">
            <v>1.5</v>
          </cell>
          <cell r="C751">
            <v>0</v>
          </cell>
          <cell r="D751">
            <v>0</v>
          </cell>
        </row>
        <row r="752">
          <cell r="A752" t="str">
            <v>1823717100</v>
          </cell>
          <cell r="B752">
            <v>11.53</v>
          </cell>
          <cell r="C752">
            <v>1.78</v>
          </cell>
          <cell r="D752">
            <v>3.6</v>
          </cell>
        </row>
        <row r="753">
          <cell r="A753" t="str">
            <v>1823717S00</v>
          </cell>
          <cell r="B753">
            <v>11.53</v>
          </cell>
          <cell r="C753">
            <v>1.84</v>
          </cell>
          <cell r="D753">
            <v>3.7</v>
          </cell>
        </row>
        <row r="754">
          <cell r="A754" t="str">
            <v>1823719R00</v>
          </cell>
          <cell r="B754">
            <v>10.11</v>
          </cell>
          <cell r="C754">
            <v>1.45</v>
          </cell>
          <cell r="D754">
            <v>2.59</v>
          </cell>
        </row>
        <row r="755">
          <cell r="A755" t="str">
            <v>1823721S00</v>
          </cell>
          <cell r="B755">
            <v>10.81</v>
          </cell>
          <cell r="C755">
            <v>3.72</v>
          </cell>
          <cell r="D755">
            <v>5.46</v>
          </cell>
        </row>
        <row r="756">
          <cell r="A756" t="str">
            <v>1823728C00</v>
          </cell>
          <cell r="B756">
            <v>119.67</v>
          </cell>
          <cell r="C756">
            <v>1.38</v>
          </cell>
          <cell r="D756">
            <v>3.89</v>
          </cell>
        </row>
        <row r="757">
          <cell r="A757" t="str">
            <v>1823733R00</v>
          </cell>
          <cell r="B757">
            <v>6.8</v>
          </cell>
          <cell r="C757">
            <v>2.74</v>
          </cell>
          <cell r="D757">
            <v>4.03</v>
          </cell>
        </row>
        <row r="758">
          <cell r="A758" t="str">
            <v>1823735R00</v>
          </cell>
          <cell r="B758">
            <v>9.17</v>
          </cell>
          <cell r="C758">
            <v>2.76</v>
          </cell>
          <cell r="D758">
            <v>3.97</v>
          </cell>
        </row>
        <row r="759">
          <cell r="A759" t="str">
            <v>1823737R00</v>
          </cell>
          <cell r="B759">
            <v>7.72</v>
          </cell>
          <cell r="C759">
            <v>2.64</v>
          </cell>
          <cell r="D759">
            <v>3.99</v>
          </cell>
        </row>
        <row r="760">
          <cell r="A760" t="str">
            <v>1823750R0B</v>
          </cell>
          <cell r="B760">
            <v>6.49</v>
          </cell>
          <cell r="C760">
            <v>4.62</v>
          </cell>
          <cell r="D760">
            <v>6.64</v>
          </cell>
        </row>
        <row r="761">
          <cell r="A761" t="str">
            <v>1823755R00</v>
          </cell>
          <cell r="B761">
            <v>9.8699999999999992</v>
          </cell>
          <cell r="C761">
            <v>3.59</v>
          </cell>
          <cell r="D761">
            <v>4.59</v>
          </cell>
        </row>
        <row r="762">
          <cell r="A762" t="str">
            <v>1823755T00</v>
          </cell>
          <cell r="B762">
            <v>9.8699999999999992</v>
          </cell>
          <cell r="C762">
            <v>3.59</v>
          </cell>
          <cell r="D762">
            <v>4.59</v>
          </cell>
        </row>
        <row r="763">
          <cell r="A763" t="str">
            <v>18237580PF</v>
          </cell>
          <cell r="B763">
            <v>0.52</v>
          </cell>
          <cell r="C763">
            <v>0</v>
          </cell>
          <cell r="D763">
            <v>0</v>
          </cell>
        </row>
        <row r="764">
          <cell r="A764" t="str">
            <v>18237651J0</v>
          </cell>
          <cell r="B764">
            <v>0.32</v>
          </cell>
          <cell r="C764">
            <v>0.04</v>
          </cell>
          <cell r="D764">
            <v>0.11</v>
          </cell>
        </row>
        <row r="765">
          <cell r="A765" t="str">
            <v>18237731J0</v>
          </cell>
          <cell r="B765">
            <v>0.28999999999999998</v>
          </cell>
          <cell r="C765">
            <v>0</v>
          </cell>
          <cell r="D765">
            <v>0.01</v>
          </cell>
        </row>
        <row r="766">
          <cell r="A766" t="str">
            <v>1823776100</v>
          </cell>
          <cell r="B766">
            <v>0.28999999999999998</v>
          </cell>
          <cell r="C766">
            <v>0</v>
          </cell>
          <cell r="D766">
            <v>0.01</v>
          </cell>
        </row>
        <row r="767">
          <cell r="A767" t="str">
            <v>1823792R00</v>
          </cell>
          <cell r="B767">
            <v>7</v>
          </cell>
          <cell r="C767">
            <v>3.59</v>
          </cell>
          <cell r="D767">
            <v>4.6100000000000003</v>
          </cell>
        </row>
        <row r="768">
          <cell r="A768" t="str">
            <v>1823792T00</v>
          </cell>
          <cell r="B768">
            <v>7</v>
          </cell>
          <cell r="C768">
            <v>3.59</v>
          </cell>
          <cell r="D768">
            <v>4.6100000000000003</v>
          </cell>
        </row>
        <row r="769">
          <cell r="A769" t="str">
            <v>18237961J0</v>
          </cell>
          <cell r="B769">
            <v>0.12</v>
          </cell>
          <cell r="C769">
            <v>0.01</v>
          </cell>
          <cell r="D769">
            <v>0.02</v>
          </cell>
        </row>
        <row r="770">
          <cell r="A770" t="str">
            <v>18237971J0</v>
          </cell>
          <cell r="B770">
            <v>0.21</v>
          </cell>
          <cell r="C770">
            <v>0.04</v>
          </cell>
          <cell r="D770">
            <v>0.11</v>
          </cell>
        </row>
        <row r="771">
          <cell r="A771" t="str">
            <v>18237981J0</v>
          </cell>
          <cell r="B771">
            <v>0.21</v>
          </cell>
          <cell r="C771">
            <v>0.04</v>
          </cell>
          <cell r="D771">
            <v>0.11</v>
          </cell>
        </row>
        <row r="772">
          <cell r="A772" t="str">
            <v>1823801100</v>
          </cell>
          <cell r="B772">
            <v>0.27</v>
          </cell>
          <cell r="C772">
            <v>7.0000000000000007E-2</v>
          </cell>
          <cell r="D772">
            <v>0.14000000000000001</v>
          </cell>
        </row>
        <row r="773">
          <cell r="A773" t="str">
            <v>1823802100</v>
          </cell>
          <cell r="B773">
            <v>0.28999999999999998</v>
          </cell>
          <cell r="C773">
            <v>7.0000000000000007E-2</v>
          </cell>
          <cell r="D773">
            <v>0.15</v>
          </cell>
        </row>
        <row r="774">
          <cell r="A774" t="str">
            <v>18238041J0</v>
          </cell>
          <cell r="B774">
            <v>0.12</v>
          </cell>
          <cell r="C774">
            <v>0.01</v>
          </cell>
          <cell r="D774">
            <v>0.02</v>
          </cell>
        </row>
        <row r="775">
          <cell r="A775" t="str">
            <v>18238061J0</v>
          </cell>
          <cell r="B775">
            <v>0.12</v>
          </cell>
          <cell r="C775">
            <v>0.01</v>
          </cell>
          <cell r="D775">
            <v>0.02</v>
          </cell>
        </row>
        <row r="776">
          <cell r="A776" t="str">
            <v>1823814R00</v>
          </cell>
          <cell r="B776">
            <v>6.79</v>
          </cell>
          <cell r="C776">
            <v>3.43</v>
          </cell>
          <cell r="D776">
            <v>4.6399999999999997</v>
          </cell>
        </row>
        <row r="777">
          <cell r="A777" t="str">
            <v>1823814T00</v>
          </cell>
          <cell r="B777">
            <v>6.79</v>
          </cell>
          <cell r="C777">
            <v>3.43</v>
          </cell>
          <cell r="D777">
            <v>4.6399999999999997</v>
          </cell>
        </row>
        <row r="778">
          <cell r="A778" t="str">
            <v>18238191J0</v>
          </cell>
          <cell r="B778">
            <v>0.21</v>
          </cell>
          <cell r="C778">
            <v>0.04</v>
          </cell>
          <cell r="D778">
            <v>0.11</v>
          </cell>
        </row>
        <row r="779">
          <cell r="A779" t="str">
            <v>1823827100</v>
          </cell>
          <cell r="B779">
            <v>0.15</v>
          </cell>
          <cell r="C779">
            <v>0</v>
          </cell>
          <cell r="D779">
            <v>0</v>
          </cell>
        </row>
        <row r="780">
          <cell r="A780" t="str">
            <v>1823830100</v>
          </cell>
          <cell r="B780">
            <v>0.15</v>
          </cell>
          <cell r="C780">
            <v>0</v>
          </cell>
          <cell r="D780">
            <v>0</v>
          </cell>
        </row>
        <row r="781">
          <cell r="A781" t="str">
            <v>18238751J0</v>
          </cell>
          <cell r="B781">
            <v>106.63</v>
          </cell>
          <cell r="C781">
            <v>2.19</v>
          </cell>
          <cell r="D781">
            <v>2.4</v>
          </cell>
        </row>
        <row r="782">
          <cell r="A782" t="str">
            <v>18238760MF</v>
          </cell>
          <cell r="B782">
            <v>0.73</v>
          </cell>
          <cell r="C782">
            <v>0</v>
          </cell>
          <cell r="D782">
            <v>0</v>
          </cell>
        </row>
        <row r="783">
          <cell r="A783" t="str">
            <v>1823876100</v>
          </cell>
          <cell r="B783">
            <v>0.73</v>
          </cell>
          <cell r="C783">
            <v>0</v>
          </cell>
          <cell r="D783">
            <v>0</v>
          </cell>
        </row>
        <row r="784">
          <cell r="A784" t="str">
            <v>1823912R00</v>
          </cell>
          <cell r="B784">
            <v>50.67</v>
          </cell>
          <cell r="C784">
            <v>2.58</v>
          </cell>
          <cell r="D784">
            <v>4</v>
          </cell>
        </row>
        <row r="785">
          <cell r="A785" t="str">
            <v>1823912T00</v>
          </cell>
          <cell r="B785">
            <v>50.66</v>
          </cell>
          <cell r="C785">
            <v>2.58</v>
          </cell>
          <cell r="D785">
            <v>4</v>
          </cell>
        </row>
        <row r="786">
          <cell r="A786" t="str">
            <v>1823917S00</v>
          </cell>
          <cell r="B786">
            <v>110.32</v>
          </cell>
          <cell r="C786">
            <v>4.75</v>
          </cell>
          <cell r="D786">
            <v>5.61</v>
          </cell>
        </row>
        <row r="787">
          <cell r="A787" t="str">
            <v>18239791TF</v>
          </cell>
          <cell r="B787">
            <v>0.55000000000000004</v>
          </cell>
          <cell r="C787">
            <v>0</v>
          </cell>
          <cell r="D787">
            <v>0</v>
          </cell>
        </row>
        <row r="788">
          <cell r="A788" t="str">
            <v>1824015T00</v>
          </cell>
          <cell r="B788">
            <v>112.51</v>
          </cell>
          <cell r="C788">
            <v>4.5999999999999996</v>
          </cell>
          <cell r="D788">
            <v>6.59</v>
          </cell>
        </row>
        <row r="789">
          <cell r="A789" t="str">
            <v>1824056100</v>
          </cell>
          <cell r="B789">
            <v>24.45</v>
          </cell>
          <cell r="C789">
            <v>9.19</v>
          </cell>
          <cell r="D789">
            <v>11.42</v>
          </cell>
        </row>
        <row r="790">
          <cell r="A790" t="str">
            <v>1824056R00</v>
          </cell>
          <cell r="B790">
            <v>24.45</v>
          </cell>
          <cell r="C790">
            <v>9.24</v>
          </cell>
          <cell r="D790">
            <v>11.46</v>
          </cell>
        </row>
        <row r="791">
          <cell r="A791" t="str">
            <v>1824061R00</v>
          </cell>
          <cell r="B791">
            <v>59.46</v>
          </cell>
          <cell r="C791">
            <v>2.93</v>
          </cell>
          <cell r="D791">
            <v>4.0999999999999996</v>
          </cell>
        </row>
        <row r="792">
          <cell r="A792" t="str">
            <v>1824063C00</v>
          </cell>
          <cell r="B792">
            <v>10.98</v>
          </cell>
          <cell r="C792">
            <v>0.04</v>
          </cell>
          <cell r="D792">
            <v>0.05</v>
          </cell>
        </row>
        <row r="793">
          <cell r="A793" t="str">
            <v>1824065C00</v>
          </cell>
          <cell r="B793">
            <v>2.93</v>
          </cell>
          <cell r="C793">
            <v>4.3600000000000003</v>
          </cell>
          <cell r="D793">
            <v>4.9400000000000004</v>
          </cell>
        </row>
        <row r="794">
          <cell r="A794" t="str">
            <v>1824065T00</v>
          </cell>
          <cell r="B794">
            <v>6.06</v>
          </cell>
          <cell r="C794">
            <v>4.6100000000000003</v>
          </cell>
          <cell r="D794">
            <v>5.95</v>
          </cell>
        </row>
        <row r="795">
          <cell r="A795" t="str">
            <v>1824084R00</v>
          </cell>
          <cell r="B795">
            <v>59.67</v>
          </cell>
          <cell r="C795">
            <v>2.8</v>
          </cell>
          <cell r="D795">
            <v>3.88</v>
          </cell>
        </row>
        <row r="796">
          <cell r="A796" t="str">
            <v>1824084T00</v>
          </cell>
          <cell r="B796">
            <v>59.65</v>
          </cell>
          <cell r="C796">
            <v>2.8</v>
          </cell>
          <cell r="D796">
            <v>3.88</v>
          </cell>
        </row>
        <row r="797">
          <cell r="A797" t="str">
            <v>1824095C0A</v>
          </cell>
          <cell r="B797">
            <v>4.6500000000000004</v>
          </cell>
          <cell r="C797">
            <v>5.74</v>
          </cell>
          <cell r="D797">
            <v>10.74</v>
          </cell>
        </row>
        <row r="798">
          <cell r="A798" t="str">
            <v>1824098R00</v>
          </cell>
          <cell r="B798">
            <v>11.12</v>
          </cell>
          <cell r="C798">
            <v>7.08</v>
          </cell>
          <cell r="D798">
            <v>10.48</v>
          </cell>
        </row>
        <row r="799">
          <cell r="A799" t="str">
            <v>1824105R00</v>
          </cell>
          <cell r="B799">
            <v>28.1</v>
          </cell>
          <cell r="C799">
            <v>4.2300000000000004</v>
          </cell>
          <cell r="D799">
            <v>5.62</v>
          </cell>
        </row>
        <row r="800">
          <cell r="A800" t="str">
            <v>18241170MF</v>
          </cell>
          <cell r="B800">
            <v>1.43</v>
          </cell>
          <cell r="C800">
            <v>0</v>
          </cell>
          <cell r="D800">
            <v>0</v>
          </cell>
        </row>
        <row r="801">
          <cell r="A801" t="str">
            <v>18241300NF</v>
          </cell>
          <cell r="B801">
            <v>0.97</v>
          </cell>
          <cell r="C801">
            <v>0</v>
          </cell>
          <cell r="D801">
            <v>0</v>
          </cell>
        </row>
        <row r="802">
          <cell r="A802" t="str">
            <v>18241300VF</v>
          </cell>
          <cell r="B802">
            <v>0.62</v>
          </cell>
          <cell r="C802">
            <v>0</v>
          </cell>
          <cell r="D802">
            <v>0</v>
          </cell>
        </row>
        <row r="803">
          <cell r="A803" t="str">
            <v>18241301TF</v>
          </cell>
          <cell r="B803">
            <v>0.97</v>
          </cell>
          <cell r="C803">
            <v>0</v>
          </cell>
          <cell r="D803">
            <v>0</v>
          </cell>
        </row>
        <row r="804">
          <cell r="A804" t="str">
            <v>18241350NF</v>
          </cell>
          <cell r="B804">
            <v>3.89</v>
          </cell>
          <cell r="C804">
            <v>0</v>
          </cell>
          <cell r="D804">
            <v>0</v>
          </cell>
        </row>
        <row r="805">
          <cell r="A805" t="str">
            <v>1824163C00</v>
          </cell>
          <cell r="B805">
            <v>161.57</v>
          </cell>
          <cell r="C805">
            <v>7.67</v>
          </cell>
          <cell r="D805">
            <v>9.7200000000000006</v>
          </cell>
        </row>
        <row r="806">
          <cell r="A806" t="str">
            <v>1824163T00</v>
          </cell>
          <cell r="B806">
            <v>161.57</v>
          </cell>
          <cell r="C806">
            <v>7.67</v>
          </cell>
          <cell r="D806">
            <v>9.7200000000000006</v>
          </cell>
        </row>
        <row r="807">
          <cell r="A807" t="str">
            <v>1824178R00</v>
          </cell>
          <cell r="B807">
            <v>20.12</v>
          </cell>
          <cell r="C807">
            <v>7.02</v>
          </cell>
          <cell r="D807">
            <v>8.65</v>
          </cell>
        </row>
        <row r="808">
          <cell r="A808" t="str">
            <v>1824198S00</v>
          </cell>
          <cell r="B808">
            <v>110.32</v>
          </cell>
          <cell r="C808">
            <v>4.6900000000000004</v>
          </cell>
          <cell r="D808">
            <v>5.51</v>
          </cell>
        </row>
        <row r="809">
          <cell r="A809" t="str">
            <v>1824264R00</v>
          </cell>
          <cell r="B809">
            <v>23.95</v>
          </cell>
          <cell r="C809">
            <v>4.47</v>
          </cell>
          <cell r="D809">
            <v>19.010000000000002</v>
          </cell>
        </row>
        <row r="810">
          <cell r="A810" t="str">
            <v>1824270100</v>
          </cell>
          <cell r="B810">
            <v>0.78</v>
          </cell>
          <cell r="C810">
            <v>0.1</v>
          </cell>
          <cell r="D810">
            <v>0.38</v>
          </cell>
        </row>
        <row r="811">
          <cell r="A811" t="str">
            <v>1824271100</v>
          </cell>
          <cell r="B811">
            <v>0.78</v>
          </cell>
          <cell r="C811">
            <v>0.1</v>
          </cell>
          <cell r="D811">
            <v>0.38</v>
          </cell>
        </row>
        <row r="812">
          <cell r="A812" t="str">
            <v>1824276100</v>
          </cell>
          <cell r="B812">
            <v>6.63</v>
          </cell>
          <cell r="C812">
            <v>2.96</v>
          </cell>
          <cell r="D812">
            <v>4.28</v>
          </cell>
        </row>
        <row r="813">
          <cell r="A813" t="str">
            <v>1824276R00</v>
          </cell>
          <cell r="B813">
            <v>6.64</v>
          </cell>
          <cell r="C813">
            <v>3.01</v>
          </cell>
          <cell r="D813">
            <v>4.33</v>
          </cell>
        </row>
        <row r="814">
          <cell r="A814" t="str">
            <v>18242781TF</v>
          </cell>
          <cell r="B814">
            <v>0.19</v>
          </cell>
          <cell r="C814">
            <v>0</v>
          </cell>
          <cell r="D814">
            <v>0</v>
          </cell>
        </row>
        <row r="815">
          <cell r="A815" t="str">
            <v>18242791TF</v>
          </cell>
          <cell r="B815">
            <v>0.19</v>
          </cell>
          <cell r="C815">
            <v>0</v>
          </cell>
          <cell r="D815">
            <v>0</v>
          </cell>
        </row>
        <row r="816">
          <cell r="A816" t="str">
            <v>18242801TF</v>
          </cell>
          <cell r="B816">
            <v>0.6</v>
          </cell>
          <cell r="C816">
            <v>0</v>
          </cell>
          <cell r="D816">
            <v>0</v>
          </cell>
        </row>
        <row r="817">
          <cell r="A817" t="str">
            <v>18242821TF</v>
          </cell>
          <cell r="B817">
            <v>1.78</v>
          </cell>
          <cell r="C817">
            <v>0</v>
          </cell>
          <cell r="D817">
            <v>0</v>
          </cell>
        </row>
        <row r="818">
          <cell r="A818" t="str">
            <v>18242831TF</v>
          </cell>
          <cell r="B818">
            <v>2.35</v>
          </cell>
          <cell r="C818">
            <v>0</v>
          </cell>
          <cell r="D818">
            <v>0</v>
          </cell>
        </row>
        <row r="819">
          <cell r="A819" t="str">
            <v>18242851TF</v>
          </cell>
          <cell r="B819">
            <v>0.31</v>
          </cell>
          <cell r="C819">
            <v>0</v>
          </cell>
          <cell r="D819">
            <v>0</v>
          </cell>
        </row>
        <row r="820">
          <cell r="A820" t="str">
            <v>18242861TF</v>
          </cell>
          <cell r="B820">
            <v>0.85</v>
          </cell>
          <cell r="C820">
            <v>0</v>
          </cell>
          <cell r="D820">
            <v>0</v>
          </cell>
        </row>
        <row r="821">
          <cell r="A821" t="str">
            <v>18242871TF</v>
          </cell>
          <cell r="B821">
            <v>1</v>
          </cell>
          <cell r="C821">
            <v>0</v>
          </cell>
          <cell r="D821">
            <v>0</v>
          </cell>
        </row>
        <row r="822">
          <cell r="A822" t="str">
            <v>18243000PF</v>
          </cell>
          <cell r="B822">
            <v>0.72</v>
          </cell>
          <cell r="C822">
            <v>0</v>
          </cell>
          <cell r="D822">
            <v>0</v>
          </cell>
        </row>
        <row r="823">
          <cell r="A823" t="str">
            <v>18243501TF</v>
          </cell>
          <cell r="B823">
            <v>0.4</v>
          </cell>
          <cell r="C823">
            <v>0</v>
          </cell>
          <cell r="D823">
            <v>0</v>
          </cell>
        </row>
        <row r="824">
          <cell r="A824" t="str">
            <v>18243511TF</v>
          </cell>
          <cell r="B824">
            <v>0.4</v>
          </cell>
          <cell r="C824">
            <v>0</v>
          </cell>
          <cell r="D824">
            <v>0</v>
          </cell>
        </row>
        <row r="825">
          <cell r="A825" t="str">
            <v>18243521TF</v>
          </cell>
          <cell r="B825">
            <v>2.0099999999999998</v>
          </cell>
          <cell r="C825">
            <v>0</v>
          </cell>
          <cell r="D825">
            <v>0</v>
          </cell>
        </row>
        <row r="826">
          <cell r="A826" t="str">
            <v>18243551TF</v>
          </cell>
          <cell r="B826">
            <v>0.52</v>
          </cell>
          <cell r="C826">
            <v>0</v>
          </cell>
          <cell r="D826">
            <v>0</v>
          </cell>
        </row>
        <row r="827">
          <cell r="A827" t="str">
            <v>18243561TF</v>
          </cell>
          <cell r="B827">
            <v>0.36</v>
          </cell>
          <cell r="C827">
            <v>0</v>
          </cell>
          <cell r="D827">
            <v>0</v>
          </cell>
        </row>
        <row r="828">
          <cell r="A828" t="str">
            <v>18243571TF</v>
          </cell>
          <cell r="B828">
            <v>0.36</v>
          </cell>
          <cell r="C828">
            <v>0</v>
          </cell>
          <cell r="D828">
            <v>0</v>
          </cell>
        </row>
        <row r="829">
          <cell r="A829" t="str">
            <v>18243581TF</v>
          </cell>
          <cell r="B829">
            <v>1.29</v>
          </cell>
          <cell r="C829">
            <v>0</v>
          </cell>
          <cell r="D829">
            <v>0</v>
          </cell>
        </row>
        <row r="830">
          <cell r="A830" t="str">
            <v>18243591TF</v>
          </cell>
          <cell r="B830">
            <v>0.98</v>
          </cell>
          <cell r="C830">
            <v>0</v>
          </cell>
          <cell r="D830">
            <v>0</v>
          </cell>
        </row>
        <row r="831">
          <cell r="A831" t="str">
            <v>18243601TF</v>
          </cell>
          <cell r="B831">
            <v>1.02</v>
          </cell>
          <cell r="C831">
            <v>0</v>
          </cell>
          <cell r="D831">
            <v>0</v>
          </cell>
        </row>
        <row r="832">
          <cell r="A832" t="str">
            <v>1824413100</v>
          </cell>
          <cell r="B832">
            <v>56.63</v>
          </cell>
          <cell r="C832">
            <v>2.0299999999999998</v>
          </cell>
          <cell r="D832">
            <v>2.72</v>
          </cell>
        </row>
        <row r="833">
          <cell r="A833" t="str">
            <v>1824414300</v>
          </cell>
          <cell r="B833">
            <v>84.48</v>
          </cell>
          <cell r="C833">
            <v>2.16</v>
          </cell>
          <cell r="D833">
            <v>2.97</v>
          </cell>
        </row>
        <row r="834">
          <cell r="A834" t="str">
            <v>18244401TF</v>
          </cell>
          <cell r="B834">
            <v>0.36</v>
          </cell>
          <cell r="C834">
            <v>0</v>
          </cell>
          <cell r="D834">
            <v>0</v>
          </cell>
        </row>
        <row r="835">
          <cell r="A835" t="str">
            <v>18244621J0</v>
          </cell>
          <cell r="B835">
            <v>0.16</v>
          </cell>
          <cell r="C835">
            <v>0.09</v>
          </cell>
          <cell r="D835">
            <v>0.2</v>
          </cell>
        </row>
        <row r="836">
          <cell r="A836" t="str">
            <v>18244631J0</v>
          </cell>
          <cell r="B836">
            <v>0.16</v>
          </cell>
          <cell r="C836">
            <v>0.02</v>
          </cell>
          <cell r="D836">
            <v>0.04</v>
          </cell>
        </row>
        <row r="837">
          <cell r="A837" t="str">
            <v>1824464100</v>
          </cell>
          <cell r="B837">
            <v>0.37</v>
          </cell>
          <cell r="C837">
            <v>0.06</v>
          </cell>
          <cell r="D837">
            <v>0.14000000000000001</v>
          </cell>
        </row>
        <row r="838">
          <cell r="A838" t="str">
            <v>1824465100</v>
          </cell>
          <cell r="B838">
            <v>0.38</v>
          </cell>
          <cell r="C838">
            <v>0.06</v>
          </cell>
          <cell r="D838">
            <v>0.13</v>
          </cell>
        </row>
        <row r="839">
          <cell r="A839" t="str">
            <v>18244991J0</v>
          </cell>
          <cell r="B839">
            <v>0.16</v>
          </cell>
          <cell r="C839">
            <v>0.11</v>
          </cell>
          <cell r="D839">
            <v>0.25</v>
          </cell>
        </row>
        <row r="840">
          <cell r="A840" t="str">
            <v>18245011J0</v>
          </cell>
          <cell r="B840">
            <v>0.23</v>
          </cell>
          <cell r="C840">
            <v>0.03</v>
          </cell>
          <cell r="D840">
            <v>0.08</v>
          </cell>
        </row>
        <row r="841">
          <cell r="A841" t="str">
            <v>1824521C00</v>
          </cell>
          <cell r="B841">
            <v>96.03</v>
          </cell>
          <cell r="C841">
            <v>0.22</v>
          </cell>
          <cell r="D841">
            <v>0.22</v>
          </cell>
        </row>
        <row r="842">
          <cell r="A842" t="str">
            <v>1824584R00</v>
          </cell>
          <cell r="B842">
            <v>1.18</v>
          </cell>
          <cell r="C842">
            <v>0</v>
          </cell>
          <cell r="D842">
            <v>0.05</v>
          </cell>
        </row>
        <row r="843">
          <cell r="A843" t="str">
            <v>1824593R70</v>
          </cell>
          <cell r="B843">
            <v>9.23</v>
          </cell>
          <cell r="C843">
            <v>0.02</v>
          </cell>
          <cell r="D843">
            <v>0.02</v>
          </cell>
        </row>
        <row r="844">
          <cell r="A844" t="str">
            <v>1824642R00</v>
          </cell>
          <cell r="B844">
            <v>8.4</v>
          </cell>
          <cell r="C844">
            <v>8.08</v>
          </cell>
          <cell r="D844">
            <v>11.8</v>
          </cell>
        </row>
        <row r="845">
          <cell r="A845" t="str">
            <v>1824656R0A</v>
          </cell>
          <cell r="B845">
            <v>6.4</v>
          </cell>
          <cell r="C845">
            <v>2.87</v>
          </cell>
          <cell r="D845">
            <v>4.43</v>
          </cell>
        </row>
        <row r="846">
          <cell r="A846" t="str">
            <v>1824713R00</v>
          </cell>
          <cell r="B846">
            <v>10.02</v>
          </cell>
          <cell r="C846">
            <v>1.45</v>
          </cell>
          <cell r="D846">
            <v>2.59</v>
          </cell>
        </row>
        <row r="847">
          <cell r="A847" t="str">
            <v>1824749100</v>
          </cell>
          <cell r="B847">
            <v>39.81</v>
          </cell>
          <cell r="C847">
            <v>0</v>
          </cell>
          <cell r="D847">
            <v>0.04</v>
          </cell>
        </row>
        <row r="848">
          <cell r="A848" t="str">
            <v>1824788100</v>
          </cell>
          <cell r="B848">
            <v>1.34</v>
          </cell>
          <cell r="C848">
            <v>0.11</v>
          </cell>
          <cell r="D848">
            <v>0.4</v>
          </cell>
        </row>
        <row r="849">
          <cell r="A849" t="str">
            <v>1824789100</v>
          </cell>
          <cell r="B849">
            <v>1.34</v>
          </cell>
          <cell r="C849">
            <v>0.11</v>
          </cell>
          <cell r="D849">
            <v>0.4</v>
          </cell>
        </row>
        <row r="850">
          <cell r="A850" t="str">
            <v>1824792C00</v>
          </cell>
          <cell r="B850">
            <v>99.7</v>
          </cell>
          <cell r="C850">
            <v>1.88</v>
          </cell>
          <cell r="D850">
            <v>2.68</v>
          </cell>
        </row>
        <row r="851">
          <cell r="A851" t="str">
            <v>1824794100</v>
          </cell>
          <cell r="B851">
            <v>0.35</v>
          </cell>
          <cell r="C851">
            <v>0.06</v>
          </cell>
          <cell r="D851">
            <v>0.14000000000000001</v>
          </cell>
        </row>
        <row r="852">
          <cell r="A852" t="str">
            <v>1824795100</v>
          </cell>
          <cell r="B852">
            <v>0.27</v>
          </cell>
          <cell r="C852">
            <v>0.06</v>
          </cell>
          <cell r="D852">
            <v>0.14000000000000001</v>
          </cell>
        </row>
        <row r="853">
          <cell r="A853" t="str">
            <v>18248061OR</v>
          </cell>
          <cell r="B853">
            <v>8.26</v>
          </cell>
          <cell r="C853">
            <v>2.97</v>
          </cell>
          <cell r="D853">
            <v>4.46</v>
          </cell>
        </row>
        <row r="854">
          <cell r="A854" t="str">
            <v>1824806ROR</v>
          </cell>
          <cell r="B854">
            <v>8.26</v>
          </cell>
          <cell r="C854">
            <v>3.01</v>
          </cell>
          <cell r="D854">
            <v>4.49</v>
          </cell>
        </row>
        <row r="855">
          <cell r="A855" t="str">
            <v>1824819R00</v>
          </cell>
          <cell r="B855">
            <v>4.09</v>
          </cell>
          <cell r="C855">
            <v>3.86</v>
          </cell>
          <cell r="D855">
            <v>6.13</v>
          </cell>
        </row>
        <row r="856">
          <cell r="A856" t="str">
            <v>18248221OR</v>
          </cell>
          <cell r="B856">
            <v>9.1</v>
          </cell>
          <cell r="C856">
            <v>3.02</v>
          </cell>
          <cell r="D856">
            <v>4.95</v>
          </cell>
        </row>
        <row r="857">
          <cell r="A857" t="str">
            <v>1824822ROR</v>
          </cell>
          <cell r="B857">
            <v>9.1</v>
          </cell>
          <cell r="C857">
            <v>3.06</v>
          </cell>
          <cell r="D857">
            <v>4.99</v>
          </cell>
        </row>
        <row r="858">
          <cell r="A858" t="str">
            <v>18248520NF</v>
          </cell>
          <cell r="B858">
            <v>0.21</v>
          </cell>
          <cell r="C858">
            <v>0</v>
          </cell>
          <cell r="D858">
            <v>0</v>
          </cell>
        </row>
        <row r="859">
          <cell r="A859" t="str">
            <v>18248521TF</v>
          </cell>
          <cell r="B859">
            <v>0.21</v>
          </cell>
          <cell r="C859">
            <v>0</v>
          </cell>
          <cell r="D859">
            <v>0</v>
          </cell>
        </row>
        <row r="860">
          <cell r="A860" t="str">
            <v>18248530NF</v>
          </cell>
          <cell r="B860">
            <v>0.56000000000000005</v>
          </cell>
          <cell r="C860">
            <v>0</v>
          </cell>
          <cell r="D860">
            <v>0</v>
          </cell>
        </row>
        <row r="861">
          <cell r="A861" t="str">
            <v>18248531J0</v>
          </cell>
          <cell r="B861">
            <v>0.04</v>
          </cell>
          <cell r="C861">
            <v>0.12</v>
          </cell>
          <cell r="D861">
            <v>0.18</v>
          </cell>
        </row>
        <row r="862">
          <cell r="A862" t="str">
            <v>18248541J0</v>
          </cell>
          <cell r="B862">
            <v>0.11</v>
          </cell>
          <cell r="C862">
            <v>0.04</v>
          </cell>
          <cell r="D862">
            <v>0.1</v>
          </cell>
        </row>
        <row r="863">
          <cell r="A863" t="str">
            <v>18248550NF</v>
          </cell>
          <cell r="B863">
            <v>0.79</v>
          </cell>
          <cell r="C863">
            <v>0</v>
          </cell>
          <cell r="D863">
            <v>0</v>
          </cell>
        </row>
        <row r="864">
          <cell r="A864" t="str">
            <v>18248551TF</v>
          </cell>
          <cell r="B864">
            <v>0.79</v>
          </cell>
          <cell r="C864">
            <v>0</v>
          </cell>
          <cell r="D864">
            <v>0</v>
          </cell>
        </row>
        <row r="865">
          <cell r="A865" t="str">
            <v>1824864R00</v>
          </cell>
          <cell r="B865">
            <v>3.53</v>
          </cell>
          <cell r="C865">
            <v>4.26</v>
          </cell>
          <cell r="D865">
            <v>4.5</v>
          </cell>
        </row>
        <row r="866">
          <cell r="A866" t="str">
            <v>1824865R00</v>
          </cell>
          <cell r="B866">
            <v>1.57</v>
          </cell>
          <cell r="C866">
            <v>1.31</v>
          </cell>
          <cell r="D866">
            <v>2.82</v>
          </cell>
        </row>
        <row r="867">
          <cell r="A867" t="str">
            <v>18248781J0</v>
          </cell>
          <cell r="B867">
            <v>0.34</v>
          </cell>
          <cell r="C867">
            <v>0.04</v>
          </cell>
          <cell r="D867">
            <v>0.11</v>
          </cell>
        </row>
        <row r="868">
          <cell r="A868" t="str">
            <v>18248810NF</v>
          </cell>
          <cell r="B868">
            <v>0.55000000000000004</v>
          </cell>
          <cell r="C868">
            <v>0</v>
          </cell>
          <cell r="D868">
            <v>0</v>
          </cell>
        </row>
        <row r="869">
          <cell r="A869" t="str">
            <v>18248811J0</v>
          </cell>
          <cell r="B869">
            <v>0.34</v>
          </cell>
          <cell r="C869">
            <v>0.04</v>
          </cell>
          <cell r="D869">
            <v>0.11</v>
          </cell>
        </row>
        <row r="870">
          <cell r="A870" t="str">
            <v>18248811TF</v>
          </cell>
          <cell r="B870">
            <v>0.55000000000000004</v>
          </cell>
          <cell r="C870">
            <v>0</v>
          </cell>
          <cell r="D870">
            <v>0</v>
          </cell>
        </row>
        <row r="871">
          <cell r="A871" t="str">
            <v>18248851TF</v>
          </cell>
          <cell r="B871">
            <v>2.97</v>
          </cell>
          <cell r="C871">
            <v>0</v>
          </cell>
          <cell r="D871">
            <v>0</v>
          </cell>
        </row>
        <row r="872">
          <cell r="A872" t="str">
            <v>18248860NF</v>
          </cell>
          <cell r="B872">
            <v>1.07</v>
          </cell>
          <cell r="C872">
            <v>0</v>
          </cell>
          <cell r="D872">
            <v>0</v>
          </cell>
        </row>
        <row r="873">
          <cell r="A873" t="str">
            <v>18248861J0</v>
          </cell>
          <cell r="B873">
            <v>0.08</v>
          </cell>
          <cell r="C873">
            <v>0.2</v>
          </cell>
          <cell r="D873">
            <v>0.3</v>
          </cell>
        </row>
        <row r="874">
          <cell r="A874" t="str">
            <v>1824899R00</v>
          </cell>
          <cell r="B874">
            <v>2.4</v>
          </cell>
          <cell r="C874">
            <v>0</v>
          </cell>
          <cell r="D874">
            <v>0.04</v>
          </cell>
        </row>
        <row r="875">
          <cell r="A875" t="str">
            <v>1824900R00</v>
          </cell>
          <cell r="B875">
            <v>12.7</v>
          </cell>
          <cell r="C875">
            <v>7.39</v>
          </cell>
          <cell r="D875">
            <v>9.26</v>
          </cell>
        </row>
        <row r="876">
          <cell r="A876" t="str">
            <v>1824926100</v>
          </cell>
          <cell r="B876">
            <v>0.22</v>
          </cell>
          <cell r="C876">
            <v>0</v>
          </cell>
          <cell r="D876">
            <v>0</v>
          </cell>
        </row>
        <row r="877">
          <cell r="A877" t="str">
            <v>1824931R00</v>
          </cell>
          <cell r="B877">
            <v>5.95</v>
          </cell>
          <cell r="C877">
            <v>2.4300000000000002</v>
          </cell>
          <cell r="D877">
            <v>3.11</v>
          </cell>
        </row>
        <row r="878">
          <cell r="A878" t="str">
            <v>1824940R00</v>
          </cell>
          <cell r="B878">
            <v>10.47</v>
          </cell>
          <cell r="C878">
            <v>3.67</v>
          </cell>
          <cell r="D878">
            <v>5.2</v>
          </cell>
        </row>
        <row r="879">
          <cell r="A879" t="str">
            <v>1824955R00</v>
          </cell>
          <cell r="B879">
            <v>102.02</v>
          </cell>
          <cell r="C879">
            <v>5.13</v>
          </cell>
          <cell r="D879">
            <v>6.05</v>
          </cell>
        </row>
        <row r="880">
          <cell r="A880" t="str">
            <v>1824955T00</v>
          </cell>
          <cell r="B880">
            <v>102.02</v>
          </cell>
          <cell r="C880">
            <v>5.13</v>
          </cell>
          <cell r="D880">
            <v>6.05</v>
          </cell>
        </row>
        <row r="881">
          <cell r="A881" t="str">
            <v>1825398100</v>
          </cell>
          <cell r="B881">
            <v>2.5099999999999998</v>
          </cell>
          <cell r="C881">
            <v>0</v>
          </cell>
          <cell r="D881">
            <v>0</v>
          </cell>
        </row>
        <row r="882">
          <cell r="A882" t="str">
            <v>1825401100</v>
          </cell>
          <cell r="B882">
            <v>2</v>
          </cell>
          <cell r="C882">
            <v>0</v>
          </cell>
          <cell r="D882">
            <v>0</v>
          </cell>
        </row>
        <row r="883">
          <cell r="A883" t="str">
            <v>18257250NF</v>
          </cell>
          <cell r="B883">
            <v>13.58</v>
          </cell>
          <cell r="C883">
            <v>0</v>
          </cell>
          <cell r="D883">
            <v>0</v>
          </cell>
        </row>
        <row r="884">
          <cell r="A884" t="str">
            <v>18257250VF</v>
          </cell>
          <cell r="B884">
            <v>13.58</v>
          </cell>
          <cell r="C884">
            <v>0</v>
          </cell>
          <cell r="D884">
            <v>0</v>
          </cell>
        </row>
        <row r="885">
          <cell r="A885" t="str">
            <v>1827050R00</v>
          </cell>
          <cell r="B885">
            <v>54.93</v>
          </cell>
          <cell r="C885">
            <v>2.72</v>
          </cell>
          <cell r="D885">
            <v>4.9800000000000004</v>
          </cell>
        </row>
        <row r="886">
          <cell r="A886" t="str">
            <v>1827050T00</v>
          </cell>
          <cell r="B886">
            <v>54.92</v>
          </cell>
          <cell r="C886">
            <v>2.7</v>
          </cell>
          <cell r="D886">
            <v>4.9400000000000004</v>
          </cell>
        </row>
        <row r="887">
          <cell r="A887" t="str">
            <v>18270661J0</v>
          </cell>
          <cell r="B887">
            <v>0.19</v>
          </cell>
          <cell r="C887">
            <v>0.12</v>
          </cell>
          <cell r="D887">
            <v>0.21</v>
          </cell>
        </row>
        <row r="888">
          <cell r="A888" t="str">
            <v>18270681J0</v>
          </cell>
          <cell r="B888">
            <v>0.33</v>
          </cell>
          <cell r="C888">
            <v>0.06</v>
          </cell>
          <cell r="D888">
            <v>0.13</v>
          </cell>
        </row>
        <row r="889">
          <cell r="A889" t="str">
            <v>1827076100</v>
          </cell>
          <cell r="B889">
            <v>129.69</v>
          </cell>
          <cell r="C889">
            <v>0.02</v>
          </cell>
          <cell r="D889">
            <v>0.02</v>
          </cell>
        </row>
        <row r="890">
          <cell r="A890" t="str">
            <v>1827076R00</v>
          </cell>
          <cell r="B890">
            <v>86.95</v>
          </cell>
          <cell r="C890">
            <v>4.47</v>
          </cell>
          <cell r="D890">
            <v>19.010000000000002</v>
          </cell>
        </row>
        <row r="891">
          <cell r="A891" t="str">
            <v>18270781J0</v>
          </cell>
          <cell r="B891">
            <v>0.63</v>
          </cell>
          <cell r="C891">
            <v>0.05</v>
          </cell>
          <cell r="D891">
            <v>0.13</v>
          </cell>
        </row>
        <row r="892">
          <cell r="A892" t="str">
            <v>18270970PF</v>
          </cell>
          <cell r="B892">
            <v>0.47</v>
          </cell>
          <cell r="C892">
            <v>0</v>
          </cell>
          <cell r="D892">
            <v>0</v>
          </cell>
        </row>
        <row r="893">
          <cell r="A893" t="str">
            <v>18270980PF</v>
          </cell>
          <cell r="B893">
            <v>0.73</v>
          </cell>
          <cell r="C893">
            <v>0</v>
          </cell>
          <cell r="D893">
            <v>0</v>
          </cell>
        </row>
        <row r="894">
          <cell r="A894" t="str">
            <v>1827120R00</v>
          </cell>
          <cell r="B894">
            <v>6.9</v>
          </cell>
          <cell r="C894">
            <v>2.87</v>
          </cell>
          <cell r="D894">
            <v>4.29</v>
          </cell>
        </row>
        <row r="895">
          <cell r="A895" t="str">
            <v>18271221J0</v>
          </cell>
          <cell r="B895">
            <v>0.14000000000000001</v>
          </cell>
          <cell r="C895">
            <v>0.02</v>
          </cell>
          <cell r="D895">
            <v>0.05</v>
          </cell>
        </row>
        <row r="896">
          <cell r="A896" t="str">
            <v>1827144R00</v>
          </cell>
          <cell r="B896">
            <v>4.18</v>
          </cell>
          <cell r="C896">
            <v>2.02</v>
          </cell>
          <cell r="D896">
            <v>4.24</v>
          </cell>
        </row>
        <row r="897">
          <cell r="A897" t="str">
            <v>1827147R00</v>
          </cell>
          <cell r="B897">
            <v>3.95</v>
          </cell>
          <cell r="C897">
            <v>2.2799999999999998</v>
          </cell>
          <cell r="D897">
            <v>3.74</v>
          </cell>
        </row>
        <row r="898">
          <cell r="A898" t="str">
            <v>1827147T00</v>
          </cell>
          <cell r="B898">
            <v>3.95</v>
          </cell>
          <cell r="C898">
            <v>2.2799999999999998</v>
          </cell>
          <cell r="D898">
            <v>3.74</v>
          </cell>
        </row>
        <row r="899">
          <cell r="A899" t="str">
            <v>18271501TF</v>
          </cell>
          <cell r="B899">
            <v>0.13</v>
          </cell>
          <cell r="C899">
            <v>0</v>
          </cell>
          <cell r="D899">
            <v>0</v>
          </cell>
        </row>
        <row r="900">
          <cell r="A900" t="str">
            <v>1827152100</v>
          </cell>
          <cell r="B900">
            <v>0.64</v>
          </cell>
          <cell r="C900">
            <v>0</v>
          </cell>
          <cell r="D900">
            <v>0.03</v>
          </cell>
        </row>
        <row r="901">
          <cell r="A901" t="str">
            <v>18271521TF</v>
          </cell>
          <cell r="B901">
            <v>0.69</v>
          </cell>
          <cell r="C901">
            <v>0</v>
          </cell>
          <cell r="D901">
            <v>0</v>
          </cell>
        </row>
        <row r="902">
          <cell r="A902" t="str">
            <v>1827152R00</v>
          </cell>
          <cell r="B902">
            <v>0.63</v>
          </cell>
          <cell r="C902">
            <v>0</v>
          </cell>
          <cell r="D902">
            <v>0.03</v>
          </cell>
        </row>
        <row r="903">
          <cell r="A903" t="str">
            <v>18271620NF</v>
          </cell>
          <cell r="B903">
            <v>0.65</v>
          </cell>
          <cell r="C903">
            <v>0</v>
          </cell>
          <cell r="D903">
            <v>0</v>
          </cell>
        </row>
        <row r="904">
          <cell r="A904" t="str">
            <v>1827162100</v>
          </cell>
          <cell r="B904">
            <v>0.35</v>
          </cell>
          <cell r="C904">
            <v>0.14000000000000001</v>
          </cell>
          <cell r="D904">
            <v>0.15</v>
          </cell>
        </row>
        <row r="905">
          <cell r="A905" t="str">
            <v>18271621J0</v>
          </cell>
          <cell r="B905">
            <v>0.28999999999999998</v>
          </cell>
          <cell r="C905">
            <v>0.01</v>
          </cell>
          <cell r="D905">
            <v>0.03</v>
          </cell>
        </row>
        <row r="906">
          <cell r="A906" t="str">
            <v>18271621TF</v>
          </cell>
          <cell r="B906">
            <v>0.65</v>
          </cell>
          <cell r="C906">
            <v>0</v>
          </cell>
          <cell r="D906">
            <v>0</v>
          </cell>
        </row>
        <row r="907">
          <cell r="A907" t="str">
            <v>18271630NF</v>
          </cell>
          <cell r="B907">
            <v>0.65</v>
          </cell>
          <cell r="C907">
            <v>0</v>
          </cell>
          <cell r="D907">
            <v>0</v>
          </cell>
        </row>
        <row r="908">
          <cell r="A908" t="str">
            <v>18271631TF</v>
          </cell>
          <cell r="B908">
            <v>0.65</v>
          </cell>
          <cell r="C908">
            <v>0</v>
          </cell>
          <cell r="D908">
            <v>0</v>
          </cell>
        </row>
        <row r="909">
          <cell r="A909" t="str">
            <v>18271640NF</v>
          </cell>
          <cell r="B909">
            <v>0.65</v>
          </cell>
          <cell r="C909">
            <v>0</v>
          </cell>
          <cell r="D909">
            <v>0</v>
          </cell>
        </row>
        <row r="910">
          <cell r="A910" t="str">
            <v>1827164100</v>
          </cell>
          <cell r="B910">
            <v>0.35</v>
          </cell>
          <cell r="C910">
            <v>0.14000000000000001</v>
          </cell>
          <cell r="D910">
            <v>0.15</v>
          </cell>
        </row>
        <row r="911">
          <cell r="A911" t="str">
            <v>18271641J0</v>
          </cell>
          <cell r="B911">
            <v>0.28999999999999998</v>
          </cell>
          <cell r="C911">
            <v>0.01</v>
          </cell>
          <cell r="D911">
            <v>0.03</v>
          </cell>
        </row>
        <row r="912">
          <cell r="A912" t="str">
            <v>18271641TF</v>
          </cell>
          <cell r="B912">
            <v>0.65</v>
          </cell>
          <cell r="C912">
            <v>0</v>
          </cell>
          <cell r="D912">
            <v>0</v>
          </cell>
        </row>
        <row r="913">
          <cell r="A913" t="str">
            <v>18271651TF</v>
          </cell>
          <cell r="B913">
            <v>1.29</v>
          </cell>
          <cell r="C913">
            <v>0</v>
          </cell>
          <cell r="D913">
            <v>0</v>
          </cell>
        </row>
        <row r="914">
          <cell r="A914" t="str">
            <v>18271661TF</v>
          </cell>
          <cell r="B914">
            <v>0.68</v>
          </cell>
          <cell r="C914">
            <v>0</v>
          </cell>
          <cell r="D914">
            <v>0</v>
          </cell>
        </row>
        <row r="915">
          <cell r="A915" t="str">
            <v>18271701NF</v>
          </cell>
          <cell r="B915">
            <v>0.5</v>
          </cell>
          <cell r="C915">
            <v>0</v>
          </cell>
          <cell r="D915">
            <v>0</v>
          </cell>
        </row>
        <row r="916">
          <cell r="A916" t="str">
            <v>18271730PF</v>
          </cell>
          <cell r="B916">
            <v>0.35</v>
          </cell>
          <cell r="C916">
            <v>0</v>
          </cell>
          <cell r="D916">
            <v>0</v>
          </cell>
        </row>
        <row r="917">
          <cell r="A917" t="str">
            <v>18271731J0</v>
          </cell>
          <cell r="B917">
            <v>0.16</v>
          </cell>
          <cell r="C917">
            <v>0.02</v>
          </cell>
          <cell r="D917">
            <v>0.04</v>
          </cell>
        </row>
        <row r="918">
          <cell r="A918" t="str">
            <v>18271731TF</v>
          </cell>
          <cell r="B918">
            <v>0.71</v>
          </cell>
          <cell r="C918">
            <v>0</v>
          </cell>
          <cell r="D918">
            <v>0</v>
          </cell>
        </row>
        <row r="919">
          <cell r="A919" t="str">
            <v>18271830NF</v>
          </cell>
          <cell r="B919">
            <v>1.32</v>
          </cell>
          <cell r="C919">
            <v>0</v>
          </cell>
          <cell r="D919">
            <v>0</v>
          </cell>
        </row>
        <row r="920">
          <cell r="A920" t="str">
            <v>18271831TF</v>
          </cell>
          <cell r="B920">
            <v>1.32</v>
          </cell>
          <cell r="C920">
            <v>0</v>
          </cell>
          <cell r="D920">
            <v>0</v>
          </cell>
        </row>
        <row r="921">
          <cell r="A921" t="str">
            <v>18271881TF</v>
          </cell>
          <cell r="B921">
            <v>1.2</v>
          </cell>
          <cell r="C921">
            <v>0</v>
          </cell>
          <cell r="D921">
            <v>0</v>
          </cell>
        </row>
        <row r="922">
          <cell r="A922" t="str">
            <v>1827213100</v>
          </cell>
          <cell r="B922">
            <v>0.51</v>
          </cell>
          <cell r="C922">
            <v>7.0000000000000007E-2</v>
          </cell>
          <cell r="D922">
            <v>0.17</v>
          </cell>
        </row>
        <row r="923">
          <cell r="A923" t="str">
            <v>1827231R00</v>
          </cell>
          <cell r="B923">
            <v>3.81</v>
          </cell>
          <cell r="C923">
            <v>3.23</v>
          </cell>
          <cell r="D923">
            <v>5.39</v>
          </cell>
        </row>
        <row r="924">
          <cell r="A924" t="str">
            <v>1827231T00</v>
          </cell>
          <cell r="B924">
            <v>3.81</v>
          </cell>
          <cell r="C924">
            <v>3.23</v>
          </cell>
          <cell r="D924">
            <v>5.39</v>
          </cell>
        </row>
        <row r="925">
          <cell r="A925" t="str">
            <v>18272561J0</v>
          </cell>
          <cell r="B925">
            <v>0.15</v>
          </cell>
          <cell r="C925">
            <v>0.11</v>
          </cell>
          <cell r="D925">
            <v>0.16</v>
          </cell>
        </row>
        <row r="926">
          <cell r="A926" t="str">
            <v>1827274R00</v>
          </cell>
          <cell r="B926">
            <v>101.9</v>
          </cell>
          <cell r="C926">
            <v>5.0599999999999996</v>
          </cell>
          <cell r="D926">
            <v>6.11</v>
          </cell>
        </row>
        <row r="927">
          <cell r="A927" t="str">
            <v>1827274T00</v>
          </cell>
          <cell r="B927">
            <v>101.87</v>
          </cell>
          <cell r="C927">
            <v>5.0599999999999996</v>
          </cell>
          <cell r="D927">
            <v>6.11</v>
          </cell>
        </row>
        <row r="928">
          <cell r="A928" t="str">
            <v>1827331200</v>
          </cell>
          <cell r="B928">
            <v>187.78</v>
          </cell>
          <cell r="C928">
            <v>6.15</v>
          </cell>
          <cell r="D928">
            <v>8.11</v>
          </cell>
        </row>
        <row r="929">
          <cell r="A929" t="str">
            <v>1827346100</v>
          </cell>
          <cell r="B929">
            <v>0.2</v>
          </cell>
          <cell r="C929">
            <v>0.06</v>
          </cell>
          <cell r="D929">
            <v>0.13</v>
          </cell>
        </row>
        <row r="930">
          <cell r="A930" t="str">
            <v>1827371100</v>
          </cell>
          <cell r="B930">
            <v>0.78</v>
          </cell>
          <cell r="C930">
            <v>7.0000000000000007E-2</v>
          </cell>
          <cell r="D930">
            <v>0.34</v>
          </cell>
        </row>
        <row r="931">
          <cell r="A931" t="str">
            <v>1827372100</v>
          </cell>
          <cell r="B931">
            <v>0.78</v>
          </cell>
          <cell r="C931">
            <v>7.0000000000000007E-2</v>
          </cell>
          <cell r="D931">
            <v>0.34</v>
          </cell>
        </row>
        <row r="932">
          <cell r="A932" t="str">
            <v>1827382R00</v>
          </cell>
          <cell r="B932">
            <v>10.49</v>
          </cell>
          <cell r="C932">
            <v>1.86</v>
          </cell>
          <cell r="D932">
            <v>3.33</v>
          </cell>
        </row>
        <row r="933">
          <cell r="A933" t="str">
            <v>1827382T00</v>
          </cell>
          <cell r="B933">
            <v>10.49</v>
          </cell>
          <cell r="C933">
            <v>1.86</v>
          </cell>
          <cell r="D933">
            <v>3.33</v>
          </cell>
        </row>
        <row r="934">
          <cell r="A934" t="str">
            <v>1827390C00</v>
          </cell>
          <cell r="B934">
            <v>5.04</v>
          </cell>
          <cell r="C934">
            <v>4.29</v>
          </cell>
          <cell r="D934">
            <v>4.8600000000000003</v>
          </cell>
        </row>
        <row r="935">
          <cell r="A935" t="str">
            <v>1827409100</v>
          </cell>
          <cell r="B935">
            <v>7.01</v>
          </cell>
          <cell r="C935">
            <v>2.88</v>
          </cell>
          <cell r="D935">
            <v>4.28</v>
          </cell>
        </row>
        <row r="936">
          <cell r="A936" t="str">
            <v>1827409R00</v>
          </cell>
          <cell r="B936">
            <v>7.01</v>
          </cell>
          <cell r="C936">
            <v>2.91</v>
          </cell>
          <cell r="D936">
            <v>4.33</v>
          </cell>
        </row>
        <row r="937">
          <cell r="A937" t="str">
            <v>18274131J0</v>
          </cell>
          <cell r="B937">
            <v>0.81</v>
          </cell>
          <cell r="C937">
            <v>0.1</v>
          </cell>
          <cell r="D937">
            <v>0.38</v>
          </cell>
        </row>
        <row r="938">
          <cell r="A938" t="str">
            <v>18274141J0</v>
          </cell>
          <cell r="B938">
            <v>0.81</v>
          </cell>
          <cell r="C938">
            <v>0.1</v>
          </cell>
          <cell r="D938">
            <v>0.38</v>
          </cell>
        </row>
        <row r="939">
          <cell r="A939" t="str">
            <v>18274160NF</v>
          </cell>
          <cell r="B939">
            <v>1.66</v>
          </cell>
          <cell r="C939">
            <v>0</v>
          </cell>
          <cell r="D939">
            <v>0</v>
          </cell>
        </row>
        <row r="940">
          <cell r="A940" t="str">
            <v>18274161J0</v>
          </cell>
          <cell r="B940">
            <v>0.79</v>
          </cell>
          <cell r="C940">
            <v>0.1</v>
          </cell>
          <cell r="D940">
            <v>0.38</v>
          </cell>
        </row>
        <row r="941">
          <cell r="A941" t="str">
            <v>18274170NF</v>
          </cell>
          <cell r="B941">
            <v>1.66</v>
          </cell>
          <cell r="C941">
            <v>0</v>
          </cell>
          <cell r="D941">
            <v>0</v>
          </cell>
        </row>
        <row r="942">
          <cell r="A942" t="str">
            <v>18274171J0</v>
          </cell>
          <cell r="B942">
            <v>0.79</v>
          </cell>
          <cell r="C942">
            <v>0.1</v>
          </cell>
          <cell r="D942">
            <v>0.38</v>
          </cell>
        </row>
        <row r="943">
          <cell r="A943" t="str">
            <v>1827422R00</v>
          </cell>
          <cell r="B943">
            <v>73.37</v>
          </cell>
          <cell r="C943">
            <v>3.72</v>
          </cell>
          <cell r="D943">
            <v>12.88</v>
          </cell>
        </row>
        <row r="944">
          <cell r="A944" t="str">
            <v>1827432100</v>
          </cell>
          <cell r="B944">
            <v>4.6399999999999997</v>
          </cell>
          <cell r="C944">
            <v>1.97</v>
          </cell>
          <cell r="D944">
            <v>4.0999999999999996</v>
          </cell>
        </row>
        <row r="945">
          <cell r="A945" t="str">
            <v>1827436100</v>
          </cell>
          <cell r="B945">
            <v>1.02</v>
          </cell>
          <cell r="C945">
            <v>0.1</v>
          </cell>
          <cell r="D945">
            <v>0.38</v>
          </cell>
        </row>
        <row r="946">
          <cell r="A946" t="str">
            <v>1827437100</v>
          </cell>
          <cell r="B946">
            <v>1.02</v>
          </cell>
          <cell r="C946">
            <v>0.1</v>
          </cell>
          <cell r="D946">
            <v>0.38</v>
          </cell>
        </row>
        <row r="947">
          <cell r="A947" t="str">
            <v>1827454R00</v>
          </cell>
          <cell r="B947">
            <v>7.55</v>
          </cell>
          <cell r="C947">
            <v>3.82</v>
          </cell>
          <cell r="D947">
            <v>6.14</v>
          </cell>
        </row>
        <row r="948">
          <cell r="A948" t="str">
            <v>18274790NF</v>
          </cell>
          <cell r="B948">
            <v>1.66</v>
          </cell>
          <cell r="C948">
            <v>0</v>
          </cell>
          <cell r="D948">
            <v>0</v>
          </cell>
        </row>
        <row r="949">
          <cell r="A949" t="str">
            <v>1827542100</v>
          </cell>
          <cell r="B949">
            <v>127.38</v>
          </cell>
          <cell r="C949">
            <v>0.02</v>
          </cell>
          <cell r="D949">
            <v>0.02</v>
          </cell>
        </row>
        <row r="950">
          <cell r="A950" t="str">
            <v>1827542R00</v>
          </cell>
          <cell r="B950">
            <v>83.56</v>
          </cell>
          <cell r="C950">
            <v>4.5</v>
          </cell>
          <cell r="D950">
            <v>20.16</v>
          </cell>
        </row>
        <row r="951">
          <cell r="A951" t="str">
            <v>1827556S00</v>
          </cell>
          <cell r="B951">
            <v>4.04</v>
          </cell>
          <cell r="C951">
            <v>2.4500000000000002</v>
          </cell>
          <cell r="D951">
            <v>4.2</v>
          </cell>
        </row>
        <row r="952">
          <cell r="A952" t="str">
            <v>1827567R00</v>
          </cell>
          <cell r="B952">
            <v>37.340000000000003</v>
          </cell>
          <cell r="C952">
            <v>0.73</v>
          </cell>
          <cell r="D952">
            <v>0.95</v>
          </cell>
        </row>
        <row r="953">
          <cell r="A953" t="str">
            <v>1827586R00</v>
          </cell>
          <cell r="B953">
            <v>85.29</v>
          </cell>
          <cell r="C953">
            <v>2.67</v>
          </cell>
          <cell r="D953">
            <v>3.55</v>
          </cell>
        </row>
        <row r="954">
          <cell r="A954" t="str">
            <v>1827603100</v>
          </cell>
          <cell r="B954">
            <v>13.69</v>
          </cell>
          <cell r="C954">
            <v>3.42</v>
          </cell>
          <cell r="D954">
            <v>5.09</v>
          </cell>
        </row>
        <row r="955">
          <cell r="A955" t="str">
            <v>1827603R00</v>
          </cell>
          <cell r="B955">
            <v>13.69</v>
          </cell>
          <cell r="C955">
            <v>3.46</v>
          </cell>
          <cell r="D955">
            <v>5.13</v>
          </cell>
        </row>
        <row r="956">
          <cell r="A956" t="str">
            <v>18276041TF</v>
          </cell>
          <cell r="B956">
            <v>5.49</v>
          </cell>
          <cell r="C956">
            <v>0</v>
          </cell>
          <cell r="D956">
            <v>0</v>
          </cell>
        </row>
        <row r="957">
          <cell r="A957" t="str">
            <v>1827707R00</v>
          </cell>
          <cell r="B957">
            <v>39.26</v>
          </cell>
          <cell r="C957">
            <v>3.08</v>
          </cell>
          <cell r="D957">
            <v>5.74</v>
          </cell>
        </row>
        <row r="958">
          <cell r="A958" t="str">
            <v>1827791R00</v>
          </cell>
          <cell r="B958">
            <v>43.71</v>
          </cell>
          <cell r="C958">
            <v>2.2799999999999998</v>
          </cell>
          <cell r="D958">
            <v>3.92</v>
          </cell>
        </row>
        <row r="959">
          <cell r="A959" t="str">
            <v>1827791T00</v>
          </cell>
          <cell r="B959">
            <v>43.56</v>
          </cell>
          <cell r="C959">
            <v>2.2799999999999998</v>
          </cell>
          <cell r="D959">
            <v>3.92</v>
          </cell>
        </row>
        <row r="960">
          <cell r="A960" t="str">
            <v>1827806R00</v>
          </cell>
          <cell r="B960">
            <v>43.33</v>
          </cell>
          <cell r="C960">
            <v>4.12</v>
          </cell>
          <cell r="D960">
            <v>8.43</v>
          </cell>
        </row>
        <row r="961">
          <cell r="A961" t="str">
            <v>1827824R00</v>
          </cell>
          <cell r="B961">
            <v>4.24</v>
          </cell>
          <cell r="C961">
            <v>0.04</v>
          </cell>
          <cell r="D961">
            <v>0.04</v>
          </cell>
        </row>
        <row r="962">
          <cell r="A962" t="str">
            <v>1827834100</v>
          </cell>
          <cell r="B962">
            <v>18.87</v>
          </cell>
          <cell r="C962">
            <v>5.05</v>
          </cell>
          <cell r="D962">
            <v>7.67</v>
          </cell>
        </row>
        <row r="963">
          <cell r="A963" t="str">
            <v>1827834R00</v>
          </cell>
          <cell r="B963">
            <v>18.87</v>
          </cell>
          <cell r="C963">
            <v>5.09</v>
          </cell>
          <cell r="D963">
            <v>7.72</v>
          </cell>
        </row>
        <row r="964">
          <cell r="A964" t="str">
            <v>1827862T00</v>
          </cell>
          <cell r="B964">
            <v>23.69</v>
          </cell>
          <cell r="C964">
            <v>4.09</v>
          </cell>
          <cell r="D964">
            <v>4.84</v>
          </cell>
        </row>
        <row r="965">
          <cell r="A965" t="str">
            <v>1827943R00</v>
          </cell>
          <cell r="B965">
            <v>39.72</v>
          </cell>
          <cell r="C965">
            <v>2.72</v>
          </cell>
          <cell r="D965">
            <v>3.68</v>
          </cell>
        </row>
        <row r="966">
          <cell r="A966" t="str">
            <v>1827980R00</v>
          </cell>
          <cell r="B966">
            <v>7.29</v>
          </cell>
          <cell r="C966">
            <v>5.0599999999999996</v>
          </cell>
          <cell r="D966">
            <v>7.05</v>
          </cell>
        </row>
        <row r="967">
          <cell r="A967" t="str">
            <v>1827993R00</v>
          </cell>
          <cell r="B967">
            <v>8.9</v>
          </cell>
          <cell r="C967">
            <v>3.62</v>
          </cell>
          <cell r="D967">
            <v>5.98</v>
          </cell>
        </row>
        <row r="968">
          <cell r="A968" t="str">
            <v>1827993T00</v>
          </cell>
          <cell r="B968">
            <v>8.9</v>
          </cell>
          <cell r="C968">
            <v>3.62</v>
          </cell>
          <cell r="D968">
            <v>5.98</v>
          </cell>
        </row>
        <row r="969">
          <cell r="A969" t="str">
            <v>18281530MF</v>
          </cell>
          <cell r="B969">
            <v>16.63</v>
          </cell>
          <cell r="C969">
            <v>0</v>
          </cell>
          <cell r="D969">
            <v>0</v>
          </cell>
        </row>
        <row r="970">
          <cell r="A970" t="str">
            <v>18282401J0</v>
          </cell>
          <cell r="B970">
            <v>0.68</v>
          </cell>
          <cell r="C970">
            <v>7.0000000000000007E-2</v>
          </cell>
          <cell r="D970">
            <v>0.17</v>
          </cell>
        </row>
        <row r="971">
          <cell r="A971" t="str">
            <v>18282411J0</v>
          </cell>
          <cell r="B971">
            <v>0.23</v>
          </cell>
          <cell r="C971">
            <v>0.05</v>
          </cell>
          <cell r="D971">
            <v>0.11</v>
          </cell>
        </row>
        <row r="972">
          <cell r="A972" t="str">
            <v>18282421J0</v>
          </cell>
          <cell r="B972">
            <v>0.72</v>
          </cell>
          <cell r="C972">
            <v>0.08</v>
          </cell>
          <cell r="D972">
            <v>0.17</v>
          </cell>
        </row>
        <row r="973">
          <cell r="A973" t="str">
            <v>18282841J0</v>
          </cell>
          <cell r="B973">
            <v>0.22</v>
          </cell>
          <cell r="C973">
            <v>0.05</v>
          </cell>
          <cell r="D973">
            <v>0.12</v>
          </cell>
        </row>
        <row r="974">
          <cell r="A974" t="str">
            <v>18282861J0</v>
          </cell>
          <cell r="B974">
            <v>0.14000000000000001</v>
          </cell>
          <cell r="C974">
            <v>0.01</v>
          </cell>
          <cell r="D974">
            <v>0.03</v>
          </cell>
        </row>
        <row r="975">
          <cell r="A975" t="str">
            <v>18282881J0</v>
          </cell>
          <cell r="B975">
            <v>0.14000000000000001</v>
          </cell>
          <cell r="C975">
            <v>0.01</v>
          </cell>
          <cell r="D975">
            <v>0.03</v>
          </cell>
        </row>
        <row r="976">
          <cell r="A976" t="str">
            <v>18282891J0</v>
          </cell>
          <cell r="B976">
            <v>0.33</v>
          </cell>
          <cell r="C976">
            <v>7.0000000000000007E-2</v>
          </cell>
          <cell r="D976">
            <v>0.16</v>
          </cell>
        </row>
        <row r="977">
          <cell r="A977" t="str">
            <v>18282901J0</v>
          </cell>
          <cell r="B977">
            <v>0.36</v>
          </cell>
          <cell r="C977">
            <v>0.13</v>
          </cell>
          <cell r="D977">
            <v>0.25</v>
          </cell>
        </row>
        <row r="978">
          <cell r="A978" t="str">
            <v>18282961J0</v>
          </cell>
          <cell r="B978">
            <v>0.18</v>
          </cell>
          <cell r="C978">
            <v>0.11</v>
          </cell>
          <cell r="D978">
            <v>0.16</v>
          </cell>
        </row>
        <row r="979">
          <cell r="A979" t="str">
            <v>18283380NF</v>
          </cell>
          <cell r="B979">
            <v>20.73</v>
          </cell>
          <cell r="C979">
            <v>0</v>
          </cell>
          <cell r="D979">
            <v>0</v>
          </cell>
        </row>
        <row r="980">
          <cell r="A980" t="str">
            <v>18283380VF</v>
          </cell>
          <cell r="B980">
            <v>20.45</v>
          </cell>
          <cell r="C980">
            <v>0</v>
          </cell>
          <cell r="D980">
            <v>0</v>
          </cell>
        </row>
        <row r="981">
          <cell r="A981" t="str">
            <v>1828373R00</v>
          </cell>
          <cell r="B981">
            <v>9.3699999999999992</v>
          </cell>
          <cell r="C981">
            <v>4.57</v>
          </cell>
          <cell r="D981">
            <v>6.61</v>
          </cell>
        </row>
        <row r="982">
          <cell r="A982" t="str">
            <v>1828379R00</v>
          </cell>
          <cell r="B982">
            <v>11.87</v>
          </cell>
          <cell r="C982">
            <v>2.44</v>
          </cell>
          <cell r="D982">
            <v>4.28</v>
          </cell>
        </row>
        <row r="983">
          <cell r="A983" t="str">
            <v>1828385100</v>
          </cell>
          <cell r="B983">
            <v>44.63</v>
          </cell>
          <cell r="C983">
            <v>2.0299999999999998</v>
          </cell>
          <cell r="D983">
            <v>2.72</v>
          </cell>
        </row>
        <row r="984">
          <cell r="A984" t="str">
            <v>1828449100</v>
          </cell>
          <cell r="B984">
            <v>0.42</v>
          </cell>
          <cell r="C984">
            <v>0.05</v>
          </cell>
          <cell r="D984">
            <v>0.12</v>
          </cell>
        </row>
        <row r="985">
          <cell r="A985" t="str">
            <v>1828518R00</v>
          </cell>
          <cell r="B985">
            <v>8.2100000000000009</v>
          </cell>
          <cell r="C985">
            <v>5.6</v>
          </cell>
          <cell r="D985">
            <v>7.66</v>
          </cell>
        </row>
        <row r="986">
          <cell r="A986" t="str">
            <v>18285810MF</v>
          </cell>
          <cell r="B986">
            <v>12.46</v>
          </cell>
          <cell r="C986">
            <v>0</v>
          </cell>
          <cell r="D986">
            <v>0</v>
          </cell>
        </row>
        <row r="987">
          <cell r="A987" t="str">
            <v>18285840MF</v>
          </cell>
          <cell r="B987">
            <v>7.59</v>
          </cell>
          <cell r="C987">
            <v>0</v>
          </cell>
          <cell r="D987">
            <v>0</v>
          </cell>
        </row>
        <row r="988">
          <cell r="A988" t="str">
            <v>1828640100</v>
          </cell>
          <cell r="B988">
            <v>37.22</v>
          </cell>
          <cell r="C988">
            <v>0</v>
          </cell>
          <cell r="D988">
            <v>0</v>
          </cell>
        </row>
        <row r="989">
          <cell r="A989" t="str">
            <v>18286480PF</v>
          </cell>
          <cell r="B989">
            <v>0.46</v>
          </cell>
          <cell r="C989">
            <v>0</v>
          </cell>
          <cell r="D989">
            <v>0</v>
          </cell>
        </row>
        <row r="990">
          <cell r="A990" t="str">
            <v>1828653100</v>
          </cell>
          <cell r="B990">
            <v>1.91</v>
          </cell>
          <cell r="C990">
            <v>0</v>
          </cell>
          <cell r="D990">
            <v>0</v>
          </cell>
        </row>
        <row r="991">
          <cell r="A991" t="str">
            <v>1828657170</v>
          </cell>
          <cell r="B991">
            <v>108.55</v>
          </cell>
          <cell r="C991">
            <v>1.08</v>
          </cell>
          <cell r="D991">
            <v>0.97</v>
          </cell>
        </row>
        <row r="992">
          <cell r="A992" t="str">
            <v>1828657C70</v>
          </cell>
          <cell r="B992">
            <v>108.55</v>
          </cell>
          <cell r="C992">
            <v>0.02</v>
          </cell>
          <cell r="D992">
            <v>0.02</v>
          </cell>
        </row>
        <row r="993">
          <cell r="A993" t="str">
            <v>1828686100</v>
          </cell>
          <cell r="B993">
            <v>1.26</v>
          </cell>
          <cell r="C993">
            <v>0</v>
          </cell>
          <cell r="D993">
            <v>7.0000000000000007E-2</v>
          </cell>
        </row>
        <row r="994">
          <cell r="A994" t="str">
            <v>1828686R00</v>
          </cell>
          <cell r="B994">
            <v>1.26</v>
          </cell>
          <cell r="C994">
            <v>0</v>
          </cell>
          <cell r="D994">
            <v>7.0000000000000007E-2</v>
          </cell>
        </row>
        <row r="995">
          <cell r="A995" t="str">
            <v>1828702R00</v>
          </cell>
          <cell r="B995">
            <v>20.47</v>
          </cell>
          <cell r="C995">
            <v>11.16</v>
          </cell>
          <cell r="D995">
            <v>13.93</v>
          </cell>
        </row>
        <row r="996">
          <cell r="A996" t="str">
            <v>1828703R00</v>
          </cell>
          <cell r="B996">
            <v>23.56</v>
          </cell>
          <cell r="C996">
            <v>12.72</v>
          </cell>
          <cell r="D996">
            <v>16.18</v>
          </cell>
        </row>
        <row r="997">
          <cell r="A997" t="str">
            <v>1828724100</v>
          </cell>
          <cell r="B997">
            <v>1.7</v>
          </cell>
          <cell r="C997">
            <v>0</v>
          </cell>
          <cell r="D997">
            <v>0</v>
          </cell>
        </row>
        <row r="998">
          <cell r="A998" t="str">
            <v>1828725100</v>
          </cell>
          <cell r="B998">
            <v>1.44</v>
          </cell>
          <cell r="C998">
            <v>0</v>
          </cell>
          <cell r="D998">
            <v>0</v>
          </cell>
        </row>
        <row r="999">
          <cell r="A999" t="str">
            <v>1828756R00</v>
          </cell>
          <cell r="B999">
            <v>10.17</v>
          </cell>
          <cell r="C999">
            <v>3.78</v>
          </cell>
          <cell r="D999">
            <v>4.72</v>
          </cell>
        </row>
        <row r="1000">
          <cell r="A1000" t="str">
            <v>18287741J0</v>
          </cell>
          <cell r="B1000">
            <v>0.27</v>
          </cell>
          <cell r="C1000">
            <v>0.06</v>
          </cell>
          <cell r="D1000">
            <v>0.14000000000000001</v>
          </cell>
        </row>
        <row r="1001">
          <cell r="A1001" t="str">
            <v>1828777100</v>
          </cell>
          <cell r="B1001">
            <v>0.27</v>
          </cell>
          <cell r="C1001">
            <v>0.06</v>
          </cell>
          <cell r="D1001">
            <v>0.14000000000000001</v>
          </cell>
        </row>
        <row r="1002">
          <cell r="A1002" t="str">
            <v>1828778100</v>
          </cell>
          <cell r="B1002">
            <v>0.36</v>
          </cell>
          <cell r="C1002">
            <v>0.06</v>
          </cell>
          <cell r="D1002">
            <v>0.14000000000000001</v>
          </cell>
        </row>
        <row r="1003">
          <cell r="A1003" t="str">
            <v>1828780100</v>
          </cell>
          <cell r="B1003">
            <v>0.22</v>
          </cell>
          <cell r="C1003">
            <v>0.05</v>
          </cell>
          <cell r="D1003">
            <v>0.1</v>
          </cell>
        </row>
        <row r="1004">
          <cell r="A1004" t="str">
            <v>1828781100</v>
          </cell>
          <cell r="B1004">
            <v>0.21</v>
          </cell>
          <cell r="C1004">
            <v>0.05</v>
          </cell>
          <cell r="D1004">
            <v>0.12</v>
          </cell>
        </row>
        <row r="1005">
          <cell r="A1005" t="str">
            <v>1828787100</v>
          </cell>
          <cell r="B1005">
            <v>21.87</v>
          </cell>
          <cell r="C1005">
            <v>0</v>
          </cell>
          <cell r="D1005">
            <v>0</v>
          </cell>
        </row>
        <row r="1006">
          <cell r="A1006" t="str">
            <v>1828793R00</v>
          </cell>
          <cell r="B1006">
            <v>1.43</v>
          </cell>
          <cell r="C1006">
            <v>4.3899999999999997</v>
          </cell>
          <cell r="D1006">
            <v>4.8499999999999996</v>
          </cell>
        </row>
        <row r="1007">
          <cell r="A1007" t="str">
            <v>18288021TF</v>
          </cell>
          <cell r="B1007">
            <v>0.23</v>
          </cell>
          <cell r="C1007">
            <v>0</v>
          </cell>
          <cell r="D1007">
            <v>0</v>
          </cell>
        </row>
        <row r="1008">
          <cell r="A1008" t="str">
            <v>1828819R00</v>
          </cell>
          <cell r="B1008">
            <v>138</v>
          </cell>
          <cell r="C1008">
            <v>8.89</v>
          </cell>
          <cell r="D1008">
            <v>14.67</v>
          </cell>
        </row>
        <row r="1009">
          <cell r="A1009" t="str">
            <v>1828827R00</v>
          </cell>
          <cell r="B1009">
            <v>5.13</v>
          </cell>
          <cell r="C1009">
            <v>2.77</v>
          </cell>
          <cell r="D1009">
            <v>3.67</v>
          </cell>
        </row>
        <row r="1010">
          <cell r="A1010" t="str">
            <v>1828830R00</v>
          </cell>
          <cell r="B1010">
            <v>4.78</v>
          </cell>
          <cell r="C1010">
            <v>2.5499999999999998</v>
          </cell>
          <cell r="D1010">
            <v>3.53</v>
          </cell>
        </row>
        <row r="1011">
          <cell r="A1011" t="str">
            <v>1828836170</v>
          </cell>
          <cell r="B1011">
            <v>55.33</v>
          </cell>
          <cell r="C1011">
            <v>0.02</v>
          </cell>
          <cell r="D1011">
            <v>0.02</v>
          </cell>
        </row>
        <row r="1012">
          <cell r="A1012" t="str">
            <v>1828836R70</v>
          </cell>
          <cell r="B1012">
            <v>55.26</v>
          </cell>
          <cell r="C1012">
            <v>0.02</v>
          </cell>
          <cell r="D1012">
            <v>0.02</v>
          </cell>
        </row>
        <row r="1013">
          <cell r="A1013" t="str">
            <v>1828843100</v>
          </cell>
          <cell r="B1013">
            <v>0.66</v>
          </cell>
          <cell r="C1013">
            <v>0.09</v>
          </cell>
          <cell r="D1013">
            <v>0.2</v>
          </cell>
        </row>
        <row r="1014">
          <cell r="A1014" t="str">
            <v>1828952200</v>
          </cell>
          <cell r="B1014">
            <v>6.86</v>
          </cell>
          <cell r="C1014">
            <v>3.1</v>
          </cell>
          <cell r="D1014">
            <v>6.01</v>
          </cell>
        </row>
        <row r="1015">
          <cell r="A1015" t="str">
            <v>18289561TF</v>
          </cell>
          <cell r="B1015">
            <v>0.18</v>
          </cell>
          <cell r="C1015">
            <v>0</v>
          </cell>
          <cell r="D1015">
            <v>0</v>
          </cell>
        </row>
        <row r="1016">
          <cell r="A1016" t="str">
            <v>18289571TF</v>
          </cell>
          <cell r="B1016">
            <v>7.0000000000000007E-2</v>
          </cell>
          <cell r="C1016">
            <v>0</v>
          </cell>
          <cell r="D1016">
            <v>0</v>
          </cell>
        </row>
        <row r="1017">
          <cell r="A1017" t="str">
            <v>18289581TF</v>
          </cell>
          <cell r="B1017">
            <v>7.0000000000000007E-2</v>
          </cell>
          <cell r="C1017">
            <v>0</v>
          </cell>
          <cell r="D1017">
            <v>0</v>
          </cell>
        </row>
        <row r="1018">
          <cell r="A1018" t="str">
            <v>1828968100</v>
          </cell>
          <cell r="B1018">
            <v>174.69</v>
          </cell>
          <cell r="C1018">
            <v>33.659999999999997</v>
          </cell>
          <cell r="D1018">
            <v>47.16</v>
          </cell>
        </row>
        <row r="1019">
          <cell r="A1019" t="str">
            <v>1828981100</v>
          </cell>
          <cell r="B1019">
            <v>14.11</v>
          </cell>
          <cell r="C1019">
            <v>0</v>
          </cell>
          <cell r="D1019">
            <v>0</v>
          </cell>
        </row>
        <row r="1020">
          <cell r="A1020" t="str">
            <v>1828981R00</v>
          </cell>
          <cell r="B1020">
            <v>5.86</v>
          </cell>
          <cell r="C1020">
            <v>3.19</v>
          </cell>
          <cell r="D1020">
            <v>5.19</v>
          </cell>
        </row>
        <row r="1021">
          <cell r="A1021" t="str">
            <v>1828984R00</v>
          </cell>
          <cell r="B1021">
            <v>19.2</v>
          </cell>
          <cell r="C1021">
            <v>8.07</v>
          </cell>
          <cell r="D1021">
            <v>11.17</v>
          </cell>
        </row>
        <row r="1022">
          <cell r="A1022" t="str">
            <v>1828985100</v>
          </cell>
          <cell r="B1022">
            <v>21.14</v>
          </cell>
          <cell r="C1022">
            <v>7.6</v>
          </cell>
          <cell r="D1022">
            <v>10.66</v>
          </cell>
        </row>
        <row r="1023">
          <cell r="A1023" t="str">
            <v>1829002R00</v>
          </cell>
          <cell r="B1023">
            <v>7.67</v>
          </cell>
          <cell r="C1023">
            <v>2.93</v>
          </cell>
          <cell r="D1023">
            <v>5.01</v>
          </cell>
        </row>
        <row r="1024">
          <cell r="A1024" t="str">
            <v>1829002T00</v>
          </cell>
          <cell r="B1024">
            <v>7.67</v>
          </cell>
          <cell r="C1024">
            <v>2.93</v>
          </cell>
          <cell r="D1024">
            <v>5.01</v>
          </cell>
        </row>
        <row r="1025">
          <cell r="A1025" t="str">
            <v>18290131J0</v>
          </cell>
          <cell r="B1025">
            <v>1.1100000000000001</v>
          </cell>
          <cell r="C1025">
            <v>0.1</v>
          </cell>
          <cell r="D1025">
            <v>0.38</v>
          </cell>
        </row>
        <row r="1026">
          <cell r="A1026" t="str">
            <v>18290141J0</v>
          </cell>
          <cell r="B1026">
            <v>1.1100000000000001</v>
          </cell>
          <cell r="C1026">
            <v>0.1</v>
          </cell>
          <cell r="D1026">
            <v>0.38</v>
          </cell>
        </row>
        <row r="1027">
          <cell r="A1027" t="str">
            <v>1829051R00</v>
          </cell>
          <cell r="B1027">
            <v>135.38999999999999</v>
          </cell>
          <cell r="C1027">
            <v>3.76</v>
          </cell>
          <cell r="D1027">
            <v>4.9400000000000004</v>
          </cell>
        </row>
        <row r="1028">
          <cell r="A1028" t="str">
            <v>18290551J0</v>
          </cell>
          <cell r="B1028">
            <v>11.15</v>
          </cell>
          <cell r="C1028">
            <v>4.7</v>
          </cell>
          <cell r="D1028">
            <v>7.47</v>
          </cell>
        </row>
        <row r="1029">
          <cell r="A1029" t="str">
            <v>18290660MF</v>
          </cell>
          <cell r="B1029">
            <v>36.450000000000003</v>
          </cell>
          <cell r="C1029">
            <v>0</v>
          </cell>
          <cell r="D1029">
            <v>0</v>
          </cell>
        </row>
        <row r="1030">
          <cell r="A1030" t="str">
            <v>1829085100</v>
          </cell>
          <cell r="B1030">
            <v>40.35</v>
          </cell>
          <cell r="C1030">
            <v>0.81</v>
          </cell>
          <cell r="D1030">
            <v>1.1299999999999999</v>
          </cell>
        </row>
        <row r="1031">
          <cell r="A1031" t="str">
            <v>1829097R00</v>
          </cell>
          <cell r="B1031">
            <v>149.41</v>
          </cell>
          <cell r="C1031">
            <v>2.0299999999999998</v>
          </cell>
          <cell r="D1031">
            <v>5.57</v>
          </cell>
        </row>
        <row r="1032">
          <cell r="A1032" t="str">
            <v>1829100R00</v>
          </cell>
          <cell r="B1032">
            <v>18.559999999999999</v>
          </cell>
          <cell r="C1032">
            <v>1.43</v>
          </cell>
          <cell r="D1032">
            <v>1.92</v>
          </cell>
        </row>
        <row r="1033">
          <cell r="A1033" t="str">
            <v>18291120MF</v>
          </cell>
          <cell r="B1033">
            <v>2.17</v>
          </cell>
          <cell r="C1033">
            <v>0</v>
          </cell>
          <cell r="D1033">
            <v>0</v>
          </cell>
        </row>
        <row r="1034">
          <cell r="A1034" t="str">
            <v>1829130170</v>
          </cell>
          <cell r="B1034">
            <v>37.729999999999997</v>
          </cell>
          <cell r="C1034">
            <v>0.02</v>
          </cell>
          <cell r="D1034">
            <v>0.02</v>
          </cell>
        </row>
        <row r="1035">
          <cell r="A1035" t="str">
            <v>1829130C70</v>
          </cell>
          <cell r="B1035">
            <v>37.729999999999997</v>
          </cell>
          <cell r="C1035">
            <v>0.02</v>
          </cell>
          <cell r="D1035">
            <v>0.02</v>
          </cell>
        </row>
        <row r="1036">
          <cell r="A1036" t="str">
            <v>1829169100</v>
          </cell>
          <cell r="B1036">
            <v>2.2400000000000002</v>
          </cell>
          <cell r="C1036">
            <v>0</v>
          </cell>
          <cell r="D1036">
            <v>0</v>
          </cell>
        </row>
        <row r="1037">
          <cell r="A1037" t="str">
            <v>1829173C00</v>
          </cell>
          <cell r="B1037">
            <v>59.09</v>
          </cell>
          <cell r="C1037">
            <v>0.71</v>
          </cell>
          <cell r="D1037">
            <v>0.93</v>
          </cell>
        </row>
        <row r="1038">
          <cell r="A1038" t="str">
            <v>1829177R00</v>
          </cell>
          <cell r="B1038">
            <v>70.790000000000006</v>
          </cell>
          <cell r="C1038">
            <v>2.65</v>
          </cell>
          <cell r="D1038">
            <v>4.8099999999999996</v>
          </cell>
        </row>
        <row r="1039">
          <cell r="A1039" t="str">
            <v>1829177T00</v>
          </cell>
          <cell r="B1039">
            <v>70.84</v>
          </cell>
          <cell r="C1039">
            <v>2.65</v>
          </cell>
          <cell r="D1039">
            <v>4.8099999999999996</v>
          </cell>
        </row>
        <row r="1040">
          <cell r="A1040" t="str">
            <v>1829186R00</v>
          </cell>
          <cell r="B1040">
            <v>99.03</v>
          </cell>
          <cell r="C1040">
            <v>1.97</v>
          </cell>
          <cell r="D1040">
            <v>3.44</v>
          </cell>
        </row>
        <row r="1041">
          <cell r="A1041" t="str">
            <v>1829217R00</v>
          </cell>
          <cell r="B1041">
            <v>133.13999999999999</v>
          </cell>
          <cell r="C1041">
            <v>4.7699999999999996</v>
          </cell>
          <cell r="D1041">
            <v>21.29</v>
          </cell>
        </row>
        <row r="1042">
          <cell r="A1042" t="str">
            <v>1829249R00</v>
          </cell>
          <cell r="B1042">
            <v>9.33</v>
          </cell>
          <cell r="C1042">
            <v>4.57</v>
          </cell>
          <cell r="D1042">
            <v>6.46</v>
          </cell>
        </row>
        <row r="1043">
          <cell r="A1043" t="str">
            <v>1829250R00</v>
          </cell>
          <cell r="B1043">
            <v>10.119999999999999</v>
          </cell>
          <cell r="C1043">
            <v>6.33</v>
          </cell>
          <cell r="D1043">
            <v>8.19</v>
          </cell>
        </row>
        <row r="1044">
          <cell r="A1044" t="str">
            <v>18293130NF</v>
          </cell>
          <cell r="B1044">
            <v>1.6</v>
          </cell>
          <cell r="C1044">
            <v>0</v>
          </cell>
          <cell r="D1044">
            <v>0</v>
          </cell>
        </row>
        <row r="1045">
          <cell r="A1045" t="str">
            <v>18293221TF</v>
          </cell>
          <cell r="B1045">
            <v>1.8</v>
          </cell>
          <cell r="C1045">
            <v>0</v>
          </cell>
          <cell r="D1045">
            <v>0</v>
          </cell>
        </row>
        <row r="1046">
          <cell r="A1046" t="str">
            <v>18293231TF</v>
          </cell>
          <cell r="B1046">
            <v>0.49</v>
          </cell>
          <cell r="C1046">
            <v>0</v>
          </cell>
          <cell r="D1046">
            <v>0</v>
          </cell>
        </row>
        <row r="1047">
          <cell r="A1047" t="str">
            <v>18293231VF</v>
          </cell>
          <cell r="B1047">
            <v>0.49</v>
          </cell>
          <cell r="C1047">
            <v>0</v>
          </cell>
          <cell r="D1047">
            <v>0</v>
          </cell>
        </row>
        <row r="1048">
          <cell r="A1048" t="str">
            <v>18293241TF</v>
          </cell>
          <cell r="B1048">
            <v>0.49</v>
          </cell>
          <cell r="C1048">
            <v>0</v>
          </cell>
          <cell r="D1048">
            <v>0</v>
          </cell>
        </row>
        <row r="1049">
          <cell r="A1049" t="str">
            <v>18293241VF</v>
          </cell>
          <cell r="B1049">
            <v>0.49</v>
          </cell>
          <cell r="C1049">
            <v>0</v>
          </cell>
          <cell r="D1049">
            <v>0</v>
          </cell>
        </row>
        <row r="1050">
          <cell r="A1050" t="str">
            <v>18293251TF</v>
          </cell>
          <cell r="B1050">
            <v>1.1399999999999999</v>
          </cell>
          <cell r="C1050">
            <v>0</v>
          </cell>
          <cell r="D1050">
            <v>0</v>
          </cell>
        </row>
        <row r="1051">
          <cell r="A1051" t="str">
            <v>18293251VF</v>
          </cell>
          <cell r="B1051">
            <v>1.1399999999999999</v>
          </cell>
          <cell r="C1051">
            <v>0</v>
          </cell>
          <cell r="D1051">
            <v>0</v>
          </cell>
        </row>
        <row r="1052">
          <cell r="A1052" t="str">
            <v>1829326100</v>
          </cell>
          <cell r="B1052">
            <v>191.64</v>
          </cell>
          <cell r="C1052">
            <v>26.98</v>
          </cell>
          <cell r="D1052">
            <v>35.72</v>
          </cell>
        </row>
        <row r="1053">
          <cell r="A1053" t="str">
            <v>1829361100</v>
          </cell>
          <cell r="B1053">
            <v>174.69</v>
          </cell>
          <cell r="C1053">
            <v>33.659999999999997</v>
          </cell>
          <cell r="D1053">
            <v>46.71</v>
          </cell>
        </row>
        <row r="1054">
          <cell r="A1054" t="str">
            <v>1829369R00</v>
          </cell>
          <cell r="B1054">
            <v>0</v>
          </cell>
          <cell r="C1054">
            <v>0.04</v>
          </cell>
          <cell r="D1054">
            <v>0.06</v>
          </cell>
        </row>
        <row r="1055">
          <cell r="A1055" t="str">
            <v>1829381R00</v>
          </cell>
          <cell r="B1055">
            <v>20.6</v>
          </cell>
          <cell r="C1055">
            <v>5.09</v>
          </cell>
          <cell r="D1055">
            <v>7.72</v>
          </cell>
        </row>
        <row r="1056">
          <cell r="A1056" t="str">
            <v>1829484R00</v>
          </cell>
          <cell r="B1056">
            <v>170.45</v>
          </cell>
          <cell r="C1056">
            <v>11.1</v>
          </cell>
          <cell r="D1056">
            <v>14.76</v>
          </cell>
        </row>
        <row r="1057">
          <cell r="A1057" t="str">
            <v>18295121J0</v>
          </cell>
          <cell r="B1057">
            <v>0.28000000000000003</v>
          </cell>
          <cell r="C1057">
            <v>0.06</v>
          </cell>
          <cell r="D1057">
            <v>0.13</v>
          </cell>
        </row>
        <row r="1058">
          <cell r="A1058" t="str">
            <v>1829582100</v>
          </cell>
          <cell r="B1058">
            <v>8.61</v>
          </cell>
          <cell r="C1058">
            <v>5.0599999999999996</v>
          </cell>
          <cell r="D1058">
            <v>7.33</v>
          </cell>
        </row>
        <row r="1059">
          <cell r="A1059" t="str">
            <v>1829582R00</v>
          </cell>
          <cell r="B1059">
            <v>8.65</v>
          </cell>
          <cell r="C1059">
            <v>5.78</v>
          </cell>
          <cell r="D1059">
            <v>7.97</v>
          </cell>
        </row>
        <row r="1060">
          <cell r="A1060" t="str">
            <v>1829584R00</v>
          </cell>
          <cell r="B1060">
            <v>10.88</v>
          </cell>
          <cell r="C1060">
            <v>6.25</v>
          </cell>
          <cell r="D1060">
            <v>8.39</v>
          </cell>
        </row>
        <row r="1061">
          <cell r="A1061" t="str">
            <v>18296160QF</v>
          </cell>
          <cell r="B1061">
            <v>27.72</v>
          </cell>
          <cell r="C1061">
            <v>0</v>
          </cell>
          <cell r="D1061">
            <v>0</v>
          </cell>
        </row>
        <row r="1062">
          <cell r="A1062" t="str">
            <v>18296341TF</v>
          </cell>
          <cell r="B1062">
            <v>0.63</v>
          </cell>
          <cell r="C1062">
            <v>0</v>
          </cell>
          <cell r="D1062">
            <v>0</v>
          </cell>
        </row>
        <row r="1063">
          <cell r="A1063" t="str">
            <v>1829654100</v>
          </cell>
          <cell r="B1063">
            <v>10.48</v>
          </cell>
          <cell r="C1063">
            <v>0</v>
          </cell>
          <cell r="D1063">
            <v>0</v>
          </cell>
        </row>
        <row r="1064">
          <cell r="A1064" t="str">
            <v>1829680R00</v>
          </cell>
          <cell r="B1064">
            <v>132.33000000000001</v>
          </cell>
          <cell r="C1064">
            <v>5.7</v>
          </cell>
          <cell r="D1064">
            <v>9.2100000000000009</v>
          </cell>
        </row>
        <row r="1065">
          <cell r="A1065" t="str">
            <v>1829686R00</v>
          </cell>
          <cell r="B1065">
            <v>6.68</v>
          </cell>
          <cell r="C1065">
            <v>4.04</v>
          </cell>
          <cell r="D1065">
            <v>5.79</v>
          </cell>
        </row>
        <row r="1066">
          <cell r="A1066" t="str">
            <v>1829687R00</v>
          </cell>
          <cell r="B1066">
            <v>7.58</v>
          </cell>
          <cell r="C1066">
            <v>3.28</v>
          </cell>
          <cell r="D1066">
            <v>4.8</v>
          </cell>
        </row>
        <row r="1067">
          <cell r="A1067" t="str">
            <v>1829688R00</v>
          </cell>
          <cell r="B1067">
            <v>15.32</v>
          </cell>
          <cell r="C1067">
            <v>8.09</v>
          </cell>
          <cell r="D1067">
            <v>11.19</v>
          </cell>
        </row>
        <row r="1068">
          <cell r="A1068" t="str">
            <v>1829689R00</v>
          </cell>
          <cell r="B1068">
            <v>14.45</v>
          </cell>
          <cell r="C1068">
            <v>6.73</v>
          </cell>
          <cell r="D1068">
            <v>8.36</v>
          </cell>
        </row>
        <row r="1069">
          <cell r="A1069" t="str">
            <v>1829690R00</v>
          </cell>
          <cell r="B1069">
            <v>12.05</v>
          </cell>
          <cell r="C1069">
            <v>5</v>
          </cell>
          <cell r="D1069">
            <v>6.83</v>
          </cell>
        </row>
        <row r="1070">
          <cell r="A1070" t="str">
            <v>1829691R00</v>
          </cell>
          <cell r="B1070">
            <v>9.48</v>
          </cell>
          <cell r="C1070">
            <v>3.09</v>
          </cell>
          <cell r="D1070">
            <v>4.3899999999999997</v>
          </cell>
        </row>
        <row r="1071">
          <cell r="A1071" t="str">
            <v>18297201TF</v>
          </cell>
          <cell r="B1071">
            <v>0.56000000000000005</v>
          </cell>
          <cell r="C1071">
            <v>0</v>
          </cell>
          <cell r="D1071">
            <v>0</v>
          </cell>
        </row>
        <row r="1072">
          <cell r="A1072" t="str">
            <v>18297621TF</v>
          </cell>
          <cell r="B1072">
            <v>0.57999999999999996</v>
          </cell>
          <cell r="C1072">
            <v>0</v>
          </cell>
          <cell r="D1072">
            <v>0</v>
          </cell>
        </row>
        <row r="1073">
          <cell r="A1073" t="str">
            <v>18298250NF</v>
          </cell>
          <cell r="B1073">
            <v>0.54</v>
          </cell>
          <cell r="C1073">
            <v>0</v>
          </cell>
          <cell r="D1073">
            <v>0</v>
          </cell>
        </row>
        <row r="1074">
          <cell r="A1074" t="str">
            <v>18298581J0</v>
          </cell>
          <cell r="B1074">
            <v>0.41</v>
          </cell>
          <cell r="C1074">
            <v>7.0000000000000007E-2</v>
          </cell>
          <cell r="D1074">
            <v>0.17</v>
          </cell>
        </row>
        <row r="1075">
          <cell r="A1075" t="str">
            <v>18298591J0</v>
          </cell>
          <cell r="B1075">
            <v>0.28999999999999998</v>
          </cell>
          <cell r="C1075">
            <v>0.05</v>
          </cell>
          <cell r="D1075">
            <v>0.12</v>
          </cell>
        </row>
        <row r="1076">
          <cell r="A1076" t="str">
            <v>18298601J0</v>
          </cell>
          <cell r="B1076">
            <v>0.48</v>
          </cell>
          <cell r="C1076">
            <v>0.1</v>
          </cell>
          <cell r="D1076">
            <v>0.23</v>
          </cell>
        </row>
        <row r="1077">
          <cell r="A1077" t="str">
            <v>1829888100</v>
          </cell>
          <cell r="B1077">
            <v>18.23</v>
          </cell>
          <cell r="C1077">
            <v>0</v>
          </cell>
          <cell r="D1077">
            <v>0</v>
          </cell>
        </row>
        <row r="1078">
          <cell r="A1078" t="str">
            <v>1829889100</v>
          </cell>
          <cell r="B1078">
            <v>14.09</v>
          </cell>
          <cell r="C1078">
            <v>0</v>
          </cell>
          <cell r="D1078">
            <v>0</v>
          </cell>
        </row>
        <row r="1079">
          <cell r="A1079" t="str">
            <v>18299031J0</v>
          </cell>
          <cell r="B1079">
            <v>0.42</v>
          </cell>
          <cell r="C1079">
            <v>0.09</v>
          </cell>
          <cell r="D1079">
            <v>0.2</v>
          </cell>
        </row>
        <row r="1080">
          <cell r="A1080" t="str">
            <v>18299040PF</v>
          </cell>
          <cell r="B1080">
            <v>0.97</v>
          </cell>
          <cell r="C1080">
            <v>0</v>
          </cell>
          <cell r="D1080">
            <v>0</v>
          </cell>
        </row>
        <row r="1081">
          <cell r="A1081" t="str">
            <v>1829906100</v>
          </cell>
          <cell r="B1081">
            <v>9.43</v>
          </cell>
          <cell r="C1081">
            <v>1.24</v>
          </cell>
          <cell r="D1081">
            <v>2.44</v>
          </cell>
        </row>
        <row r="1082">
          <cell r="A1082" t="str">
            <v>1829912100</v>
          </cell>
          <cell r="B1082">
            <v>97.49</v>
          </cell>
          <cell r="C1082">
            <v>4.6100000000000003</v>
          </cell>
          <cell r="D1082">
            <v>8.27</v>
          </cell>
        </row>
        <row r="1083">
          <cell r="A1083" t="str">
            <v>1829912R00</v>
          </cell>
          <cell r="B1083">
            <v>97.57</v>
          </cell>
          <cell r="C1083">
            <v>4.6100000000000003</v>
          </cell>
          <cell r="D1083">
            <v>8.27</v>
          </cell>
        </row>
        <row r="1084">
          <cell r="A1084" t="str">
            <v>1829947100</v>
          </cell>
          <cell r="B1084">
            <v>1.29</v>
          </cell>
          <cell r="C1084">
            <v>0</v>
          </cell>
          <cell r="D1084">
            <v>0</v>
          </cell>
        </row>
        <row r="1085">
          <cell r="A1085" t="str">
            <v>1829952100</v>
          </cell>
          <cell r="B1085">
            <v>1.1599999999999999</v>
          </cell>
          <cell r="C1085">
            <v>0</v>
          </cell>
          <cell r="D1085">
            <v>0</v>
          </cell>
        </row>
        <row r="1086">
          <cell r="A1086" t="str">
            <v>1829953100</v>
          </cell>
          <cell r="B1086">
            <v>0.7</v>
          </cell>
          <cell r="C1086">
            <v>0</v>
          </cell>
          <cell r="D1086">
            <v>0</v>
          </cell>
        </row>
        <row r="1087">
          <cell r="A1087" t="str">
            <v>1829979100</v>
          </cell>
          <cell r="B1087">
            <v>10.58</v>
          </cell>
          <cell r="C1087">
            <v>3.44</v>
          </cell>
          <cell r="D1087">
            <v>5.15</v>
          </cell>
        </row>
        <row r="1088">
          <cell r="A1088" t="str">
            <v>1829979R00</v>
          </cell>
          <cell r="B1088">
            <v>10.65</v>
          </cell>
          <cell r="C1088">
            <v>3.44</v>
          </cell>
          <cell r="D1088">
            <v>5.15</v>
          </cell>
        </row>
        <row r="1089">
          <cell r="A1089" t="str">
            <v>1829988100</v>
          </cell>
          <cell r="B1089">
            <v>246.74</v>
          </cell>
          <cell r="C1089">
            <v>22.21</v>
          </cell>
          <cell r="D1089">
            <v>32.57</v>
          </cell>
        </row>
        <row r="1090">
          <cell r="A1090" t="str">
            <v>1840404100</v>
          </cell>
          <cell r="B1090">
            <v>0.1</v>
          </cell>
          <cell r="C1090">
            <v>0.02</v>
          </cell>
          <cell r="D1090">
            <v>0.05</v>
          </cell>
        </row>
        <row r="1091">
          <cell r="A1091" t="str">
            <v>1840795100</v>
          </cell>
          <cell r="B1091">
            <v>0.24</v>
          </cell>
          <cell r="C1091">
            <v>0.02</v>
          </cell>
          <cell r="D1091">
            <v>0.05</v>
          </cell>
        </row>
        <row r="1092">
          <cell r="A1092" t="str">
            <v>1840840100</v>
          </cell>
          <cell r="B1092">
            <v>0.08</v>
          </cell>
          <cell r="C1092">
            <v>0.02</v>
          </cell>
          <cell r="D1092">
            <v>0.05</v>
          </cell>
        </row>
        <row r="1093">
          <cell r="A1093" t="str">
            <v>1840988100</v>
          </cell>
          <cell r="B1093">
            <v>0.1</v>
          </cell>
          <cell r="C1093">
            <v>0.02</v>
          </cell>
          <cell r="D1093">
            <v>0.04</v>
          </cell>
        </row>
        <row r="1094">
          <cell r="A1094" t="str">
            <v>1840993100</v>
          </cell>
          <cell r="B1094">
            <v>0.09</v>
          </cell>
          <cell r="C1094">
            <v>0.02</v>
          </cell>
          <cell r="D1094">
            <v>0.05</v>
          </cell>
        </row>
        <row r="1095">
          <cell r="A1095" t="str">
            <v>1840994100</v>
          </cell>
          <cell r="B1095">
            <v>0.12</v>
          </cell>
          <cell r="C1095">
            <v>0.02</v>
          </cell>
          <cell r="D1095">
            <v>0.05</v>
          </cell>
        </row>
        <row r="1096">
          <cell r="A1096" t="str">
            <v>1841286100</v>
          </cell>
          <cell r="B1096">
            <v>0.25</v>
          </cell>
          <cell r="C1096">
            <v>0.02</v>
          </cell>
          <cell r="D1096">
            <v>0.05</v>
          </cell>
        </row>
        <row r="1097">
          <cell r="A1097" t="str">
            <v>1841290100</v>
          </cell>
          <cell r="B1097">
            <v>0.32</v>
          </cell>
          <cell r="C1097">
            <v>0.02</v>
          </cell>
          <cell r="D1097">
            <v>0.05</v>
          </cell>
        </row>
        <row r="1098">
          <cell r="A1098" t="str">
            <v>1841377100</v>
          </cell>
          <cell r="B1098">
            <v>0.3</v>
          </cell>
          <cell r="C1098">
            <v>0.14000000000000001</v>
          </cell>
          <cell r="D1098">
            <v>0.33</v>
          </cell>
        </row>
        <row r="1099">
          <cell r="A1099" t="str">
            <v>1841378100</v>
          </cell>
          <cell r="B1099">
            <v>0.3</v>
          </cell>
          <cell r="C1099">
            <v>0.14000000000000001</v>
          </cell>
          <cell r="D1099">
            <v>0.33</v>
          </cell>
        </row>
        <row r="1100">
          <cell r="A1100" t="str">
            <v>1841379100</v>
          </cell>
          <cell r="B1100">
            <v>0.31</v>
          </cell>
          <cell r="C1100">
            <v>0.02</v>
          </cell>
          <cell r="D1100">
            <v>0.03</v>
          </cell>
        </row>
        <row r="1101">
          <cell r="A1101" t="str">
            <v>1841469100</v>
          </cell>
          <cell r="B1101">
            <v>0.32</v>
          </cell>
          <cell r="C1101">
            <v>0.02</v>
          </cell>
          <cell r="D1101">
            <v>0.05</v>
          </cell>
        </row>
        <row r="1102">
          <cell r="A1102" t="str">
            <v>1841503100</v>
          </cell>
          <cell r="B1102">
            <v>0.3</v>
          </cell>
          <cell r="C1102">
            <v>0.14000000000000001</v>
          </cell>
          <cell r="D1102">
            <v>0.33</v>
          </cell>
        </row>
        <row r="1103">
          <cell r="A1103" t="str">
            <v>1841504100</v>
          </cell>
          <cell r="B1103">
            <v>0.3</v>
          </cell>
          <cell r="C1103">
            <v>0.14000000000000001</v>
          </cell>
          <cell r="D1103">
            <v>0.33</v>
          </cell>
        </row>
        <row r="1104">
          <cell r="A1104" t="str">
            <v>1841524100</v>
          </cell>
          <cell r="B1104">
            <v>7.0000000000000007E-2</v>
          </cell>
          <cell r="C1104">
            <v>0.02</v>
          </cell>
          <cell r="D1104">
            <v>0.05</v>
          </cell>
        </row>
        <row r="1105">
          <cell r="A1105" t="str">
            <v>1841525100</v>
          </cell>
          <cell r="B1105">
            <v>7.0000000000000007E-2</v>
          </cell>
          <cell r="C1105">
            <v>0.02</v>
          </cell>
          <cell r="D1105">
            <v>0.05</v>
          </cell>
        </row>
        <row r="1106">
          <cell r="A1106" t="str">
            <v>1841561100</v>
          </cell>
          <cell r="B1106">
            <v>0.25</v>
          </cell>
          <cell r="C1106">
            <v>0.02</v>
          </cell>
          <cell r="D1106">
            <v>0.05</v>
          </cell>
        </row>
        <row r="1107">
          <cell r="A1107" t="str">
            <v>1842034100</v>
          </cell>
          <cell r="B1107">
            <v>0.1</v>
          </cell>
          <cell r="C1107">
            <v>0.02</v>
          </cell>
          <cell r="D1107">
            <v>0.04</v>
          </cell>
        </row>
        <row r="1108">
          <cell r="A1108" t="str">
            <v>1842035100</v>
          </cell>
          <cell r="B1108">
            <v>0.11</v>
          </cell>
          <cell r="C1108">
            <v>0.02</v>
          </cell>
          <cell r="D1108">
            <v>0.05</v>
          </cell>
        </row>
        <row r="1109">
          <cell r="A1109" t="str">
            <v>1842036100</v>
          </cell>
          <cell r="B1109">
            <v>0.12</v>
          </cell>
          <cell r="C1109">
            <v>0.02</v>
          </cell>
          <cell r="D1109">
            <v>0.05</v>
          </cell>
        </row>
        <row r="1110">
          <cell r="A1110" t="str">
            <v>1842155100</v>
          </cell>
          <cell r="B1110">
            <v>0.12</v>
          </cell>
          <cell r="C1110">
            <v>0.02</v>
          </cell>
          <cell r="D1110">
            <v>0.05</v>
          </cell>
        </row>
        <row r="1111">
          <cell r="A1111" t="str">
            <v>1882168100</v>
          </cell>
          <cell r="B1111">
            <v>0</v>
          </cell>
          <cell r="C1111">
            <v>0</v>
          </cell>
          <cell r="D1111">
            <v>0</v>
          </cell>
        </row>
        <row r="1112">
          <cell r="A1112" t="str">
            <v>1882192R00</v>
          </cell>
          <cell r="B1112">
            <v>1.41</v>
          </cell>
          <cell r="C1112">
            <v>0</v>
          </cell>
          <cell r="D1112">
            <v>0.1</v>
          </cell>
        </row>
        <row r="1113">
          <cell r="A1113" t="str">
            <v>18824201TF</v>
          </cell>
          <cell r="B1113">
            <v>0.34</v>
          </cell>
          <cell r="C1113">
            <v>0</v>
          </cell>
          <cell r="D1113">
            <v>0</v>
          </cell>
        </row>
        <row r="1114">
          <cell r="A1114" t="str">
            <v>188519AH00</v>
          </cell>
          <cell r="B1114">
            <v>13.07</v>
          </cell>
          <cell r="C1114">
            <v>2.81</v>
          </cell>
          <cell r="D1114">
            <v>4.43</v>
          </cell>
        </row>
        <row r="1115">
          <cell r="A1115" t="str">
            <v>188521AH00</v>
          </cell>
          <cell r="B1115">
            <v>13.61</v>
          </cell>
          <cell r="C1115">
            <v>2.82</v>
          </cell>
          <cell r="D1115">
            <v>4.4400000000000004</v>
          </cell>
        </row>
        <row r="1116">
          <cell r="A1116" t="str">
            <v>188524AH00</v>
          </cell>
          <cell r="B1116">
            <v>14.95</v>
          </cell>
          <cell r="C1116">
            <v>2.91</v>
          </cell>
          <cell r="D1116">
            <v>4.3099999999999996</v>
          </cell>
        </row>
        <row r="1117">
          <cell r="A1117" t="str">
            <v>188525AH00</v>
          </cell>
          <cell r="B1117">
            <v>12.15</v>
          </cell>
          <cell r="C1117">
            <v>2.39</v>
          </cell>
          <cell r="D1117">
            <v>3.88</v>
          </cell>
        </row>
        <row r="1118">
          <cell r="A1118" t="str">
            <v>188528AH00</v>
          </cell>
          <cell r="B1118">
            <v>13.67</v>
          </cell>
          <cell r="C1118">
            <v>2.61</v>
          </cell>
          <cell r="D1118">
            <v>4.08</v>
          </cell>
        </row>
        <row r="1119">
          <cell r="A1119" t="str">
            <v>188665AH00</v>
          </cell>
          <cell r="B1119">
            <v>4.5999999999999996</v>
          </cell>
          <cell r="C1119">
            <v>2.2200000000000002</v>
          </cell>
          <cell r="D1119">
            <v>3.2</v>
          </cell>
        </row>
        <row r="1120">
          <cell r="A1120" t="str">
            <v>188694AH00</v>
          </cell>
          <cell r="B1120">
            <v>4.55</v>
          </cell>
          <cell r="C1120">
            <v>2.25</v>
          </cell>
          <cell r="D1120">
            <v>4.76</v>
          </cell>
        </row>
        <row r="1121">
          <cell r="A1121" t="str">
            <v>188703AH00</v>
          </cell>
          <cell r="B1121">
            <v>4.92</v>
          </cell>
          <cell r="C1121">
            <v>2.5</v>
          </cell>
          <cell r="D1121">
            <v>3.67</v>
          </cell>
        </row>
        <row r="1122">
          <cell r="A1122" t="str">
            <v>1888005R00</v>
          </cell>
          <cell r="B1122">
            <v>8.0299999999999994</v>
          </cell>
          <cell r="C1122">
            <v>5.55</v>
          </cell>
          <cell r="D1122">
            <v>8.99</v>
          </cell>
        </row>
        <row r="1123">
          <cell r="A1123" t="str">
            <v>1888012R00</v>
          </cell>
          <cell r="B1123">
            <v>12.12</v>
          </cell>
          <cell r="C1123">
            <v>5.84</v>
          </cell>
          <cell r="D1123">
            <v>9.4700000000000006</v>
          </cell>
        </row>
        <row r="1124">
          <cell r="A1124" t="str">
            <v>1888013R00</v>
          </cell>
          <cell r="B1124">
            <v>14.32</v>
          </cell>
          <cell r="C1124">
            <v>5.86</v>
          </cell>
          <cell r="D1124">
            <v>9.4600000000000009</v>
          </cell>
        </row>
        <row r="1125">
          <cell r="A1125" t="str">
            <v>1888016R00</v>
          </cell>
          <cell r="B1125">
            <v>102.71</v>
          </cell>
          <cell r="C1125">
            <v>4.74</v>
          </cell>
          <cell r="D1125">
            <v>7.02</v>
          </cell>
        </row>
        <row r="1126">
          <cell r="A1126" t="str">
            <v>1888027100</v>
          </cell>
          <cell r="B1126">
            <v>2.2599999999999998</v>
          </cell>
          <cell r="C1126">
            <v>0.99</v>
          </cell>
          <cell r="D1126">
            <v>1.99</v>
          </cell>
        </row>
        <row r="1127">
          <cell r="A1127" t="str">
            <v>1888128200</v>
          </cell>
          <cell r="B1127">
            <v>3.71</v>
          </cell>
          <cell r="C1127">
            <v>0.76</v>
          </cell>
          <cell r="D1127">
            <v>1.4</v>
          </cell>
        </row>
        <row r="1128">
          <cell r="A1128" t="str">
            <v>1888147R00</v>
          </cell>
          <cell r="B1128">
            <v>4.7300000000000004</v>
          </cell>
          <cell r="C1128">
            <v>0</v>
          </cell>
          <cell r="D1128">
            <v>0</v>
          </cell>
        </row>
        <row r="1129">
          <cell r="A1129" t="str">
            <v>1888149100</v>
          </cell>
          <cell r="B1129">
            <v>0.2</v>
          </cell>
          <cell r="C1129">
            <v>0</v>
          </cell>
          <cell r="D1129">
            <v>0</v>
          </cell>
        </row>
        <row r="1130">
          <cell r="A1130" t="str">
            <v>1888150100</v>
          </cell>
          <cell r="B1130">
            <v>0.6</v>
          </cell>
          <cell r="C1130">
            <v>0</v>
          </cell>
          <cell r="D1130">
            <v>0</v>
          </cell>
        </row>
        <row r="1131">
          <cell r="A1131" t="str">
            <v>1888151100</v>
          </cell>
          <cell r="B1131">
            <v>0.66</v>
          </cell>
          <cell r="C1131">
            <v>0</v>
          </cell>
          <cell r="D1131">
            <v>0</v>
          </cell>
        </row>
        <row r="1132">
          <cell r="A1132" t="str">
            <v>1888152100</v>
          </cell>
          <cell r="B1132">
            <v>0.08</v>
          </cell>
          <cell r="C1132">
            <v>0</v>
          </cell>
          <cell r="D1132">
            <v>0</v>
          </cell>
        </row>
        <row r="1133">
          <cell r="A1133" t="str">
            <v>188819310Z</v>
          </cell>
          <cell r="B1133">
            <v>2.99</v>
          </cell>
          <cell r="C1133">
            <v>1.29</v>
          </cell>
          <cell r="D1133">
            <v>2.16</v>
          </cell>
        </row>
        <row r="1134">
          <cell r="A1134" t="str">
            <v>1888199100</v>
          </cell>
          <cell r="B1134">
            <v>0.34</v>
          </cell>
          <cell r="C1134">
            <v>0.01</v>
          </cell>
          <cell r="D1134">
            <v>0</v>
          </cell>
        </row>
        <row r="1135">
          <cell r="A1135" t="str">
            <v>1888364R00</v>
          </cell>
          <cell r="B1135">
            <v>3.08</v>
          </cell>
          <cell r="C1135">
            <v>1.35</v>
          </cell>
          <cell r="D1135">
            <v>2.35</v>
          </cell>
        </row>
        <row r="1136">
          <cell r="A1136" t="str">
            <v>1888364T00</v>
          </cell>
          <cell r="B1136">
            <v>3.08</v>
          </cell>
          <cell r="C1136">
            <v>1.35</v>
          </cell>
          <cell r="D1136">
            <v>2.35</v>
          </cell>
        </row>
        <row r="1137">
          <cell r="A1137" t="str">
            <v>1888365R00</v>
          </cell>
          <cell r="B1137">
            <v>4.13</v>
          </cell>
          <cell r="C1137">
            <v>2.72</v>
          </cell>
          <cell r="D1137">
            <v>4.25</v>
          </cell>
        </row>
        <row r="1138">
          <cell r="A1138" t="str">
            <v>1888365T00</v>
          </cell>
          <cell r="B1138">
            <v>4.13</v>
          </cell>
          <cell r="C1138">
            <v>2.72</v>
          </cell>
          <cell r="D1138">
            <v>4.25</v>
          </cell>
        </row>
        <row r="1139">
          <cell r="A1139" t="str">
            <v>1888366R00</v>
          </cell>
          <cell r="B1139">
            <v>3.99</v>
          </cell>
          <cell r="C1139">
            <v>2.65</v>
          </cell>
          <cell r="D1139">
            <v>4.1500000000000004</v>
          </cell>
        </row>
        <row r="1140">
          <cell r="A1140" t="str">
            <v>1888366T00</v>
          </cell>
          <cell r="B1140">
            <v>3.99</v>
          </cell>
          <cell r="C1140">
            <v>2.65</v>
          </cell>
          <cell r="D1140">
            <v>4.1500000000000004</v>
          </cell>
        </row>
        <row r="1141">
          <cell r="A1141" t="str">
            <v>1888487R00</v>
          </cell>
          <cell r="B1141">
            <v>6.83</v>
          </cell>
          <cell r="C1141">
            <v>2.02</v>
          </cell>
          <cell r="D1141">
            <v>2.91</v>
          </cell>
        </row>
        <row r="1142">
          <cell r="A1142" t="str">
            <v>1888501100</v>
          </cell>
          <cell r="B1142">
            <v>1.51</v>
          </cell>
          <cell r="C1142">
            <v>0.66</v>
          </cell>
          <cell r="D1142">
            <v>1.24</v>
          </cell>
        </row>
        <row r="1143">
          <cell r="A1143" t="str">
            <v>1888602R00</v>
          </cell>
          <cell r="B1143">
            <v>4.6399999999999997</v>
          </cell>
          <cell r="C1143">
            <v>0.78</v>
          </cell>
          <cell r="D1143">
            <v>1.1200000000000001</v>
          </cell>
        </row>
        <row r="1144">
          <cell r="A1144" t="str">
            <v>1888603R00</v>
          </cell>
          <cell r="B1144">
            <v>0.52</v>
          </cell>
          <cell r="C1144">
            <v>0.35</v>
          </cell>
          <cell r="D1144">
            <v>0.6</v>
          </cell>
        </row>
        <row r="1145">
          <cell r="A1145" t="str">
            <v>1888646100</v>
          </cell>
          <cell r="B1145">
            <v>6.55</v>
          </cell>
          <cell r="C1145">
            <v>1.29</v>
          </cell>
          <cell r="D1145">
            <v>2.2799999999999998</v>
          </cell>
        </row>
        <row r="1146">
          <cell r="A1146" t="str">
            <v>1888654R00</v>
          </cell>
          <cell r="B1146">
            <v>6.01</v>
          </cell>
          <cell r="C1146">
            <v>5.72</v>
          </cell>
          <cell r="D1146">
            <v>8.07</v>
          </cell>
        </row>
        <row r="1147">
          <cell r="A1147" t="str">
            <v>1888655R00</v>
          </cell>
          <cell r="B1147">
            <v>6.06</v>
          </cell>
          <cell r="C1147">
            <v>5.72</v>
          </cell>
          <cell r="D1147">
            <v>8.07</v>
          </cell>
        </row>
        <row r="1148">
          <cell r="A1148" t="str">
            <v>1888656R00</v>
          </cell>
          <cell r="B1148">
            <v>5.63</v>
          </cell>
          <cell r="C1148">
            <v>5.67</v>
          </cell>
          <cell r="D1148">
            <v>8.0299999999999994</v>
          </cell>
        </row>
        <row r="1149">
          <cell r="A1149" t="str">
            <v>1888657R00</v>
          </cell>
          <cell r="B1149">
            <v>5.82</v>
          </cell>
          <cell r="C1149">
            <v>5.39</v>
          </cell>
          <cell r="D1149">
            <v>6.05</v>
          </cell>
        </row>
        <row r="1150">
          <cell r="A1150" t="str">
            <v>1888658R00</v>
          </cell>
          <cell r="B1150">
            <v>5.41</v>
          </cell>
          <cell r="C1150">
            <v>5.67</v>
          </cell>
          <cell r="D1150">
            <v>8.0299999999999994</v>
          </cell>
        </row>
        <row r="1151">
          <cell r="A1151" t="str">
            <v>1888659R00</v>
          </cell>
          <cell r="B1151">
            <v>5.42</v>
          </cell>
          <cell r="C1151">
            <v>5.67</v>
          </cell>
          <cell r="D1151">
            <v>8.0299999999999994</v>
          </cell>
        </row>
        <row r="1152">
          <cell r="A1152" t="str">
            <v>1888660R00</v>
          </cell>
          <cell r="B1152">
            <v>5.77</v>
          </cell>
          <cell r="C1152">
            <v>5.72</v>
          </cell>
          <cell r="D1152">
            <v>8.06</v>
          </cell>
        </row>
        <row r="1153">
          <cell r="A1153" t="str">
            <v>1888666R00</v>
          </cell>
          <cell r="B1153">
            <v>5.56</v>
          </cell>
          <cell r="C1153">
            <v>5.72</v>
          </cell>
          <cell r="D1153">
            <v>8.06</v>
          </cell>
        </row>
        <row r="1154">
          <cell r="A1154" t="str">
            <v>1888667R00</v>
          </cell>
          <cell r="B1154">
            <v>5.59</v>
          </cell>
          <cell r="C1154">
            <v>5.72</v>
          </cell>
          <cell r="D1154">
            <v>8.07</v>
          </cell>
        </row>
        <row r="1155">
          <cell r="A1155" t="str">
            <v>1888699R00</v>
          </cell>
          <cell r="B1155">
            <v>5.32</v>
          </cell>
          <cell r="C1155">
            <v>2.04</v>
          </cell>
          <cell r="D1155">
            <v>3.26</v>
          </cell>
        </row>
        <row r="1156">
          <cell r="A1156" t="str">
            <v>1888699T00</v>
          </cell>
          <cell r="B1156">
            <v>5.32</v>
          </cell>
          <cell r="C1156">
            <v>2.04</v>
          </cell>
          <cell r="D1156">
            <v>3.26</v>
          </cell>
        </row>
        <row r="1157">
          <cell r="A1157" t="str">
            <v>1888735R00</v>
          </cell>
          <cell r="B1157">
            <v>4.9400000000000004</v>
          </cell>
          <cell r="C1157">
            <v>1.96</v>
          </cell>
          <cell r="D1157">
            <v>3.13</v>
          </cell>
        </row>
        <row r="1158">
          <cell r="A1158" t="str">
            <v>1888756R00</v>
          </cell>
          <cell r="B1158">
            <v>6.07</v>
          </cell>
          <cell r="C1158">
            <v>1.82</v>
          </cell>
          <cell r="D1158">
            <v>2.75</v>
          </cell>
        </row>
        <row r="1159">
          <cell r="A1159" t="str">
            <v>1888758R00</v>
          </cell>
          <cell r="B1159">
            <v>5.76</v>
          </cell>
          <cell r="C1159">
            <v>2.12</v>
          </cell>
          <cell r="D1159">
            <v>3.41</v>
          </cell>
        </row>
        <row r="1160">
          <cell r="A1160" t="str">
            <v>1888764100</v>
          </cell>
          <cell r="B1160">
            <v>5.33</v>
          </cell>
          <cell r="C1160">
            <v>1.29</v>
          </cell>
          <cell r="D1160">
            <v>2.2799999999999998</v>
          </cell>
        </row>
        <row r="1161">
          <cell r="A1161" t="str">
            <v>1888768R00</v>
          </cell>
          <cell r="B1161">
            <v>5.28</v>
          </cell>
          <cell r="C1161">
            <v>2.29</v>
          </cell>
          <cell r="D1161">
            <v>3.28</v>
          </cell>
        </row>
        <row r="1162">
          <cell r="A1162" t="str">
            <v>1888772R00</v>
          </cell>
          <cell r="B1162">
            <v>6.29</v>
          </cell>
          <cell r="C1162">
            <v>1.82</v>
          </cell>
          <cell r="D1162">
            <v>2.76</v>
          </cell>
        </row>
        <row r="1163">
          <cell r="A1163" t="str">
            <v>1888802R00</v>
          </cell>
          <cell r="B1163">
            <v>4.6100000000000003</v>
          </cell>
          <cell r="C1163">
            <v>2.23</v>
          </cell>
          <cell r="D1163">
            <v>3.23</v>
          </cell>
        </row>
        <row r="1164">
          <cell r="A1164" t="str">
            <v>1888805R00</v>
          </cell>
          <cell r="B1164">
            <v>7.68</v>
          </cell>
          <cell r="C1164">
            <v>3.86</v>
          </cell>
          <cell r="D1164">
            <v>5.44</v>
          </cell>
        </row>
        <row r="1165">
          <cell r="A1165" t="str">
            <v>1888843R00</v>
          </cell>
          <cell r="B1165">
            <v>4.47</v>
          </cell>
          <cell r="C1165">
            <v>2.1</v>
          </cell>
          <cell r="D1165">
            <v>3.01</v>
          </cell>
        </row>
        <row r="1166">
          <cell r="A1166" t="str">
            <v>1888844R00</v>
          </cell>
          <cell r="B1166">
            <v>4.38</v>
          </cell>
          <cell r="C1166">
            <v>2.5499999999999998</v>
          </cell>
          <cell r="D1166">
            <v>3.79</v>
          </cell>
        </row>
        <row r="1167">
          <cell r="A1167" t="str">
            <v>1888847R00</v>
          </cell>
          <cell r="B1167">
            <v>4.82</v>
          </cell>
          <cell r="C1167">
            <v>2.2599999999999998</v>
          </cell>
          <cell r="D1167">
            <v>3.3</v>
          </cell>
        </row>
        <row r="1168">
          <cell r="A1168" t="str">
            <v>1888853R00</v>
          </cell>
          <cell r="B1168">
            <v>5.15</v>
          </cell>
          <cell r="C1168">
            <v>3</v>
          </cell>
          <cell r="D1168">
            <v>4.05</v>
          </cell>
        </row>
        <row r="1169">
          <cell r="A1169" t="str">
            <v>1888881R00</v>
          </cell>
          <cell r="B1169">
            <v>6.38</v>
          </cell>
          <cell r="C1169">
            <v>2.64</v>
          </cell>
          <cell r="D1169">
            <v>4.3499999999999996</v>
          </cell>
        </row>
        <row r="1170">
          <cell r="A1170" t="str">
            <v>1888915R00</v>
          </cell>
          <cell r="B1170">
            <v>1.72</v>
          </cell>
          <cell r="C1170">
            <v>0.88</v>
          </cell>
          <cell r="D1170">
            <v>1.87</v>
          </cell>
        </row>
        <row r="1171">
          <cell r="A1171" t="str">
            <v>1888944100</v>
          </cell>
          <cell r="B1171">
            <v>3.66</v>
          </cell>
          <cell r="C1171">
            <v>0.8</v>
          </cell>
          <cell r="D1171">
            <v>1.38</v>
          </cell>
        </row>
        <row r="1172">
          <cell r="A1172" t="str">
            <v>1888944R00</v>
          </cell>
          <cell r="B1172">
            <v>3.66</v>
          </cell>
          <cell r="C1172">
            <v>0.8</v>
          </cell>
          <cell r="D1172">
            <v>1.38</v>
          </cell>
        </row>
        <row r="1173">
          <cell r="A1173" t="str">
            <v>18890710NF</v>
          </cell>
          <cell r="B1173">
            <v>7.83</v>
          </cell>
          <cell r="C1173">
            <v>0</v>
          </cell>
          <cell r="D1173">
            <v>0</v>
          </cell>
        </row>
        <row r="1174">
          <cell r="A1174" t="str">
            <v>1889071100</v>
          </cell>
          <cell r="B1174">
            <v>3.67</v>
          </cell>
          <cell r="C1174">
            <v>0.96</v>
          </cell>
          <cell r="D1174">
            <v>1.77</v>
          </cell>
        </row>
        <row r="1175">
          <cell r="A1175" t="str">
            <v>1889071R00</v>
          </cell>
          <cell r="B1175">
            <v>3.67</v>
          </cell>
          <cell r="C1175">
            <v>0.96</v>
          </cell>
          <cell r="D1175">
            <v>1.77</v>
          </cell>
        </row>
        <row r="1176">
          <cell r="A1176" t="str">
            <v>1896603R00</v>
          </cell>
          <cell r="B1176">
            <v>2.31</v>
          </cell>
          <cell r="C1176">
            <v>0</v>
          </cell>
          <cell r="D1176">
            <v>0.08</v>
          </cell>
        </row>
        <row r="1177">
          <cell r="A1177" t="str">
            <v>1896604100</v>
          </cell>
          <cell r="B1177">
            <v>1.1599999999999999</v>
          </cell>
          <cell r="C1177">
            <v>0</v>
          </cell>
          <cell r="D1177">
            <v>0.05</v>
          </cell>
        </row>
        <row r="1178">
          <cell r="A1178" t="str">
            <v>1896604R00</v>
          </cell>
          <cell r="B1178">
            <v>1.1599999999999999</v>
          </cell>
          <cell r="C1178">
            <v>0</v>
          </cell>
          <cell r="D1178">
            <v>0.05</v>
          </cell>
        </row>
        <row r="1179">
          <cell r="A1179" t="str">
            <v>1896606100</v>
          </cell>
          <cell r="B1179">
            <v>0.98</v>
          </cell>
          <cell r="C1179">
            <v>0</v>
          </cell>
          <cell r="D1179">
            <v>0.04</v>
          </cell>
        </row>
        <row r="1180">
          <cell r="A1180" t="str">
            <v>1896606R00</v>
          </cell>
          <cell r="B1180">
            <v>1.07</v>
          </cell>
          <cell r="C1180">
            <v>0</v>
          </cell>
          <cell r="D1180">
            <v>0.04</v>
          </cell>
        </row>
        <row r="1181">
          <cell r="A1181" t="str">
            <v>1896612100</v>
          </cell>
          <cell r="B1181">
            <v>1.33</v>
          </cell>
          <cell r="C1181">
            <v>0</v>
          </cell>
          <cell r="D1181">
            <v>0.05</v>
          </cell>
        </row>
        <row r="1182">
          <cell r="A1182" t="str">
            <v>1896612R00</v>
          </cell>
          <cell r="B1182">
            <v>1.33</v>
          </cell>
          <cell r="C1182">
            <v>0</v>
          </cell>
          <cell r="D1182">
            <v>0.05</v>
          </cell>
        </row>
        <row r="1183">
          <cell r="A1183" t="str">
            <v>1896614R00</v>
          </cell>
          <cell r="B1183">
            <v>1.38</v>
          </cell>
          <cell r="C1183">
            <v>0</v>
          </cell>
          <cell r="D1183">
            <v>0.06</v>
          </cell>
        </row>
        <row r="1184">
          <cell r="A1184" t="str">
            <v>1896616R00</v>
          </cell>
          <cell r="B1184">
            <v>0.46</v>
          </cell>
          <cell r="C1184">
            <v>0</v>
          </cell>
          <cell r="D1184">
            <v>0.01</v>
          </cell>
        </row>
        <row r="1185">
          <cell r="A1185" t="str">
            <v>1896618100</v>
          </cell>
          <cell r="B1185">
            <v>1.25</v>
          </cell>
          <cell r="C1185">
            <v>0</v>
          </cell>
          <cell r="D1185">
            <v>0.05</v>
          </cell>
        </row>
        <row r="1186">
          <cell r="A1186" t="str">
            <v>1896618R00</v>
          </cell>
          <cell r="B1186">
            <v>1.25</v>
          </cell>
          <cell r="C1186">
            <v>0</v>
          </cell>
          <cell r="D1186">
            <v>0.05</v>
          </cell>
        </row>
        <row r="1187">
          <cell r="A1187" t="str">
            <v>1896622R00</v>
          </cell>
          <cell r="B1187">
            <v>1.65</v>
          </cell>
          <cell r="C1187">
            <v>0</v>
          </cell>
          <cell r="D1187">
            <v>0.06</v>
          </cell>
        </row>
        <row r="1188">
          <cell r="A1188" t="str">
            <v>1896654100</v>
          </cell>
          <cell r="B1188">
            <v>0</v>
          </cell>
          <cell r="C1188">
            <v>0</v>
          </cell>
          <cell r="D1188">
            <v>0.03</v>
          </cell>
        </row>
        <row r="1189">
          <cell r="A1189" t="str">
            <v>1896656100</v>
          </cell>
          <cell r="B1189">
            <v>0</v>
          </cell>
          <cell r="C1189">
            <v>0</v>
          </cell>
          <cell r="D1189">
            <v>0.03</v>
          </cell>
        </row>
        <row r="1190">
          <cell r="A1190" t="str">
            <v>1896659100</v>
          </cell>
          <cell r="B1190">
            <v>0.01</v>
          </cell>
          <cell r="C1190">
            <v>0</v>
          </cell>
          <cell r="D1190">
            <v>0.03</v>
          </cell>
        </row>
        <row r="1191">
          <cell r="A1191" t="str">
            <v>1896664100</v>
          </cell>
          <cell r="B1191">
            <v>0.88</v>
          </cell>
          <cell r="C1191">
            <v>0</v>
          </cell>
          <cell r="D1191">
            <v>0</v>
          </cell>
        </row>
        <row r="1192">
          <cell r="A1192" t="str">
            <v>1896669100</v>
          </cell>
          <cell r="B1192">
            <v>0</v>
          </cell>
          <cell r="C1192">
            <v>0</v>
          </cell>
          <cell r="D1192">
            <v>0.03</v>
          </cell>
        </row>
        <row r="1193">
          <cell r="A1193" t="str">
            <v>1896670100</v>
          </cell>
          <cell r="B1193">
            <v>0</v>
          </cell>
          <cell r="C1193">
            <v>0</v>
          </cell>
          <cell r="D1193">
            <v>0.03</v>
          </cell>
        </row>
        <row r="1194">
          <cell r="A1194" t="str">
            <v>1896907100</v>
          </cell>
          <cell r="B1194">
            <v>1.83</v>
          </cell>
          <cell r="C1194">
            <v>0.39</v>
          </cell>
          <cell r="D1194">
            <v>0.69</v>
          </cell>
        </row>
        <row r="1195">
          <cell r="A1195" t="str">
            <v>1896908100</v>
          </cell>
          <cell r="B1195">
            <v>1.83</v>
          </cell>
          <cell r="C1195">
            <v>0.39</v>
          </cell>
          <cell r="D1195">
            <v>0.69</v>
          </cell>
        </row>
        <row r="1196">
          <cell r="A1196" t="str">
            <v>1896973R00</v>
          </cell>
          <cell r="B1196">
            <v>1.17</v>
          </cell>
          <cell r="C1196">
            <v>0</v>
          </cell>
          <cell r="D1196">
            <v>0.05</v>
          </cell>
        </row>
        <row r="1197">
          <cell r="A1197" t="str">
            <v>18D00190G0</v>
          </cell>
          <cell r="B1197">
            <v>0.6</v>
          </cell>
          <cell r="C1197">
            <v>0.21</v>
          </cell>
          <cell r="D1197">
            <v>0.43</v>
          </cell>
        </row>
        <row r="1198">
          <cell r="A1198" t="str">
            <v>18D0263100</v>
          </cell>
          <cell r="B1198">
            <v>0.14000000000000001</v>
          </cell>
          <cell r="C1198">
            <v>0.02</v>
          </cell>
          <cell r="D1198">
            <v>0.05</v>
          </cell>
        </row>
        <row r="1199">
          <cell r="A1199" t="str">
            <v>18D0264100</v>
          </cell>
          <cell r="B1199">
            <v>1.66</v>
          </cell>
          <cell r="C1199">
            <v>0</v>
          </cell>
          <cell r="D1199">
            <v>0</v>
          </cell>
        </row>
        <row r="1200">
          <cell r="A1200" t="str">
            <v>18D0268100</v>
          </cell>
          <cell r="B1200">
            <v>0.36</v>
          </cell>
          <cell r="C1200">
            <v>0.28000000000000003</v>
          </cell>
          <cell r="D1200">
            <v>0.6</v>
          </cell>
        </row>
        <row r="1201">
          <cell r="A1201" t="str">
            <v>18D0388100</v>
          </cell>
          <cell r="B1201">
            <v>0.51</v>
          </cell>
          <cell r="C1201">
            <v>0.08</v>
          </cell>
          <cell r="D1201">
            <v>0.18</v>
          </cell>
        </row>
        <row r="1202">
          <cell r="A1202" t="str">
            <v>18D0460100</v>
          </cell>
          <cell r="B1202">
            <v>0.65</v>
          </cell>
          <cell r="C1202">
            <v>0.28000000000000003</v>
          </cell>
          <cell r="D1202">
            <v>0.34</v>
          </cell>
        </row>
        <row r="1203">
          <cell r="A1203" t="str">
            <v>18D0894100</v>
          </cell>
          <cell r="B1203">
            <v>0.42</v>
          </cell>
          <cell r="C1203">
            <v>0.09</v>
          </cell>
          <cell r="D1203">
            <v>0.17</v>
          </cell>
        </row>
        <row r="1204">
          <cell r="A1204" t="str">
            <v>18D0997100</v>
          </cell>
          <cell r="B1204">
            <v>0.73</v>
          </cell>
          <cell r="C1204">
            <v>0.1</v>
          </cell>
          <cell r="D1204">
            <v>0.22</v>
          </cell>
        </row>
        <row r="1205">
          <cell r="A1205" t="str">
            <v>18D1150100</v>
          </cell>
          <cell r="B1205">
            <v>1.48</v>
          </cell>
          <cell r="C1205">
            <v>0</v>
          </cell>
          <cell r="D1205">
            <v>0</v>
          </cell>
        </row>
        <row r="1206">
          <cell r="A1206" t="str">
            <v>18D1308100</v>
          </cell>
          <cell r="B1206">
            <v>8.33</v>
          </cell>
          <cell r="C1206">
            <v>3.88</v>
          </cell>
          <cell r="D1206">
            <v>5.98</v>
          </cell>
        </row>
        <row r="1207">
          <cell r="A1207" t="str">
            <v>18D1669100</v>
          </cell>
          <cell r="B1207">
            <v>1.07</v>
          </cell>
          <cell r="C1207">
            <v>0.11</v>
          </cell>
          <cell r="D1207">
            <v>0.23</v>
          </cell>
        </row>
        <row r="1208">
          <cell r="A1208" t="str">
            <v>18D1715100</v>
          </cell>
          <cell r="B1208">
            <v>0.3</v>
          </cell>
          <cell r="C1208">
            <v>7.0000000000000007E-2</v>
          </cell>
          <cell r="D1208">
            <v>0.16</v>
          </cell>
        </row>
        <row r="1209">
          <cell r="A1209" t="str">
            <v>18D1722100</v>
          </cell>
          <cell r="B1209">
            <v>0.84</v>
          </cell>
          <cell r="C1209">
            <v>0.1</v>
          </cell>
          <cell r="D1209">
            <v>0.22</v>
          </cell>
        </row>
        <row r="1210">
          <cell r="A1210" t="str">
            <v>18D17811G0</v>
          </cell>
          <cell r="B1210">
            <v>1.23</v>
          </cell>
          <cell r="C1210">
            <v>0.11</v>
          </cell>
          <cell r="D1210">
            <v>0.25</v>
          </cell>
        </row>
        <row r="1211">
          <cell r="A1211" t="str">
            <v>18D1831100</v>
          </cell>
          <cell r="B1211">
            <v>1.6</v>
          </cell>
          <cell r="C1211">
            <v>0</v>
          </cell>
          <cell r="D1211">
            <v>0</v>
          </cell>
        </row>
        <row r="1212">
          <cell r="A1212" t="str">
            <v>18D1832100</v>
          </cell>
          <cell r="B1212">
            <v>1.6</v>
          </cell>
          <cell r="C1212">
            <v>0</v>
          </cell>
          <cell r="D1212">
            <v>0</v>
          </cell>
        </row>
        <row r="1213">
          <cell r="A1213" t="str">
            <v>18D1842100</v>
          </cell>
          <cell r="B1213">
            <v>1.1000000000000001</v>
          </cell>
          <cell r="C1213">
            <v>0.12</v>
          </cell>
          <cell r="D1213">
            <v>0.26</v>
          </cell>
        </row>
        <row r="1214">
          <cell r="A1214" t="str">
            <v>18D1897100</v>
          </cell>
          <cell r="B1214">
            <v>1.03</v>
          </cell>
          <cell r="C1214">
            <v>0.12</v>
          </cell>
          <cell r="D1214">
            <v>0.26</v>
          </cell>
        </row>
        <row r="1215">
          <cell r="A1215" t="str">
            <v>18D1991100</v>
          </cell>
          <cell r="B1215">
            <v>2.21</v>
          </cell>
          <cell r="C1215">
            <v>0</v>
          </cell>
          <cell r="D1215">
            <v>0</v>
          </cell>
        </row>
        <row r="1216">
          <cell r="A1216" t="str">
            <v>18D1992100</v>
          </cell>
          <cell r="B1216">
            <v>1.78</v>
          </cell>
          <cell r="C1216">
            <v>0</v>
          </cell>
          <cell r="D1216">
            <v>0</v>
          </cell>
        </row>
        <row r="1217">
          <cell r="A1217" t="str">
            <v>18D2046100</v>
          </cell>
          <cell r="B1217">
            <v>0.9</v>
          </cell>
          <cell r="C1217">
            <v>0</v>
          </cell>
          <cell r="D1217">
            <v>0</v>
          </cell>
        </row>
        <row r="1218">
          <cell r="A1218" t="str">
            <v>18D2153100</v>
          </cell>
          <cell r="B1218">
            <v>0.41</v>
          </cell>
          <cell r="C1218">
            <v>0.09</v>
          </cell>
          <cell r="D1218">
            <v>0.19</v>
          </cell>
        </row>
        <row r="1219">
          <cell r="A1219" t="str">
            <v>18D2330100</v>
          </cell>
          <cell r="B1219">
            <v>1.7</v>
          </cell>
          <cell r="C1219">
            <v>0</v>
          </cell>
          <cell r="D1219">
            <v>0</v>
          </cell>
        </row>
        <row r="1220">
          <cell r="A1220" t="str">
            <v>18D23521G0</v>
          </cell>
          <cell r="B1220">
            <v>0.44</v>
          </cell>
          <cell r="C1220">
            <v>0.09</v>
          </cell>
          <cell r="D1220">
            <v>0.18</v>
          </cell>
        </row>
        <row r="1221">
          <cell r="A1221" t="str">
            <v>18D25991G0</v>
          </cell>
          <cell r="B1221">
            <v>0.4</v>
          </cell>
          <cell r="C1221">
            <v>0.08</v>
          </cell>
          <cell r="D1221">
            <v>0.18</v>
          </cell>
        </row>
        <row r="1222">
          <cell r="A1222" t="str">
            <v>18D2672100</v>
          </cell>
          <cell r="B1222">
            <v>1.05</v>
          </cell>
          <cell r="C1222">
            <v>0.02</v>
          </cell>
          <cell r="D1222">
            <v>0.06</v>
          </cell>
        </row>
        <row r="1223">
          <cell r="A1223" t="str">
            <v>18D2676100</v>
          </cell>
          <cell r="B1223">
            <v>2.88</v>
          </cell>
          <cell r="C1223">
            <v>0.12</v>
          </cell>
          <cell r="D1223">
            <v>0.32</v>
          </cell>
        </row>
        <row r="1224">
          <cell r="A1224" t="str">
            <v>18D2677100</v>
          </cell>
          <cell r="B1224">
            <v>4.76</v>
          </cell>
          <cell r="C1224">
            <v>0.12</v>
          </cell>
          <cell r="D1224">
            <v>0.33</v>
          </cell>
        </row>
        <row r="1225">
          <cell r="A1225" t="str">
            <v>18D27811G0</v>
          </cell>
          <cell r="B1225">
            <v>1.29</v>
          </cell>
          <cell r="C1225">
            <v>0.13</v>
          </cell>
          <cell r="D1225">
            <v>0.3</v>
          </cell>
        </row>
        <row r="1226">
          <cell r="A1226" t="str">
            <v>18D28151G0</v>
          </cell>
          <cell r="B1226">
            <v>1.07</v>
          </cell>
          <cell r="C1226">
            <v>0.2</v>
          </cell>
          <cell r="D1226">
            <v>0.4</v>
          </cell>
        </row>
        <row r="1227">
          <cell r="A1227" t="str">
            <v>18D2834100</v>
          </cell>
          <cell r="B1227">
            <v>11.73</v>
          </cell>
          <cell r="C1227">
            <v>1.39</v>
          </cell>
          <cell r="D1227">
            <v>2.2400000000000002</v>
          </cell>
        </row>
        <row r="1228">
          <cell r="A1228" t="str">
            <v>18D2840100</v>
          </cell>
          <cell r="B1228">
            <v>2.88</v>
          </cell>
          <cell r="C1228">
            <v>0.12</v>
          </cell>
          <cell r="D1228">
            <v>0.32</v>
          </cell>
        </row>
        <row r="1229">
          <cell r="A1229" t="str">
            <v>18D2841100</v>
          </cell>
          <cell r="B1229">
            <v>4.2</v>
          </cell>
          <cell r="C1229">
            <v>0.12</v>
          </cell>
          <cell r="D1229">
            <v>0.33</v>
          </cell>
        </row>
        <row r="1230">
          <cell r="A1230" t="str">
            <v>18D2842100</v>
          </cell>
          <cell r="B1230">
            <v>2.88</v>
          </cell>
          <cell r="C1230">
            <v>0.12</v>
          </cell>
          <cell r="D1230">
            <v>0.32</v>
          </cell>
        </row>
        <row r="1231">
          <cell r="A1231" t="str">
            <v>18D2843100</v>
          </cell>
          <cell r="B1231">
            <v>4.76</v>
          </cell>
          <cell r="C1231">
            <v>0.12</v>
          </cell>
          <cell r="D1231">
            <v>0.33</v>
          </cell>
        </row>
        <row r="1232">
          <cell r="A1232" t="str">
            <v>18D2844100</v>
          </cell>
          <cell r="B1232">
            <v>2.88</v>
          </cell>
          <cell r="C1232">
            <v>0.12</v>
          </cell>
          <cell r="D1232">
            <v>0.32</v>
          </cell>
        </row>
        <row r="1233">
          <cell r="A1233" t="str">
            <v>18D2845100</v>
          </cell>
          <cell r="B1233">
            <v>4.76</v>
          </cell>
          <cell r="C1233">
            <v>0.12</v>
          </cell>
          <cell r="D1233">
            <v>0.33</v>
          </cell>
        </row>
        <row r="1234">
          <cell r="A1234" t="str">
            <v>18D2846100</v>
          </cell>
          <cell r="B1234">
            <v>2.88</v>
          </cell>
          <cell r="C1234">
            <v>0.12</v>
          </cell>
          <cell r="D1234">
            <v>0.32</v>
          </cell>
        </row>
        <row r="1235">
          <cell r="A1235" t="str">
            <v>18D2848100</v>
          </cell>
          <cell r="B1235">
            <v>1.05</v>
          </cell>
          <cell r="C1235">
            <v>0.02</v>
          </cell>
          <cell r="D1235">
            <v>0.06</v>
          </cell>
        </row>
        <row r="1236">
          <cell r="A1236" t="str">
            <v>18D2851100</v>
          </cell>
          <cell r="B1236">
            <v>1.18</v>
          </cell>
          <cell r="C1236">
            <v>0.02</v>
          </cell>
          <cell r="D1236">
            <v>0.06</v>
          </cell>
        </row>
        <row r="1237">
          <cell r="A1237" t="str">
            <v>18D2852100</v>
          </cell>
          <cell r="B1237">
            <v>0.54</v>
          </cell>
          <cell r="C1237">
            <v>0.02</v>
          </cell>
          <cell r="D1237">
            <v>0.06</v>
          </cell>
        </row>
        <row r="1238">
          <cell r="A1238" t="str">
            <v>18D2855100</v>
          </cell>
          <cell r="B1238">
            <v>1.05</v>
          </cell>
          <cell r="C1238">
            <v>0.02</v>
          </cell>
          <cell r="D1238">
            <v>0.06</v>
          </cell>
        </row>
        <row r="1239">
          <cell r="A1239" t="str">
            <v>18D28691G0</v>
          </cell>
          <cell r="B1239">
            <v>1.18</v>
          </cell>
          <cell r="C1239">
            <v>0.12</v>
          </cell>
          <cell r="D1239">
            <v>0.27</v>
          </cell>
        </row>
        <row r="1240">
          <cell r="A1240" t="str">
            <v>18D28781G0</v>
          </cell>
          <cell r="B1240">
            <v>1.18</v>
          </cell>
          <cell r="C1240">
            <v>0.21</v>
          </cell>
          <cell r="D1240">
            <v>0.49</v>
          </cell>
        </row>
        <row r="1241">
          <cell r="A1241" t="str">
            <v>18D29121G0</v>
          </cell>
          <cell r="B1241">
            <v>0.56000000000000005</v>
          </cell>
          <cell r="C1241">
            <v>0.14000000000000001</v>
          </cell>
          <cell r="D1241">
            <v>0.27</v>
          </cell>
        </row>
        <row r="1242">
          <cell r="A1242" t="str">
            <v>18D29131G0</v>
          </cell>
          <cell r="B1242">
            <v>1.26</v>
          </cell>
          <cell r="C1242">
            <v>0.34</v>
          </cell>
          <cell r="D1242">
            <v>0.57999999999999996</v>
          </cell>
        </row>
        <row r="1243">
          <cell r="A1243" t="str">
            <v>18D29171G0</v>
          </cell>
          <cell r="B1243">
            <v>0.35</v>
          </cell>
          <cell r="C1243">
            <v>0.08</v>
          </cell>
          <cell r="D1243">
            <v>0.16</v>
          </cell>
        </row>
        <row r="1244">
          <cell r="A1244" t="str">
            <v>18D29181G0</v>
          </cell>
          <cell r="B1244">
            <v>0.85</v>
          </cell>
          <cell r="C1244">
            <v>0.11</v>
          </cell>
          <cell r="D1244">
            <v>0.24</v>
          </cell>
        </row>
        <row r="1245">
          <cell r="A1245" t="str">
            <v>18D3099100</v>
          </cell>
          <cell r="B1245">
            <v>2.21</v>
          </cell>
          <cell r="C1245">
            <v>0</v>
          </cell>
          <cell r="D1245">
            <v>0</v>
          </cell>
        </row>
        <row r="1246">
          <cell r="A1246" t="str">
            <v>18D3100100</v>
          </cell>
          <cell r="B1246">
            <v>1.9</v>
          </cell>
          <cell r="C1246">
            <v>0</v>
          </cell>
          <cell r="D1246">
            <v>0</v>
          </cell>
        </row>
        <row r="1247">
          <cell r="A1247" t="str">
            <v>18D3196100</v>
          </cell>
          <cell r="B1247">
            <v>1.1499999999999999</v>
          </cell>
          <cell r="C1247">
            <v>0</v>
          </cell>
          <cell r="D1247">
            <v>0</v>
          </cell>
        </row>
        <row r="1248">
          <cell r="A1248" t="str">
            <v>18D3203100</v>
          </cell>
          <cell r="B1248">
            <v>1.18</v>
          </cell>
          <cell r="C1248">
            <v>0</v>
          </cell>
          <cell r="D1248">
            <v>0</v>
          </cell>
        </row>
        <row r="1249">
          <cell r="A1249" t="str">
            <v>18D3204100</v>
          </cell>
          <cell r="B1249">
            <v>0.95</v>
          </cell>
          <cell r="C1249">
            <v>0</v>
          </cell>
          <cell r="D1249">
            <v>0</v>
          </cell>
        </row>
        <row r="1250">
          <cell r="A1250" t="str">
            <v>18D3305100</v>
          </cell>
          <cell r="B1250">
            <v>2.88</v>
          </cell>
          <cell r="C1250">
            <v>0.12</v>
          </cell>
          <cell r="D1250">
            <v>0.32</v>
          </cell>
        </row>
        <row r="1251">
          <cell r="A1251" t="str">
            <v>18D3306100</v>
          </cell>
          <cell r="B1251">
            <v>4.2</v>
          </cell>
          <cell r="C1251">
            <v>0.12</v>
          </cell>
          <cell r="D1251">
            <v>0.33</v>
          </cell>
        </row>
        <row r="1252">
          <cell r="A1252" t="str">
            <v>18D3310100</v>
          </cell>
          <cell r="B1252">
            <v>1.25</v>
          </cell>
          <cell r="C1252">
            <v>0.02</v>
          </cell>
          <cell r="D1252">
            <v>0.06</v>
          </cell>
        </row>
        <row r="1253">
          <cell r="A1253" t="str">
            <v>18D3347100</v>
          </cell>
          <cell r="B1253">
            <v>1.84</v>
          </cell>
          <cell r="C1253">
            <v>0</v>
          </cell>
          <cell r="D1253">
            <v>0</v>
          </cell>
        </row>
        <row r="1254">
          <cell r="A1254" t="str">
            <v>18D3349100</v>
          </cell>
          <cell r="B1254">
            <v>0.46</v>
          </cell>
          <cell r="C1254">
            <v>0</v>
          </cell>
          <cell r="D1254">
            <v>0</v>
          </cell>
        </row>
        <row r="1255">
          <cell r="A1255" t="str">
            <v>18D4602100</v>
          </cell>
          <cell r="B1255">
            <v>0.73</v>
          </cell>
          <cell r="C1255">
            <v>0.09</v>
          </cell>
          <cell r="D1255">
            <v>0.2</v>
          </cell>
        </row>
        <row r="1256">
          <cell r="A1256" t="str">
            <v>18D6569100</v>
          </cell>
          <cell r="B1256">
            <v>0.62</v>
          </cell>
          <cell r="C1256">
            <v>0.17</v>
          </cell>
          <cell r="D1256">
            <v>0.33</v>
          </cell>
        </row>
        <row r="1257">
          <cell r="A1257" t="str">
            <v>18D6571100</v>
          </cell>
          <cell r="B1257">
            <v>0.67</v>
          </cell>
          <cell r="C1257">
            <v>0.08</v>
          </cell>
          <cell r="D1257">
            <v>0.18</v>
          </cell>
        </row>
        <row r="1258">
          <cell r="A1258" t="str">
            <v>18D6572100</v>
          </cell>
          <cell r="B1258">
            <v>0.6</v>
          </cell>
          <cell r="C1258">
            <v>0.09</v>
          </cell>
          <cell r="D1258">
            <v>0.2</v>
          </cell>
        </row>
        <row r="1259">
          <cell r="A1259" t="str">
            <v>18D6584100</v>
          </cell>
          <cell r="B1259">
            <v>0.98</v>
          </cell>
          <cell r="C1259">
            <v>0.11</v>
          </cell>
          <cell r="D1259">
            <v>0.25</v>
          </cell>
        </row>
        <row r="1260">
          <cell r="A1260" t="str">
            <v>18D6797100</v>
          </cell>
          <cell r="B1260">
            <v>0.59</v>
          </cell>
          <cell r="C1260">
            <v>0.08</v>
          </cell>
          <cell r="D1260">
            <v>0.18</v>
          </cell>
        </row>
        <row r="1261">
          <cell r="A1261" t="str">
            <v>18F6451100</v>
          </cell>
          <cell r="B1261">
            <v>14.36</v>
          </cell>
          <cell r="C1261">
            <v>2.0499999999999998</v>
          </cell>
          <cell r="D1261">
            <v>4.76</v>
          </cell>
        </row>
        <row r="1262">
          <cell r="A1262" t="str">
            <v>18F6473300</v>
          </cell>
          <cell r="B1262">
            <v>17.62</v>
          </cell>
          <cell r="C1262">
            <v>3.57</v>
          </cell>
          <cell r="D1262">
            <v>6.82</v>
          </cell>
        </row>
        <row r="1263">
          <cell r="A1263" t="str">
            <v>18F6473H00</v>
          </cell>
          <cell r="B1263">
            <v>17.61</v>
          </cell>
          <cell r="C1263">
            <v>3.57</v>
          </cell>
          <cell r="D1263">
            <v>6.74</v>
          </cell>
        </row>
        <row r="1264">
          <cell r="A1264" t="str">
            <v>18F6474100</v>
          </cell>
          <cell r="B1264">
            <v>17.57</v>
          </cell>
          <cell r="C1264">
            <v>3.57</v>
          </cell>
          <cell r="D1264">
            <v>6.82</v>
          </cell>
        </row>
        <row r="1265">
          <cell r="A1265" t="str">
            <v>18F6475100</v>
          </cell>
          <cell r="B1265">
            <v>17.37</v>
          </cell>
          <cell r="C1265">
            <v>3.8</v>
          </cell>
          <cell r="D1265">
            <v>7.25</v>
          </cell>
        </row>
        <row r="1266">
          <cell r="A1266" t="str">
            <v>18F6475R00</v>
          </cell>
          <cell r="B1266">
            <v>17.350000000000001</v>
          </cell>
          <cell r="C1266">
            <v>3.86</v>
          </cell>
          <cell r="D1266">
            <v>7.29</v>
          </cell>
        </row>
        <row r="1267">
          <cell r="A1267" t="str">
            <v>18F6500300</v>
          </cell>
          <cell r="B1267">
            <v>14.89</v>
          </cell>
          <cell r="C1267">
            <v>2.6</v>
          </cell>
          <cell r="D1267">
            <v>3.8</v>
          </cell>
        </row>
        <row r="1268">
          <cell r="A1268" t="str">
            <v>18F6500R00</v>
          </cell>
          <cell r="B1268">
            <v>14.88</v>
          </cell>
          <cell r="C1268">
            <v>2.65</v>
          </cell>
          <cell r="D1268">
            <v>3.84</v>
          </cell>
        </row>
        <row r="1269">
          <cell r="A1269" t="str">
            <v>18F6501200</v>
          </cell>
          <cell r="B1269">
            <v>14.43</v>
          </cell>
          <cell r="C1269">
            <v>2.58</v>
          </cell>
          <cell r="D1269">
            <v>3.76</v>
          </cell>
        </row>
        <row r="1270">
          <cell r="A1270" t="str">
            <v>18F6501300</v>
          </cell>
          <cell r="B1270">
            <v>14.43</v>
          </cell>
          <cell r="C1270">
            <v>2.58</v>
          </cell>
          <cell r="D1270">
            <v>3.74</v>
          </cell>
        </row>
        <row r="1271">
          <cell r="A1271" t="str">
            <v>18F6501R00</v>
          </cell>
          <cell r="B1271">
            <v>14.41</v>
          </cell>
          <cell r="C1271">
            <v>2.64</v>
          </cell>
          <cell r="D1271">
            <v>3.81</v>
          </cell>
        </row>
        <row r="1272">
          <cell r="A1272" t="str">
            <v>18F6502300</v>
          </cell>
          <cell r="B1272">
            <v>13.48</v>
          </cell>
          <cell r="C1272">
            <v>2.38</v>
          </cell>
          <cell r="D1272">
            <v>3.61</v>
          </cell>
        </row>
        <row r="1273">
          <cell r="A1273" t="str">
            <v>18F6503200</v>
          </cell>
          <cell r="B1273">
            <v>12.91</v>
          </cell>
          <cell r="C1273">
            <v>2.36</v>
          </cell>
          <cell r="D1273">
            <v>3.57</v>
          </cell>
        </row>
        <row r="1274">
          <cell r="A1274" t="str">
            <v>18F6503300</v>
          </cell>
          <cell r="B1274">
            <v>12.91</v>
          </cell>
          <cell r="C1274">
            <v>2.36</v>
          </cell>
          <cell r="D1274">
            <v>3.57</v>
          </cell>
        </row>
        <row r="1275">
          <cell r="A1275" t="str">
            <v>18F6503R00</v>
          </cell>
          <cell r="B1275">
            <v>12.89</v>
          </cell>
          <cell r="C1275">
            <v>2.42</v>
          </cell>
          <cell r="D1275">
            <v>3.62</v>
          </cell>
        </row>
        <row r="1276">
          <cell r="A1276" t="str">
            <v>18F6504300</v>
          </cell>
          <cell r="B1276">
            <v>14.98</v>
          </cell>
          <cell r="C1276">
            <v>2.92</v>
          </cell>
          <cell r="D1276">
            <v>4.32</v>
          </cell>
        </row>
        <row r="1277">
          <cell r="A1277" t="str">
            <v>18F6504H00</v>
          </cell>
          <cell r="B1277">
            <v>14.96</v>
          </cell>
          <cell r="C1277">
            <v>2.92</v>
          </cell>
          <cell r="D1277">
            <v>4.32</v>
          </cell>
        </row>
        <row r="1278">
          <cell r="A1278" t="str">
            <v>18F6504R00</v>
          </cell>
          <cell r="B1278">
            <v>14.96</v>
          </cell>
          <cell r="C1278">
            <v>2.97</v>
          </cell>
          <cell r="D1278">
            <v>4.37</v>
          </cell>
        </row>
        <row r="1279">
          <cell r="A1279" t="str">
            <v>18F6505300</v>
          </cell>
          <cell r="B1279">
            <v>14.39</v>
          </cell>
          <cell r="C1279">
            <v>2.91</v>
          </cell>
          <cell r="D1279">
            <v>4.3099999999999996</v>
          </cell>
        </row>
        <row r="1280">
          <cell r="A1280" t="str">
            <v>18F6505R00</v>
          </cell>
          <cell r="B1280">
            <v>14.37</v>
          </cell>
          <cell r="C1280">
            <v>2.97</v>
          </cell>
          <cell r="D1280">
            <v>4.3499999999999996</v>
          </cell>
        </row>
        <row r="1281">
          <cell r="A1281" t="str">
            <v>18F6506300</v>
          </cell>
          <cell r="B1281">
            <v>14.31</v>
          </cell>
          <cell r="C1281">
            <v>2.8</v>
          </cell>
          <cell r="D1281">
            <v>4.45</v>
          </cell>
        </row>
        <row r="1282">
          <cell r="A1282" t="str">
            <v>18F6506R00</v>
          </cell>
          <cell r="B1282">
            <v>14.3</v>
          </cell>
          <cell r="C1282">
            <v>2.86</v>
          </cell>
          <cell r="D1282">
            <v>4.5</v>
          </cell>
        </row>
        <row r="1283">
          <cell r="A1283" t="str">
            <v>18F6507200</v>
          </cell>
          <cell r="B1283">
            <v>13.81</v>
          </cell>
          <cell r="C1283">
            <v>2.79</v>
          </cell>
          <cell r="D1283">
            <v>4.41</v>
          </cell>
        </row>
        <row r="1284">
          <cell r="A1284" t="str">
            <v>18F6507300</v>
          </cell>
          <cell r="B1284">
            <v>13.81</v>
          </cell>
          <cell r="C1284">
            <v>2.79</v>
          </cell>
          <cell r="D1284">
            <v>4.42</v>
          </cell>
        </row>
        <row r="1285">
          <cell r="A1285" t="str">
            <v>18F6507R00</v>
          </cell>
          <cell r="B1285">
            <v>13.79</v>
          </cell>
          <cell r="C1285">
            <v>2.85</v>
          </cell>
          <cell r="D1285">
            <v>4.46</v>
          </cell>
        </row>
        <row r="1286">
          <cell r="A1286" t="str">
            <v>18F6508100</v>
          </cell>
          <cell r="B1286">
            <v>15</v>
          </cell>
          <cell r="C1286">
            <v>2.59</v>
          </cell>
          <cell r="D1286">
            <v>3.77</v>
          </cell>
        </row>
        <row r="1287">
          <cell r="A1287" t="str">
            <v>18F6508R00</v>
          </cell>
          <cell r="B1287">
            <v>14.99</v>
          </cell>
          <cell r="C1287">
            <v>2.64</v>
          </cell>
          <cell r="D1287">
            <v>3.82</v>
          </cell>
        </row>
        <row r="1288">
          <cell r="A1288" t="str">
            <v>18F6509100</v>
          </cell>
          <cell r="B1288">
            <v>13.5</v>
          </cell>
          <cell r="C1288">
            <v>2.36</v>
          </cell>
          <cell r="D1288">
            <v>3.58</v>
          </cell>
        </row>
        <row r="1289">
          <cell r="A1289" t="str">
            <v>18F6509R00</v>
          </cell>
          <cell r="B1289">
            <v>13.49</v>
          </cell>
          <cell r="C1289">
            <v>2.42</v>
          </cell>
          <cell r="D1289">
            <v>3.63</v>
          </cell>
        </row>
        <row r="1290">
          <cell r="A1290" t="str">
            <v>18F6510100</v>
          </cell>
          <cell r="B1290">
            <v>14.95</v>
          </cell>
          <cell r="C1290">
            <v>2.91</v>
          </cell>
          <cell r="D1290">
            <v>4.3099999999999996</v>
          </cell>
        </row>
        <row r="1291">
          <cell r="A1291" t="str">
            <v>18F6510R00</v>
          </cell>
          <cell r="B1291">
            <v>14.94</v>
          </cell>
          <cell r="C1291">
            <v>2.97</v>
          </cell>
          <cell r="D1291">
            <v>4.3600000000000003</v>
          </cell>
        </row>
        <row r="1292">
          <cell r="A1292" t="str">
            <v>18F6511100</v>
          </cell>
          <cell r="B1292">
            <v>14.34</v>
          </cell>
          <cell r="C1292">
            <v>2.79</v>
          </cell>
          <cell r="D1292">
            <v>4.42</v>
          </cell>
        </row>
        <row r="1293">
          <cell r="A1293" t="str">
            <v>18F6511R00</v>
          </cell>
          <cell r="B1293">
            <v>14.33</v>
          </cell>
          <cell r="C1293">
            <v>2.85</v>
          </cell>
          <cell r="D1293">
            <v>4.47</v>
          </cell>
        </row>
        <row r="1294">
          <cell r="A1294" t="str">
            <v>18F6512R00</v>
          </cell>
          <cell r="B1294">
            <v>13.17</v>
          </cell>
          <cell r="C1294">
            <v>2.42</v>
          </cell>
          <cell r="D1294">
            <v>3.62</v>
          </cell>
        </row>
        <row r="1295">
          <cell r="A1295" t="str">
            <v>18F6513100</v>
          </cell>
          <cell r="B1295">
            <v>14.63</v>
          </cell>
          <cell r="C1295">
            <v>3.03</v>
          </cell>
          <cell r="D1295">
            <v>4.5199999999999996</v>
          </cell>
        </row>
        <row r="1296">
          <cell r="A1296" t="str">
            <v>18F6513R00</v>
          </cell>
          <cell r="B1296">
            <v>14.61</v>
          </cell>
          <cell r="C1296">
            <v>3.09</v>
          </cell>
          <cell r="D1296">
            <v>4.57</v>
          </cell>
        </row>
        <row r="1297">
          <cell r="A1297" t="str">
            <v>18F6514100</v>
          </cell>
          <cell r="B1297">
            <v>14.62</v>
          </cell>
          <cell r="C1297">
            <v>2.69</v>
          </cell>
          <cell r="D1297">
            <v>3.95</v>
          </cell>
        </row>
        <row r="1298">
          <cell r="A1298" t="str">
            <v>18F6514R00</v>
          </cell>
          <cell r="B1298">
            <v>14.6</v>
          </cell>
          <cell r="C1298">
            <v>2.75</v>
          </cell>
          <cell r="D1298">
            <v>4</v>
          </cell>
        </row>
        <row r="1299">
          <cell r="A1299" t="str">
            <v>18F65501G0</v>
          </cell>
          <cell r="B1299">
            <v>1.18</v>
          </cell>
          <cell r="C1299">
            <v>0.12</v>
          </cell>
          <cell r="D1299">
            <v>0.27</v>
          </cell>
        </row>
        <row r="1300">
          <cell r="A1300" t="str">
            <v>18F6553100</v>
          </cell>
          <cell r="B1300">
            <v>1.18</v>
          </cell>
          <cell r="C1300">
            <v>0.1</v>
          </cell>
          <cell r="D1300">
            <v>0.22</v>
          </cell>
        </row>
        <row r="1301">
          <cell r="A1301" t="str">
            <v>18F6556100</v>
          </cell>
          <cell r="B1301">
            <v>1.18</v>
          </cell>
          <cell r="C1301">
            <v>0.21</v>
          </cell>
          <cell r="D1301">
            <v>0.49</v>
          </cell>
        </row>
        <row r="1302">
          <cell r="A1302" t="str">
            <v>18F6662300</v>
          </cell>
          <cell r="B1302">
            <v>17.09</v>
          </cell>
          <cell r="C1302">
            <v>3.56</v>
          </cell>
          <cell r="D1302">
            <v>6.8</v>
          </cell>
        </row>
        <row r="1303">
          <cell r="A1303" t="str">
            <v>18F6662R00</v>
          </cell>
          <cell r="B1303">
            <v>17.07</v>
          </cell>
          <cell r="C1303">
            <v>3.62</v>
          </cell>
          <cell r="D1303">
            <v>6.85</v>
          </cell>
        </row>
        <row r="1304">
          <cell r="A1304" t="str">
            <v>18F6688300</v>
          </cell>
          <cell r="B1304">
            <v>12.61</v>
          </cell>
          <cell r="C1304">
            <v>2.5299999999999998</v>
          </cell>
          <cell r="D1304">
            <v>4.24</v>
          </cell>
        </row>
        <row r="1305">
          <cell r="A1305" t="str">
            <v>18F6688R00</v>
          </cell>
          <cell r="B1305">
            <v>12.59</v>
          </cell>
          <cell r="C1305">
            <v>2.58</v>
          </cell>
          <cell r="D1305">
            <v>4.29</v>
          </cell>
        </row>
        <row r="1306">
          <cell r="A1306" t="str">
            <v>18F6689300</v>
          </cell>
          <cell r="B1306">
            <v>13.19</v>
          </cell>
          <cell r="C1306">
            <v>2.54</v>
          </cell>
          <cell r="D1306">
            <v>4.28</v>
          </cell>
        </row>
        <row r="1307">
          <cell r="A1307" t="str">
            <v>18F6690100</v>
          </cell>
          <cell r="B1307">
            <v>13.21</v>
          </cell>
          <cell r="C1307">
            <v>2.5299999999999998</v>
          </cell>
          <cell r="D1307">
            <v>4.25</v>
          </cell>
        </row>
        <row r="1308">
          <cell r="A1308" t="str">
            <v>18F6690R00</v>
          </cell>
          <cell r="B1308">
            <v>13.2</v>
          </cell>
          <cell r="C1308">
            <v>2.59</v>
          </cell>
          <cell r="D1308">
            <v>4.3</v>
          </cell>
        </row>
        <row r="1309">
          <cell r="A1309" t="str">
            <v>18F6691100</v>
          </cell>
          <cell r="B1309">
            <v>23.8</v>
          </cell>
          <cell r="C1309">
            <v>0</v>
          </cell>
          <cell r="D1309">
            <v>0</v>
          </cell>
        </row>
        <row r="1310">
          <cell r="A1310" t="str">
            <v>18G0012100</v>
          </cell>
          <cell r="B1310">
            <v>5.93</v>
          </cell>
          <cell r="C1310">
            <v>3.9</v>
          </cell>
          <cell r="D1310">
            <v>5.42</v>
          </cell>
        </row>
        <row r="1311">
          <cell r="A1311" t="str">
            <v>18G0012R00</v>
          </cell>
          <cell r="B1311">
            <v>5.93</v>
          </cell>
          <cell r="C1311">
            <v>3.95</v>
          </cell>
          <cell r="D1311">
            <v>5.48</v>
          </cell>
        </row>
        <row r="1312">
          <cell r="A1312" t="str">
            <v>18G0035100</v>
          </cell>
          <cell r="B1312">
            <v>231.83</v>
          </cell>
          <cell r="C1312">
            <v>3.72</v>
          </cell>
          <cell r="D1312">
            <v>6</v>
          </cell>
        </row>
        <row r="1313">
          <cell r="A1313" t="str">
            <v>18G0035R00</v>
          </cell>
          <cell r="B1313">
            <v>231.86</v>
          </cell>
          <cell r="C1313">
            <v>3.77</v>
          </cell>
          <cell r="D1313">
            <v>6.07</v>
          </cell>
        </row>
        <row r="1314">
          <cell r="A1314" t="str">
            <v>18G0040100</v>
          </cell>
          <cell r="B1314">
            <v>6.77</v>
          </cell>
          <cell r="C1314">
            <v>4.0999999999999996</v>
          </cell>
          <cell r="D1314">
            <v>4.9400000000000004</v>
          </cell>
        </row>
        <row r="1315">
          <cell r="A1315" t="str">
            <v>18G0041100</v>
          </cell>
          <cell r="B1315">
            <v>9.9600000000000009</v>
          </cell>
          <cell r="C1315">
            <v>4.37</v>
          </cell>
          <cell r="D1315">
            <v>6.28</v>
          </cell>
        </row>
        <row r="1316">
          <cell r="A1316" t="str">
            <v>18G0041R00</v>
          </cell>
          <cell r="B1316">
            <v>9.9600000000000009</v>
          </cell>
          <cell r="C1316">
            <v>4.41</v>
          </cell>
          <cell r="D1316">
            <v>6.34</v>
          </cell>
        </row>
        <row r="1317">
          <cell r="A1317" t="str">
            <v>18G0056100</v>
          </cell>
          <cell r="B1317">
            <v>2.75</v>
          </cell>
          <cell r="C1317">
            <v>1.64</v>
          </cell>
          <cell r="D1317">
            <v>2.44</v>
          </cell>
        </row>
        <row r="1318">
          <cell r="A1318" t="str">
            <v>18G0056R00</v>
          </cell>
          <cell r="B1318">
            <v>2.75</v>
          </cell>
          <cell r="C1318">
            <v>1.69</v>
          </cell>
          <cell r="D1318">
            <v>2.4900000000000002</v>
          </cell>
        </row>
        <row r="1319">
          <cell r="A1319" t="str">
            <v>18G0061100</v>
          </cell>
          <cell r="B1319">
            <v>9.94</v>
          </cell>
          <cell r="C1319">
            <v>4.3600000000000003</v>
          </cell>
          <cell r="D1319">
            <v>6.28</v>
          </cell>
        </row>
        <row r="1320">
          <cell r="A1320" t="str">
            <v>18G0061R00</v>
          </cell>
          <cell r="B1320">
            <v>9.94</v>
          </cell>
          <cell r="C1320">
            <v>4.41</v>
          </cell>
          <cell r="D1320">
            <v>6.34</v>
          </cell>
        </row>
        <row r="1321">
          <cell r="A1321" t="str">
            <v>18G0100100</v>
          </cell>
          <cell r="B1321">
            <v>20.2</v>
          </cell>
          <cell r="C1321">
            <v>3.35</v>
          </cell>
          <cell r="D1321">
            <v>5.17</v>
          </cell>
        </row>
        <row r="1322">
          <cell r="A1322" t="str">
            <v>18G01220MF</v>
          </cell>
          <cell r="B1322">
            <v>0.6</v>
          </cell>
          <cell r="C1322">
            <v>0</v>
          </cell>
          <cell r="D1322">
            <v>0</v>
          </cell>
        </row>
        <row r="1323">
          <cell r="A1323" t="str">
            <v>18G01240MF</v>
          </cell>
          <cell r="B1323">
            <v>0.42</v>
          </cell>
          <cell r="C1323">
            <v>0</v>
          </cell>
          <cell r="D1323">
            <v>0</v>
          </cell>
        </row>
        <row r="1324">
          <cell r="A1324" t="str">
            <v>18G0140R00</v>
          </cell>
          <cell r="B1324">
            <v>132.35</v>
          </cell>
          <cell r="C1324">
            <v>11.4</v>
          </cell>
          <cell r="D1324">
            <v>15.22</v>
          </cell>
        </row>
        <row r="1325">
          <cell r="A1325" t="str">
            <v>18G0142R00</v>
          </cell>
          <cell r="B1325">
            <v>134.33000000000001</v>
          </cell>
          <cell r="C1325">
            <v>11.4</v>
          </cell>
          <cell r="D1325">
            <v>15.22</v>
          </cell>
        </row>
        <row r="1326">
          <cell r="A1326" t="str">
            <v>18G01891TF</v>
          </cell>
          <cell r="B1326">
            <v>7.0000000000000007E-2</v>
          </cell>
          <cell r="C1326">
            <v>0</v>
          </cell>
          <cell r="D1326">
            <v>0</v>
          </cell>
        </row>
        <row r="1327">
          <cell r="A1327" t="str">
            <v>18G0198100</v>
          </cell>
          <cell r="B1327">
            <v>5.1100000000000003</v>
          </cell>
          <cell r="C1327">
            <v>0</v>
          </cell>
          <cell r="D1327">
            <v>0</v>
          </cell>
        </row>
        <row r="1328">
          <cell r="A1328" t="str">
            <v>18G0199100</v>
          </cell>
          <cell r="B1328">
            <v>4.26</v>
          </cell>
          <cell r="C1328">
            <v>0</v>
          </cell>
          <cell r="D1328">
            <v>0</v>
          </cell>
        </row>
        <row r="1329">
          <cell r="A1329" t="str">
            <v>18G02081J0</v>
          </cell>
          <cell r="B1329">
            <v>3.62</v>
          </cell>
          <cell r="C1329">
            <v>1.43</v>
          </cell>
          <cell r="D1329">
            <v>2.25</v>
          </cell>
        </row>
        <row r="1330">
          <cell r="A1330" t="str">
            <v>18G02351J0</v>
          </cell>
          <cell r="B1330">
            <v>0.22</v>
          </cell>
          <cell r="C1330">
            <v>0.04</v>
          </cell>
          <cell r="D1330">
            <v>0.11</v>
          </cell>
        </row>
        <row r="1331">
          <cell r="A1331" t="str">
            <v>18G0305200</v>
          </cell>
          <cell r="B1331">
            <v>6.44</v>
          </cell>
          <cell r="C1331">
            <v>0.7</v>
          </cell>
          <cell r="D1331">
            <v>1.3</v>
          </cell>
        </row>
        <row r="1332">
          <cell r="A1332" t="str">
            <v>18G0323R00</v>
          </cell>
          <cell r="B1332">
            <v>63.04</v>
          </cell>
          <cell r="C1332">
            <v>4.08</v>
          </cell>
          <cell r="D1332">
            <v>18.3</v>
          </cell>
        </row>
        <row r="1333">
          <cell r="A1333" t="str">
            <v>18G0422T00</v>
          </cell>
          <cell r="B1333">
            <v>15.08</v>
          </cell>
          <cell r="C1333">
            <v>6.84</v>
          </cell>
          <cell r="D1333">
            <v>8.8000000000000007</v>
          </cell>
        </row>
        <row r="1334">
          <cell r="A1334" t="str">
            <v>18G0425R00</v>
          </cell>
          <cell r="B1334">
            <v>8.3800000000000008</v>
          </cell>
          <cell r="C1334">
            <v>4.3499999999999996</v>
          </cell>
          <cell r="D1334">
            <v>5.47</v>
          </cell>
        </row>
        <row r="1335">
          <cell r="A1335" t="str">
            <v>18G0425T00</v>
          </cell>
          <cell r="B1335">
            <v>8.3800000000000008</v>
          </cell>
          <cell r="C1335">
            <v>4.3499999999999996</v>
          </cell>
          <cell r="D1335">
            <v>5.47</v>
          </cell>
        </row>
        <row r="1336">
          <cell r="A1336" t="str">
            <v>18G0442R00</v>
          </cell>
          <cell r="B1336">
            <v>7.9</v>
          </cell>
          <cell r="C1336">
            <v>4.18</v>
          </cell>
          <cell r="D1336">
            <v>5.42</v>
          </cell>
        </row>
        <row r="1337">
          <cell r="A1337" t="str">
            <v>18G0444R00</v>
          </cell>
          <cell r="B1337">
            <v>11.3</v>
          </cell>
          <cell r="C1337">
            <v>4.3899999999999997</v>
          </cell>
          <cell r="D1337">
            <v>5.49</v>
          </cell>
        </row>
        <row r="1338">
          <cell r="A1338" t="str">
            <v>18G0444T00</v>
          </cell>
          <cell r="B1338">
            <v>11.3</v>
          </cell>
          <cell r="C1338">
            <v>4.3899999999999997</v>
          </cell>
          <cell r="D1338">
            <v>5.49</v>
          </cell>
        </row>
        <row r="1339">
          <cell r="A1339" t="str">
            <v>18G0479R00</v>
          </cell>
          <cell r="B1339">
            <v>8.2200000000000006</v>
          </cell>
          <cell r="C1339">
            <v>4.2300000000000004</v>
          </cell>
          <cell r="D1339">
            <v>5.54</v>
          </cell>
        </row>
        <row r="1340">
          <cell r="A1340" t="str">
            <v>18G0479T00</v>
          </cell>
          <cell r="B1340">
            <v>8.2200000000000006</v>
          </cell>
          <cell r="C1340">
            <v>4.2300000000000004</v>
          </cell>
          <cell r="D1340">
            <v>5.54</v>
          </cell>
        </row>
        <row r="1341">
          <cell r="A1341" t="str">
            <v>18G0486100</v>
          </cell>
          <cell r="B1341">
            <v>1.44</v>
          </cell>
          <cell r="C1341">
            <v>0</v>
          </cell>
          <cell r="D1341">
            <v>0.05</v>
          </cell>
        </row>
        <row r="1342">
          <cell r="A1342" t="str">
            <v>18G0486R00</v>
          </cell>
          <cell r="B1342">
            <v>1.44</v>
          </cell>
          <cell r="C1342">
            <v>0</v>
          </cell>
          <cell r="D1342">
            <v>0.05</v>
          </cell>
        </row>
        <row r="1343">
          <cell r="A1343" t="str">
            <v>18G0487R00</v>
          </cell>
          <cell r="B1343">
            <v>1.28</v>
          </cell>
          <cell r="C1343">
            <v>0</v>
          </cell>
          <cell r="D1343">
            <v>0.05</v>
          </cell>
        </row>
        <row r="1344">
          <cell r="A1344" t="str">
            <v>18G04901TF</v>
          </cell>
          <cell r="B1344">
            <v>1.08</v>
          </cell>
          <cell r="C1344">
            <v>0</v>
          </cell>
          <cell r="D1344">
            <v>0</v>
          </cell>
        </row>
        <row r="1345">
          <cell r="A1345" t="str">
            <v>18G0494100</v>
          </cell>
          <cell r="B1345">
            <v>48.25</v>
          </cell>
          <cell r="C1345">
            <v>3.8</v>
          </cell>
          <cell r="D1345">
            <v>5.16</v>
          </cell>
        </row>
        <row r="1346">
          <cell r="A1346" t="str">
            <v>18G0494C00</v>
          </cell>
          <cell r="B1346">
            <v>48.24</v>
          </cell>
          <cell r="C1346">
            <v>3.84</v>
          </cell>
          <cell r="D1346">
            <v>5.22</v>
          </cell>
        </row>
        <row r="1347">
          <cell r="A1347" t="str">
            <v>18G0496100</v>
          </cell>
          <cell r="B1347">
            <v>73.61</v>
          </cell>
          <cell r="C1347">
            <v>4.12</v>
          </cell>
          <cell r="D1347">
            <v>5.59</v>
          </cell>
        </row>
        <row r="1348">
          <cell r="A1348" t="str">
            <v>18G0498100</v>
          </cell>
          <cell r="B1348">
            <v>109.31</v>
          </cell>
          <cell r="C1348">
            <v>0</v>
          </cell>
          <cell r="D1348">
            <v>0</v>
          </cell>
        </row>
        <row r="1349">
          <cell r="A1349" t="str">
            <v>18G0498R00</v>
          </cell>
          <cell r="B1349">
            <v>109.71</v>
          </cell>
          <cell r="C1349">
            <v>0.04</v>
          </cell>
          <cell r="D1349">
            <v>0.05</v>
          </cell>
        </row>
        <row r="1350">
          <cell r="A1350" t="str">
            <v>18G0499100</v>
          </cell>
          <cell r="B1350">
            <v>107.66</v>
          </cell>
          <cell r="C1350">
            <v>0</v>
          </cell>
          <cell r="D1350">
            <v>0</v>
          </cell>
        </row>
        <row r="1351">
          <cell r="A1351" t="str">
            <v>18G0513170</v>
          </cell>
          <cell r="B1351">
            <v>108.73</v>
          </cell>
          <cell r="C1351">
            <v>0.02</v>
          </cell>
          <cell r="D1351">
            <v>0.02</v>
          </cell>
        </row>
        <row r="1352">
          <cell r="A1352" t="str">
            <v>18G0513R70</v>
          </cell>
          <cell r="B1352">
            <v>108.73</v>
          </cell>
          <cell r="C1352">
            <v>0.02</v>
          </cell>
          <cell r="D1352">
            <v>0.02</v>
          </cell>
        </row>
        <row r="1353">
          <cell r="A1353" t="str">
            <v>18G0516100</v>
          </cell>
          <cell r="B1353">
            <v>4.1500000000000004</v>
          </cell>
          <cell r="C1353">
            <v>0</v>
          </cell>
          <cell r="D1353">
            <v>0</v>
          </cell>
        </row>
        <row r="1354">
          <cell r="A1354" t="str">
            <v>18G0520100</v>
          </cell>
          <cell r="B1354">
            <v>6.68</v>
          </cell>
          <cell r="C1354">
            <v>0.17</v>
          </cell>
          <cell r="D1354">
            <v>0.11</v>
          </cell>
        </row>
        <row r="1355">
          <cell r="A1355" t="str">
            <v>18G0520R00</v>
          </cell>
          <cell r="B1355">
            <v>6.63</v>
          </cell>
          <cell r="C1355">
            <v>0.19</v>
          </cell>
          <cell r="D1355">
            <v>0.15</v>
          </cell>
        </row>
        <row r="1356">
          <cell r="A1356" t="str">
            <v>18G0529100</v>
          </cell>
          <cell r="B1356">
            <v>1.34</v>
          </cell>
          <cell r="C1356">
            <v>0</v>
          </cell>
          <cell r="D1356">
            <v>0</v>
          </cell>
        </row>
        <row r="1357">
          <cell r="A1357" t="str">
            <v>18G0531100</v>
          </cell>
          <cell r="B1357">
            <v>1.68</v>
          </cell>
          <cell r="C1357">
            <v>0</v>
          </cell>
          <cell r="D1357">
            <v>0</v>
          </cell>
        </row>
        <row r="1358">
          <cell r="A1358" t="str">
            <v>18G0534100</v>
          </cell>
          <cell r="B1358">
            <v>7.09</v>
          </cell>
          <cell r="C1358">
            <v>0.17</v>
          </cell>
          <cell r="D1358">
            <v>0.11</v>
          </cell>
        </row>
        <row r="1359">
          <cell r="A1359" t="str">
            <v>18G0538170</v>
          </cell>
          <cell r="B1359">
            <v>109.53</v>
          </cell>
          <cell r="C1359">
            <v>0.02</v>
          </cell>
          <cell r="D1359">
            <v>0.02</v>
          </cell>
        </row>
        <row r="1360">
          <cell r="A1360" t="str">
            <v>18G0538R70</v>
          </cell>
          <cell r="B1360">
            <v>109.53</v>
          </cell>
          <cell r="C1360">
            <v>0.02</v>
          </cell>
          <cell r="D1360">
            <v>0.02</v>
          </cell>
        </row>
        <row r="1361">
          <cell r="A1361" t="str">
            <v>18G0543170</v>
          </cell>
          <cell r="B1361">
            <v>111.74</v>
          </cell>
          <cell r="C1361">
            <v>0.02</v>
          </cell>
          <cell r="D1361">
            <v>0.02</v>
          </cell>
        </row>
        <row r="1362">
          <cell r="A1362" t="str">
            <v>18G0543R70</v>
          </cell>
          <cell r="B1362">
            <v>111.74</v>
          </cell>
          <cell r="C1362">
            <v>0.02</v>
          </cell>
          <cell r="D1362">
            <v>0.02</v>
          </cell>
        </row>
        <row r="1363">
          <cell r="A1363" t="str">
            <v>18G0546100</v>
          </cell>
          <cell r="B1363">
            <v>1.47</v>
          </cell>
          <cell r="C1363">
            <v>0</v>
          </cell>
          <cell r="D1363">
            <v>0</v>
          </cell>
        </row>
        <row r="1364">
          <cell r="A1364" t="str">
            <v>18G0547100</v>
          </cell>
          <cell r="B1364">
            <v>1.31</v>
          </cell>
          <cell r="C1364">
            <v>0</v>
          </cell>
          <cell r="D1364">
            <v>0</v>
          </cell>
        </row>
        <row r="1365">
          <cell r="A1365" t="str">
            <v>18G0554100</v>
          </cell>
          <cell r="B1365">
            <v>1.76</v>
          </cell>
          <cell r="C1365">
            <v>0</v>
          </cell>
          <cell r="D1365">
            <v>0</v>
          </cell>
        </row>
        <row r="1366">
          <cell r="A1366" t="str">
            <v>18G05551TF</v>
          </cell>
          <cell r="B1366">
            <v>0.77</v>
          </cell>
          <cell r="C1366">
            <v>0</v>
          </cell>
          <cell r="D1366">
            <v>0</v>
          </cell>
        </row>
        <row r="1367">
          <cell r="A1367" t="str">
            <v>18G05571TF</v>
          </cell>
          <cell r="B1367">
            <v>1.33</v>
          </cell>
          <cell r="C1367">
            <v>0</v>
          </cell>
          <cell r="D1367">
            <v>0</v>
          </cell>
        </row>
        <row r="1368">
          <cell r="A1368" t="str">
            <v>18G0575100</v>
          </cell>
          <cell r="B1368">
            <v>0.8</v>
          </cell>
          <cell r="C1368">
            <v>0.1</v>
          </cell>
          <cell r="D1368">
            <v>0.46</v>
          </cell>
        </row>
        <row r="1369">
          <cell r="A1369" t="str">
            <v>18G05751TF</v>
          </cell>
          <cell r="B1369">
            <v>1.78</v>
          </cell>
          <cell r="C1369">
            <v>0</v>
          </cell>
          <cell r="D1369">
            <v>0</v>
          </cell>
        </row>
        <row r="1370">
          <cell r="A1370" t="str">
            <v>18G0617100</v>
          </cell>
          <cell r="B1370">
            <v>24.67</v>
          </cell>
          <cell r="C1370">
            <v>7.83</v>
          </cell>
          <cell r="D1370">
            <v>14.93</v>
          </cell>
        </row>
        <row r="1371">
          <cell r="A1371" t="str">
            <v>18G0617R00</v>
          </cell>
          <cell r="B1371">
            <v>24.72</v>
          </cell>
          <cell r="C1371">
            <v>8.66</v>
          </cell>
          <cell r="D1371">
            <v>15.66</v>
          </cell>
        </row>
        <row r="1372">
          <cell r="A1372" t="str">
            <v>18G0624100</v>
          </cell>
          <cell r="B1372">
            <v>20.329999999999998</v>
          </cell>
          <cell r="C1372">
            <v>6.55</v>
          </cell>
          <cell r="D1372">
            <v>9.39</v>
          </cell>
        </row>
        <row r="1373">
          <cell r="A1373" t="str">
            <v>18G0624R00</v>
          </cell>
          <cell r="B1373">
            <v>20.37</v>
          </cell>
          <cell r="C1373">
            <v>7.38</v>
          </cell>
          <cell r="D1373">
            <v>10.119999999999999</v>
          </cell>
        </row>
        <row r="1374">
          <cell r="A1374" t="str">
            <v>18G0630100</v>
          </cell>
          <cell r="B1374">
            <v>78.790000000000006</v>
          </cell>
          <cell r="C1374">
            <v>0.02</v>
          </cell>
          <cell r="D1374">
            <v>0.02</v>
          </cell>
        </row>
        <row r="1375">
          <cell r="A1375" t="str">
            <v>18G0630R00</v>
          </cell>
          <cell r="B1375">
            <v>48.98</v>
          </cell>
          <cell r="C1375">
            <v>4.6900000000000004</v>
          </cell>
          <cell r="D1375">
            <v>6.03</v>
          </cell>
        </row>
        <row r="1376">
          <cell r="A1376" t="str">
            <v>18G06331TF</v>
          </cell>
          <cell r="B1376">
            <v>19.53</v>
          </cell>
          <cell r="C1376">
            <v>0</v>
          </cell>
          <cell r="D1376">
            <v>0</v>
          </cell>
        </row>
        <row r="1377">
          <cell r="A1377" t="str">
            <v>18G0637R00</v>
          </cell>
          <cell r="B1377">
            <v>113.51</v>
          </cell>
          <cell r="C1377">
            <v>2.31</v>
          </cell>
          <cell r="D1377">
            <v>2.79</v>
          </cell>
        </row>
        <row r="1378">
          <cell r="A1378" t="str">
            <v>18G06410NF</v>
          </cell>
          <cell r="B1378">
            <v>1.55</v>
          </cell>
          <cell r="C1378">
            <v>0</v>
          </cell>
          <cell r="D1378">
            <v>0</v>
          </cell>
        </row>
        <row r="1379">
          <cell r="A1379" t="str">
            <v>18G0641100</v>
          </cell>
          <cell r="B1379">
            <v>1.07</v>
          </cell>
          <cell r="C1379">
            <v>0.1</v>
          </cell>
          <cell r="D1379">
            <v>0.38</v>
          </cell>
        </row>
        <row r="1380">
          <cell r="A1380" t="str">
            <v>18G06420NF</v>
          </cell>
          <cell r="B1380">
            <v>1.55</v>
          </cell>
          <cell r="C1380">
            <v>0</v>
          </cell>
          <cell r="D1380">
            <v>0</v>
          </cell>
        </row>
        <row r="1381">
          <cell r="A1381" t="str">
            <v>18G0642100</v>
          </cell>
          <cell r="B1381">
            <v>1.07</v>
          </cell>
          <cell r="C1381">
            <v>0.1</v>
          </cell>
          <cell r="D1381">
            <v>0.38</v>
          </cell>
        </row>
        <row r="1382">
          <cell r="A1382" t="str">
            <v>18G06601TF</v>
          </cell>
          <cell r="B1382">
            <v>0.73</v>
          </cell>
          <cell r="C1382">
            <v>0</v>
          </cell>
          <cell r="D1382">
            <v>0</v>
          </cell>
        </row>
        <row r="1383">
          <cell r="A1383" t="str">
            <v>18G0662100</v>
          </cell>
          <cell r="B1383">
            <v>0.67</v>
          </cell>
          <cell r="C1383">
            <v>0.1</v>
          </cell>
          <cell r="D1383">
            <v>0.46</v>
          </cell>
        </row>
        <row r="1384">
          <cell r="A1384" t="str">
            <v>18G06621TF</v>
          </cell>
          <cell r="B1384">
            <v>1.28</v>
          </cell>
          <cell r="C1384">
            <v>0</v>
          </cell>
          <cell r="D1384">
            <v>0</v>
          </cell>
        </row>
        <row r="1385">
          <cell r="A1385" t="str">
            <v>18G06651TF</v>
          </cell>
          <cell r="B1385">
            <v>3.19</v>
          </cell>
          <cell r="C1385">
            <v>0</v>
          </cell>
          <cell r="D1385">
            <v>0</v>
          </cell>
        </row>
        <row r="1386">
          <cell r="A1386" t="str">
            <v>18G06661J0</v>
          </cell>
          <cell r="B1386">
            <v>45.56</v>
          </cell>
          <cell r="C1386">
            <v>2.85</v>
          </cell>
          <cell r="D1386">
            <v>4.71</v>
          </cell>
        </row>
        <row r="1387">
          <cell r="A1387" t="str">
            <v>18G0675100</v>
          </cell>
          <cell r="B1387">
            <v>2.85</v>
          </cell>
          <cell r="C1387">
            <v>0</v>
          </cell>
          <cell r="D1387">
            <v>0</v>
          </cell>
        </row>
        <row r="1388">
          <cell r="A1388" t="str">
            <v>18G0675200</v>
          </cell>
          <cell r="B1388">
            <v>3.17</v>
          </cell>
          <cell r="C1388">
            <v>0.17</v>
          </cell>
          <cell r="D1388">
            <v>0.11</v>
          </cell>
        </row>
        <row r="1389">
          <cell r="A1389" t="str">
            <v>18G0679100</v>
          </cell>
          <cell r="B1389">
            <v>44.65</v>
          </cell>
          <cell r="C1389">
            <v>2.61</v>
          </cell>
          <cell r="D1389">
            <v>4.7300000000000004</v>
          </cell>
        </row>
        <row r="1390">
          <cell r="A1390" t="str">
            <v>18G0679R00</v>
          </cell>
          <cell r="B1390">
            <v>44.65</v>
          </cell>
          <cell r="C1390">
            <v>2.64</v>
          </cell>
          <cell r="D1390">
            <v>4.7699999999999996</v>
          </cell>
        </row>
        <row r="1391">
          <cell r="A1391" t="str">
            <v>18G0679T00</v>
          </cell>
          <cell r="B1391">
            <v>44.65</v>
          </cell>
          <cell r="C1391">
            <v>2.64</v>
          </cell>
          <cell r="D1391">
            <v>4.7699999999999996</v>
          </cell>
        </row>
        <row r="1392">
          <cell r="A1392" t="str">
            <v>18G0684100</v>
          </cell>
          <cell r="B1392">
            <v>12.28</v>
          </cell>
          <cell r="C1392">
            <v>1.0900000000000001</v>
          </cell>
          <cell r="D1392">
            <v>1.93</v>
          </cell>
        </row>
        <row r="1393">
          <cell r="A1393" t="str">
            <v>18G0705R00</v>
          </cell>
          <cell r="B1393">
            <v>0</v>
          </cell>
          <cell r="C1393">
            <v>0.72</v>
          </cell>
          <cell r="D1393">
            <v>0.78</v>
          </cell>
        </row>
        <row r="1394">
          <cell r="A1394" t="str">
            <v>18G07490NF</v>
          </cell>
          <cell r="B1394">
            <v>0.3</v>
          </cell>
          <cell r="C1394">
            <v>0</v>
          </cell>
          <cell r="D1394">
            <v>0</v>
          </cell>
        </row>
        <row r="1395">
          <cell r="A1395" t="str">
            <v>18G0750C70</v>
          </cell>
          <cell r="B1395">
            <v>101.96</v>
          </cell>
          <cell r="C1395">
            <v>0.02</v>
          </cell>
          <cell r="D1395">
            <v>0.02</v>
          </cell>
        </row>
        <row r="1396">
          <cell r="A1396" t="str">
            <v>18G0760R00</v>
          </cell>
          <cell r="B1396">
            <v>2.5499999999999998</v>
          </cell>
          <cell r="C1396">
            <v>0</v>
          </cell>
          <cell r="D1396">
            <v>0.05</v>
          </cell>
        </row>
        <row r="1397">
          <cell r="A1397" t="str">
            <v>18G0774100</v>
          </cell>
          <cell r="B1397">
            <v>171.29</v>
          </cell>
          <cell r="C1397">
            <v>12.38</v>
          </cell>
          <cell r="D1397">
            <v>13.07</v>
          </cell>
        </row>
        <row r="1398">
          <cell r="A1398" t="str">
            <v>18G0780R00</v>
          </cell>
          <cell r="B1398">
            <v>4.01</v>
          </cell>
          <cell r="C1398">
            <v>2.68</v>
          </cell>
          <cell r="D1398">
            <v>3.38</v>
          </cell>
        </row>
        <row r="1399">
          <cell r="A1399" t="str">
            <v>18G0784R00</v>
          </cell>
          <cell r="B1399">
            <v>19.75</v>
          </cell>
          <cell r="C1399">
            <v>11.99</v>
          </cell>
          <cell r="D1399">
            <v>15.45</v>
          </cell>
        </row>
        <row r="1400">
          <cell r="A1400" t="str">
            <v>18G0815100</v>
          </cell>
          <cell r="B1400">
            <v>3.37</v>
          </cell>
          <cell r="C1400">
            <v>1.19</v>
          </cell>
          <cell r="D1400">
            <v>1.9</v>
          </cell>
        </row>
        <row r="1401">
          <cell r="A1401" t="str">
            <v>18G08271TF</v>
          </cell>
          <cell r="B1401">
            <v>0.54</v>
          </cell>
          <cell r="C1401">
            <v>0</v>
          </cell>
          <cell r="D1401">
            <v>0</v>
          </cell>
        </row>
        <row r="1402">
          <cell r="A1402" t="str">
            <v>18G0862100</v>
          </cell>
          <cell r="B1402">
            <v>2.71</v>
          </cell>
          <cell r="C1402">
            <v>1.68</v>
          </cell>
          <cell r="D1402">
            <v>2.4300000000000002</v>
          </cell>
        </row>
        <row r="1403">
          <cell r="A1403" t="str">
            <v>18G0885100</v>
          </cell>
          <cell r="B1403">
            <v>2.46</v>
          </cell>
          <cell r="C1403">
            <v>0</v>
          </cell>
          <cell r="D1403">
            <v>0</v>
          </cell>
        </row>
        <row r="1404">
          <cell r="A1404" t="str">
            <v>18G0887170</v>
          </cell>
          <cell r="B1404">
            <v>97.81</v>
          </cell>
          <cell r="C1404">
            <v>0.02</v>
          </cell>
          <cell r="D1404">
            <v>0.02</v>
          </cell>
        </row>
        <row r="1405">
          <cell r="A1405" t="str">
            <v>18G0888100</v>
          </cell>
          <cell r="B1405">
            <v>4.1500000000000004</v>
          </cell>
          <cell r="C1405">
            <v>0</v>
          </cell>
          <cell r="D1405">
            <v>0</v>
          </cell>
        </row>
        <row r="1406">
          <cell r="A1406" t="str">
            <v>18G0889170</v>
          </cell>
          <cell r="B1406">
            <v>107.94</v>
          </cell>
          <cell r="C1406">
            <v>0.02</v>
          </cell>
          <cell r="D1406">
            <v>0.02</v>
          </cell>
        </row>
        <row r="1407">
          <cell r="A1407" t="str">
            <v>18G0890170</v>
          </cell>
          <cell r="B1407">
            <v>111.81</v>
          </cell>
          <cell r="C1407">
            <v>0.02</v>
          </cell>
          <cell r="D1407">
            <v>0.02</v>
          </cell>
        </row>
        <row r="1408">
          <cell r="A1408" t="str">
            <v>18G0891100</v>
          </cell>
          <cell r="B1408">
            <v>1.24</v>
          </cell>
          <cell r="C1408">
            <v>0</v>
          </cell>
          <cell r="D1408">
            <v>0</v>
          </cell>
        </row>
        <row r="1409">
          <cell r="A1409" t="str">
            <v>18G0892100</v>
          </cell>
          <cell r="B1409">
            <v>1.27</v>
          </cell>
          <cell r="C1409">
            <v>0</v>
          </cell>
          <cell r="D1409">
            <v>0</v>
          </cell>
        </row>
        <row r="1410">
          <cell r="A1410" t="str">
            <v>18G09130VF</v>
          </cell>
          <cell r="B1410">
            <v>2.2000000000000002</v>
          </cell>
          <cell r="C1410">
            <v>0</v>
          </cell>
          <cell r="D1410">
            <v>0</v>
          </cell>
        </row>
        <row r="1411">
          <cell r="A1411" t="str">
            <v>18G09135NF</v>
          </cell>
          <cell r="B1411">
            <v>1.33</v>
          </cell>
          <cell r="C1411">
            <v>0</v>
          </cell>
          <cell r="D1411">
            <v>0</v>
          </cell>
        </row>
        <row r="1412">
          <cell r="A1412" t="str">
            <v>18G09361TF</v>
          </cell>
          <cell r="B1412">
            <v>0.89</v>
          </cell>
          <cell r="C1412">
            <v>0</v>
          </cell>
          <cell r="D1412">
            <v>0</v>
          </cell>
        </row>
        <row r="1413">
          <cell r="A1413" t="str">
            <v>18G09400MF</v>
          </cell>
          <cell r="B1413">
            <v>1.55</v>
          </cell>
          <cell r="C1413">
            <v>0</v>
          </cell>
          <cell r="D1413">
            <v>0</v>
          </cell>
        </row>
        <row r="1414">
          <cell r="A1414" t="str">
            <v>18G09420MF</v>
          </cell>
          <cell r="B1414">
            <v>0.65</v>
          </cell>
          <cell r="C1414">
            <v>0</v>
          </cell>
          <cell r="D1414">
            <v>0</v>
          </cell>
        </row>
        <row r="1415">
          <cell r="A1415" t="str">
            <v>18G0945R00</v>
          </cell>
          <cell r="B1415">
            <v>38.159999999999997</v>
          </cell>
          <cell r="C1415">
            <v>3.69</v>
          </cell>
          <cell r="D1415">
            <v>5.57</v>
          </cell>
        </row>
        <row r="1416">
          <cell r="A1416" t="str">
            <v>18G0945T00</v>
          </cell>
          <cell r="B1416">
            <v>38.159999999999997</v>
          </cell>
          <cell r="C1416">
            <v>3.69</v>
          </cell>
          <cell r="D1416">
            <v>5.57</v>
          </cell>
        </row>
        <row r="1417">
          <cell r="A1417" t="str">
            <v>18G0948100</v>
          </cell>
          <cell r="B1417">
            <v>83.27</v>
          </cell>
          <cell r="C1417">
            <v>2.99</v>
          </cell>
          <cell r="D1417">
            <v>5.53</v>
          </cell>
        </row>
        <row r="1418">
          <cell r="A1418" t="str">
            <v>18G0948200</v>
          </cell>
          <cell r="B1418">
            <v>83.27</v>
          </cell>
          <cell r="C1418">
            <v>2.99</v>
          </cell>
          <cell r="D1418">
            <v>5.53</v>
          </cell>
        </row>
        <row r="1419">
          <cell r="A1419" t="str">
            <v>18G0948R00</v>
          </cell>
          <cell r="B1419">
            <v>83.27</v>
          </cell>
          <cell r="C1419">
            <v>3.02</v>
          </cell>
          <cell r="D1419">
            <v>5.57</v>
          </cell>
        </row>
        <row r="1420">
          <cell r="A1420" t="str">
            <v>18G0949R00</v>
          </cell>
          <cell r="B1420">
            <v>83.15</v>
          </cell>
          <cell r="C1420">
            <v>3.02</v>
          </cell>
          <cell r="D1420">
            <v>5.57</v>
          </cell>
        </row>
        <row r="1421">
          <cell r="A1421" t="str">
            <v>18G0950R00</v>
          </cell>
          <cell r="B1421">
            <v>38.61</v>
          </cell>
          <cell r="C1421">
            <v>3.02</v>
          </cell>
          <cell r="D1421">
            <v>5.57</v>
          </cell>
        </row>
        <row r="1422">
          <cell r="A1422" t="str">
            <v>18G0951100</v>
          </cell>
          <cell r="B1422">
            <v>38.729999999999997</v>
          </cell>
          <cell r="C1422">
            <v>2.99</v>
          </cell>
          <cell r="D1422">
            <v>5.53</v>
          </cell>
        </row>
        <row r="1423">
          <cell r="A1423" t="str">
            <v>18G0951R00</v>
          </cell>
          <cell r="B1423">
            <v>38.729999999999997</v>
          </cell>
          <cell r="C1423">
            <v>3.02</v>
          </cell>
          <cell r="D1423">
            <v>5.57</v>
          </cell>
        </row>
        <row r="1424">
          <cell r="A1424" t="str">
            <v>18G0960100</v>
          </cell>
          <cell r="B1424">
            <v>1.51</v>
          </cell>
          <cell r="C1424">
            <v>7.0000000000000007E-2</v>
          </cell>
          <cell r="D1424">
            <v>7.0000000000000007E-2</v>
          </cell>
        </row>
        <row r="1425">
          <cell r="A1425" t="str">
            <v>18G0970R00</v>
          </cell>
          <cell r="B1425">
            <v>9.82</v>
          </cell>
          <cell r="C1425">
            <v>2.88</v>
          </cell>
          <cell r="D1425">
            <v>4.71</v>
          </cell>
        </row>
        <row r="1426">
          <cell r="A1426" t="str">
            <v>18G0970T00</v>
          </cell>
          <cell r="B1426">
            <v>9.82</v>
          </cell>
          <cell r="C1426">
            <v>2.88</v>
          </cell>
          <cell r="D1426">
            <v>4.71</v>
          </cell>
        </row>
        <row r="1427">
          <cell r="A1427" t="str">
            <v>18G09730VF</v>
          </cell>
          <cell r="B1427">
            <v>12.42</v>
          </cell>
          <cell r="C1427">
            <v>0</v>
          </cell>
          <cell r="D1427">
            <v>0</v>
          </cell>
        </row>
        <row r="1428">
          <cell r="A1428" t="str">
            <v>18G0973100</v>
          </cell>
          <cell r="B1428">
            <v>4.57</v>
          </cell>
          <cell r="C1428">
            <v>2.27</v>
          </cell>
          <cell r="D1428">
            <v>3.59</v>
          </cell>
        </row>
        <row r="1429">
          <cell r="A1429" t="str">
            <v>18G0973200</v>
          </cell>
          <cell r="B1429">
            <v>4.57</v>
          </cell>
          <cell r="C1429">
            <v>2.27</v>
          </cell>
          <cell r="D1429">
            <v>3.59</v>
          </cell>
        </row>
        <row r="1430">
          <cell r="A1430" t="str">
            <v>18G0973300</v>
          </cell>
          <cell r="B1430">
            <v>4.57</v>
          </cell>
          <cell r="C1430">
            <v>2.27</v>
          </cell>
          <cell r="D1430">
            <v>3.59</v>
          </cell>
        </row>
        <row r="1431">
          <cell r="A1431" t="str">
            <v>18G0982100</v>
          </cell>
          <cell r="B1431">
            <v>11.87</v>
          </cell>
          <cell r="C1431">
            <v>4</v>
          </cell>
          <cell r="D1431">
            <v>5.13</v>
          </cell>
        </row>
        <row r="1432">
          <cell r="A1432" t="str">
            <v>18G0991100</v>
          </cell>
          <cell r="B1432">
            <v>8.49</v>
          </cell>
          <cell r="C1432">
            <v>0.87</v>
          </cell>
          <cell r="D1432">
            <v>1.34</v>
          </cell>
        </row>
        <row r="1433">
          <cell r="A1433" t="str">
            <v>18G0991200</v>
          </cell>
          <cell r="B1433">
            <v>8.49</v>
          </cell>
          <cell r="C1433">
            <v>0.87</v>
          </cell>
          <cell r="D1433">
            <v>1.34</v>
          </cell>
        </row>
        <row r="1434">
          <cell r="A1434" t="str">
            <v>18G0991300</v>
          </cell>
          <cell r="B1434">
            <v>8.49</v>
          </cell>
          <cell r="C1434">
            <v>0.87</v>
          </cell>
          <cell r="D1434">
            <v>1.34</v>
          </cell>
        </row>
        <row r="1435">
          <cell r="A1435" t="str">
            <v>18G0991400</v>
          </cell>
          <cell r="B1435">
            <v>8.49</v>
          </cell>
          <cell r="C1435">
            <v>0.87</v>
          </cell>
          <cell r="D1435">
            <v>1.34</v>
          </cell>
        </row>
        <row r="1436">
          <cell r="A1436" t="str">
            <v>18G10000VF</v>
          </cell>
          <cell r="B1436">
            <v>12.1</v>
          </cell>
          <cell r="C1436">
            <v>0</v>
          </cell>
          <cell r="D1436">
            <v>0</v>
          </cell>
        </row>
        <row r="1437">
          <cell r="A1437" t="str">
            <v>18G1000100</v>
          </cell>
          <cell r="B1437">
            <v>9.7899999999999991</v>
          </cell>
          <cell r="C1437">
            <v>0.87</v>
          </cell>
          <cell r="D1437">
            <v>1.34</v>
          </cell>
        </row>
        <row r="1438">
          <cell r="A1438" t="str">
            <v>18G1000200</v>
          </cell>
          <cell r="B1438">
            <v>9.7899999999999991</v>
          </cell>
          <cell r="C1438">
            <v>0.87</v>
          </cell>
          <cell r="D1438">
            <v>1.34</v>
          </cell>
        </row>
        <row r="1439">
          <cell r="A1439" t="str">
            <v>18G1000300</v>
          </cell>
          <cell r="B1439">
            <v>9.7899999999999991</v>
          </cell>
          <cell r="C1439">
            <v>0.87</v>
          </cell>
          <cell r="D1439">
            <v>1.34</v>
          </cell>
        </row>
        <row r="1440">
          <cell r="A1440" t="str">
            <v>18G10200NF</v>
          </cell>
          <cell r="B1440">
            <v>11.82</v>
          </cell>
          <cell r="C1440">
            <v>0</v>
          </cell>
          <cell r="D1440">
            <v>0</v>
          </cell>
        </row>
        <row r="1441">
          <cell r="A1441" t="str">
            <v>18G10200VF</v>
          </cell>
          <cell r="B1441">
            <v>12.96</v>
          </cell>
          <cell r="C1441">
            <v>0</v>
          </cell>
          <cell r="D1441">
            <v>0</v>
          </cell>
        </row>
        <row r="1442">
          <cell r="A1442" t="str">
            <v>18G1020100</v>
          </cell>
          <cell r="B1442">
            <v>9.23</v>
          </cell>
          <cell r="C1442">
            <v>0.91</v>
          </cell>
          <cell r="D1442">
            <v>1.39</v>
          </cell>
        </row>
        <row r="1443">
          <cell r="A1443" t="str">
            <v>18G10201NF</v>
          </cell>
          <cell r="B1443">
            <v>11.82</v>
          </cell>
          <cell r="C1443">
            <v>0</v>
          </cell>
          <cell r="D1443">
            <v>0</v>
          </cell>
        </row>
        <row r="1444">
          <cell r="A1444" t="str">
            <v>18G1020200</v>
          </cell>
          <cell r="B1444">
            <v>9.23</v>
          </cell>
          <cell r="C1444">
            <v>0.91</v>
          </cell>
          <cell r="D1444">
            <v>1.39</v>
          </cell>
        </row>
        <row r="1445">
          <cell r="A1445" t="str">
            <v>18G1020300</v>
          </cell>
          <cell r="B1445">
            <v>9.23</v>
          </cell>
          <cell r="C1445">
            <v>0.91</v>
          </cell>
          <cell r="D1445">
            <v>1.39</v>
          </cell>
        </row>
        <row r="1446">
          <cell r="A1446" t="str">
            <v>18G1031100</v>
          </cell>
          <cell r="B1446">
            <v>9.11</v>
          </cell>
          <cell r="C1446">
            <v>0.89</v>
          </cell>
          <cell r="D1446">
            <v>1.34</v>
          </cell>
        </row>
        <row r="1447">
          <cell r="A1447" t="str">
            <v>18G1048R00</v>
          </cell>
          <cell r="B1447">
            <v>6.43</v>
          </cell>
          <cell r="C1447">
            <v>2.86</v>
          </cell>
          <cell r="D1447">
            <v>5.47</v>
          </cell>
        </row>
        <row r="1448">
          <cell r="A1448" t="str">
            <v>18G10490MF</v>
          </cell>
          <cell r="B1448">
            <v>4.5</v>
          </cell>
          <cell r="C1448">
            <v>0</v>
          </cell>
          <cell r="D1448">
            <v>0</v>
          </cell>
        </row>
        <row r="1449">
          <cell r="A1449" t="str">
            <v>18G10500PF</v>
          </cell>
          <cell r="B1449">
            <v>0.84</v>
          </cell>
          <cell r="C1449">
            <v>0</v>
          </cell>
          <cell r="D1449">
            <v>0</v>
          </cell>
        </row>
        <row r="1450">
          <cell r="A1450" t="str">
            <v>18G10501TF</v>
          </cell>
          <cell r="B1450">
            <v>1.1599999999999999</v>
          </cell>
          <cell r="C1450">
            <v>0</v>
          </cell>
          <cell r="D1450">
            <v>0</v>
          </cell>
        </row>
        <row r="1451">
          <cell r="A1451" t="str">
            <v>18G10510PF</v>
          </cell>
          <cell r="B1451">
            <v>0.76</v>
          </cell>
          <cell r="C1451">
            <v>0</v>
          </cell>
          <cell r="D1451">
            <v>0</v>
          </cell>
        </row>
        <row r="1452">
          <cell r="A1452" t="str">
            <v>18G10511J0</v>
          </cell>
          <cell r="B1452">
            <v>0.16</v>
          </cell>
          <cell r="C1452">
            <v>0.06</v>
          </cell>
          <cell r="D1452">
            <v>0.12</v>
          </cell>
        </row>
        <row r="1453">
          <cell r="A1453" t="str">
            <v>18G10530PF</v>
          </cell>
          <cell r="B1453">
            <v>0.81</v>
          </cell>
          <cell r="C1453">
            <v>0</v>
          </cell>
          <cell r="D1453">
            <v>0</v>
          </cell>
        </row>
        <row r="1454">
          <cell r="A1454" t="str">
            <v>18G10531J0</v>
          </cell>
          <cell r="B1454">
            <v>0.18</v>
          </cell>
          <cell r="C1454">
            <v>0.06</v>
          </cell>
          <cell r="D1454">
            <v>0.12</v>
          </cell>
        </row>
        <row r="1455">
          <cell r="A1455" t="str">
            <v>18G10531TF</v>
          </cell>
          <cell r="B1455">
            <v>0.85</v>
          </cell>
          <cell r="C1455">
            <v>0</v>
          </cell>
          <cell r="D1455">
            <v>0</v>
          </cell>
        </row>
        <row r="1456">
          <cell r="A1456" t="str">
            <v>18G1066100</v>
          </cell>
          <cell r="B1456">
            <v>3.73</v>
          </cell>
          <cell r="C1456">
            <v>0</v>
          </cell>
          <cell r="D1456">
            <v>0</v>
          </cell>
        </row>
        <row r="1457">
          <cell r="A1457" t="str">
            <v>18G1071100</v>
          </cell>
          <cell r="B1457">
            <v>0.8</v>
          </cell>
          <cell r="C1457">
            <v>0</v>
          </cell>
          <cell r="D1457">
            <v>0</v>
          </cell>
        </row>
        <row r="1458">
          <cell r="A1458" t="str">
            <v>18G1098R00</v>
          </cell>
          <cell r="B1458">
            <v>5.57</v>
          </cell>
          <cell r="C1458">
            <v>5.35</v>
          </cell>
          <cell r="D1458">
            <v>7.11</v>
          </cell>
        </row>
        <row r="1459">
          <cell r="A1459" t="str">
            <v>18G1102R00</v>
          </cell>
          <cell r="B1459">
            <v>121.97</v>
          </cell>
          <cell r="C1459">
            <v>5.12</v>
          </cell>
          <cell r="D1459">
            <v>7.46</v>
          </cell>
        </row>
        <row r="1460">
          <cell r="A1460" t="str">
            <v>18G11440NF</v>
          </cell>
          <cell r="B1460">
            <v>0.19</v>
          </cell>
          <cell r="C1460">
            <v>0</v>
          </cell>
          <cell r="D1460">
            <v>0</v>
          </cell>
        </row>
        <row r="1461">
          <cell r="A1461" t="str">
            <v>18G11441TF</v>
          </cell>
          <cell r="B1461">
            <v>0.19</v>
          </cell>
          <cell r="C1461">
            <v>0</v>
          </cell>
          <cell r="D1461">
            <v>0</v>
          </cell>
        </row>
        <row r="1462">
          <cell r="A1462" t="str">
            <v>18G1164R00</v>
          </cell>
          <cell r="B1462">
            <v>76.8</v>
          </cell>
          <cell r="C1462">
            <v>2.02</v>
          </cell>
          <cell r="D1462">
            <v>5.55</v>
          </cell>
        </row>
        <row r="1463">
          <cell r="A1463" t="str">
            <v>18G1165R00</v>
          </cell>
          <cell r="B1463">
            <v>44.65</v>
          </cell>
          <cell r="C1463">
            <v>2.65</v>
          </cell>
          <cell r="D1463">
            <v>4.8099999999999996</v>
          </cell>
        </row>
        <row r="1464">
          <cell r="A1464" t="str">
            <v>18G1165T00</v>
          </cell>
          <cell r="B1464">
            <v>44.65</v>
          </cell>
          <cell r="C1464">
            <v>2.65</v>
          </cell>
          <cell r="D1464">
            <v>4.8099999999999996</v>
          </cell>
        </row>
        <row r="1465">
          <cell r="A1465" t="str">
            <v>18G1167R00</v>
          </cell>
          <cell r="B1465">
            <v>49.67</v>
          </cell>
          <cell r="C1465">
            <v>2.65</v>
          </cell>
          <cell r="D1465">
            <v>4.8099999999999996</v>
          </cell>
        </row>
        <row r="1466">
          <cell r="A1466" t="str">
            <v>18G1167T00</v>
          </cell>
          <cell r="B1466">
            <v>49.67</v>
          </cell>
          <cell r="C1466">
            <v>2.65</v>
          </cell>
          <cell r="D1466">
            <v>4.8099999999999996</v>
          </cell>
        </row>
        <row r="1467">
          <cell r="A1467" t="str">
            <v>18G1168R00</v>
          </cell>
          <cell r="B1467">
            <v>47.33</v>
          </cell>
          <cell r="C1467">
            <v>2.8</v>
          </cell>
          <cell r="D1467">
            <v>4.04</v>
          </cell>
        </row>
        <row r="1468">
          <cell r="A1468" t="str">
            <v>18G1169R00</v>
          </cell>
          <cell r="B1468">
            <v>48.66</v>
          </cell>
          <cell r="C1468">
            <v>1.43</v>
          </cell>
          <cell r="D1468">
            <v>1.92</v>
          </cell>
        </row>
        <row r="1469">
          <cell r="A1469" t="str">
            <v>18G1175R00</v>
          </cell>
          <cell r="B1469">
            <v>16.04</v>
          </cell>
          <cell r="C1469">
            <v>12.27</v>
          </cell>
          <cell r="D1469">
            <v>18.91</v>
          </cell>
        </row>
        <row r="1470">
          <cell r="A1470" t="str">
            <v>18G1177R00</v>
          </cell>
          <cell r="B1470">
            <v>23.14</v>
          </cell>
          <cell r="C1470">
            <v>3.38</v>
          </cell>
          <cell r="D1470">
            <v>4.6500000000000004</v>
          </cell>
        </row>
        <row r="1471">
          <cell r="A1471" t="str">
            <v>18G1181100</v>
          </cell>
          <cell r="B1471">
            <v>8.34</v>
          </cell>
          <cell r="C1471">
            <v>0.04</v>
          </cell>
          <cell r="D1471">
            <v>0.03</v>
          </cell>
        </row>
        <row r="1472">
          <cell r="A1472" t="str">
            <v>18G11950MF</v>
          </cell>
          <cell r="B1472">
            <v>127.18</v>
          </cell>
          <cell r="C1472">
            <v>0</v>
          </cell>
          <cell r="D1472">
            <v>0</v>
          </cell>
        </row>
        <row r="1473">
          <cell r="A1473" t="str">
            <v>18G11960MF</v>
          </cell>
          <cell r="B1473">
            <v>2.12</v>
          </cell>
          <cell r="C1473">
            <v>0</v>
          </cell>
          <cell r="D1473">
            <v>0</v>
          </cell>
        </row>
        <row r="1474">
          <cell r="A1474" t="str">
            <v>18G11970MF</v>
          </cell>
          <cell r="B1474">
            <v>2.65</v>
          </cell>
          <cell r="C1474">
            <v>0</v>
          </cell>
          <cell r="D1474">
            <v>0</v>
          </cell>
        </row>
        <row r="1475">
          <cell r="A1475" t="str">
            <v>18G11980MF</v>
          </cell>
          <cell r="B1475">
            <v>2.65</v>
          </cell>
          <cell r="C1475">
            <v>0</v>
          </cell>
          <cell r="D1475">
            <v>0</v>
          </cell>
        </row>
        <row r="1476">
          <cell r="A1476" t="str">
            <v>18G1211100</v>
          </cell>
          <cell r="B1476">
            <v>0.7</v>
          </cell>
          <cell r="C1476">
            <v>0</v>
          </cell>
          <cell r="D1476">
            <v>0</v>
          </cell>
        </row>
        <row r="1477">
          <cell r="A1477" t="str">
            <v>18G1273100</v>
          </cell>
          <cell r="B1477">
            <v>3.77</v>
          </cell>
          <cell r="C1477">
            <v>3.07</v>
          </cell>
          <cell r="D1477">
            <v>5.42</v>
          </cell>
        </row>
        <row r="1478">
          <cell r="A1478" t="str">
            <v>18G1273R00</v>
          </cell>
          <cell r="B1478">
            <v>3.77</v>
          </cell>
          <cell r="C1478">
            <v>3.11</v>
          </cell>
          <cell r="D1478">
            <v>5.48</v>
          </cell>
        </row>
        <row r="1479">
          <cell r="A1479" t="str">
            <v>18G1274200</v>
          </cell>
          <cell r="B1479">
            <v>7.21</v>
          </cell>
          <cell r="C1479">
            <v>0.8</v>
          </cell>
          <cell r="D1479">
            <v>1.5</v>
          </cell>
        </row>
        <row r="1480">
          <cell r="A1480" t="str">
            <v>18G1275200</v>
          </cell>
          <cell r="B1480">
            <v>6.44</v>
          </cell>
          <cell r="C1480">
            <v>0.8</v>
          </cell>
          <cell r="D1480">
            <v>1.54</v>
          </cell>
        </row>
        <row r="1481">
          <cell r="A1481" t="str">
            <v>18G1280R70</v>
          </cell>
          <cell r="B1481">
            <v>36.39</v>
          </cell>
          <cell r="C1481">
            <v>0.02</v>
          </cell>
          <cell r="D1481">
            <v>0.02</v>
          </cell>
        </row>
        <row r="1482">
          <cell r="A1482" t="str">
            <v>18G12821TF</v>
          </cell>
          <cell r="B1482">
            <v>1.75</v>
          </cell>
          <cell r="C1482">
            <v>0</v>
          </cell>
          <cell r="D1482">
            <v>0</v>
          </cell>
        </row>
        <row r="1483">
          <cell r="A1483" t="str">
            <v>18G12841J0</v>
          </cell>
          <cell r="B1483">
            <v>0.22</v>
          </cell>
          <cell r="C1483">
            <v>7.0000000000000007E-2</v>
          </cell>
          <cell r="D1483">
            <v>0.13</v>
          </cell>
        </row>
        <row r="1484">
          <cell r="A1484" t="str">
            <v>18G12841TF</v>
          </cell>
          <cell r="B1484">
            <v>1.3</v>
          </cell>
          <cell r="C1484">
            <v>0</v>
          </cell>
          <cell r="D1484">
            <v>0</v>
          </cell>
        </row>
        <row r="1485">
          <cell r="A1485" t="str">
            <v>18G1285100</v>
          </cell>
          <cell r="B1485">
            <v>2.0299999999999998</v>
          </cell>
          <cell r="C1485">
            <v>1.91</v>
          </cell>
          <cell r="D1485">
            <v>2.93</v>
          </cell>
        </row>
        <row r="1486">
          <cell r="A1486" t="str">
            <v>18G1285R00</v>
          </cell>
          <cell r="B1486">
            <v>2.0299999999999998</v>
          </cell>
          <cell r="C1486">
            <v>1.91</v>
          </cell>
          <cell r="D1486">
            <v>2.93</v>
          </cell>
        </row>
        <row r="1487">
          <cell r="A1487" t="str">
            <v>18G12870MF</v>
          </cell>
          <cell r="B1487">
            <v>55.43</v>
          </cell>
          <cell r="C1487">
            <v>0</v>
          </cell>
          <cell r="D1487">
            <v>0</v>
          </cell>
        </row>
        <row r="1488">
          <cell r="A1488" t="str">
            <v>18G1290100</v>
          </cell>
          <cell r="B1488">
            <v>284.91000000000003</v>
          </cell>
          <cell r="C1488">
            <v>4.76</v>
          </cell>
          <cell r="D1488">
            <v>12.16</v>
          </cell>
        </row>
        <row r="1489">
          <cell r="A1489" t="str">
            <v>18G1290R00</v>
          </cell>
          <cell r="B1489">
            <v>284.91000000000003</v>
          </cell>
          <cell r="C1489">
            <v>4.8</v>
          </cell>
          <cell r="D1489">
            <v>12.18</v>
          </cell>
        </row>
        <row r="1490">
          <cell r="A1490" t="str">
            <v>18G1312R70</v>
          </cell>
          <cell r="B1490">
            <v>164.63</v>
          </cell>
          <cell r="C1490">
            <v>0.04</v>
          </cell>
          <cell r="D1490">
            <v>0.04</v>
          </cell>
        </row>
        <row r="1491">
          <cell r="A1491" t="str">
            <v>18G13330MF</v>
          </cell>
          <cell r="B1491">
            <v>1.88</v>
          </cell>
          <cell r="C1491">
            <v>0</v>
          </cell>
          <cell r="D1491">
            <v>0</v>
          </cell>
        </row>
        <row r="1492">
          <cell r="A1492" t="str">
            <v>18G1336100</v>
          </cell>
          <cell r="B1492">
            <v>25.49</v>
          </cell>
          <cell r="C1492">
            <v>5.12</v>
          </cell>
          <cell r="D1492">
            <v>7.32</v>
          </cell>
        </row>
        <row r="1493">
          <cell r="A1493" t="str">
            <v>18G1355R00</v>
          </cell>
          <cell r="B1493">
            <v>9.6999999999999993</v>
          </cell>
          <cell r="C1493">
            <v>5.99</v>
          </cell>
          <cell r="D1493">
            <v>8.19</v>
          </cell>
        </row>
        <row r="1494">
          <cell r="A1494" t="str">
            <v>18G1372R70</v>
          </cell>
          <cell r="B1494">
            <v>149.16999999999999</v>
          </cell>
          <cell r="C1494">
            <v>0.02</v>
          </cell>
          <cell r="D1494">
            <v>0.02</v>
          </cell>
        </row>
        <row r="1495">
          <cell r="A1495" t="str">
            <v>18G1377100</v>
          </cell>
          <cell r="B1495">
            <v>2.64</v>
          </cell>
          <cell r="C1495">
            <v>0</v>
          </cell>
          <cell r="D1495">
            <v>0</v>
          </cell>
        </row>
        <row r="1496">
          <cell r="A1496" t="str">
            <v>18G14191J0</v>
          </cell>
          <cell r="B1496">
            <v>0.78</v>
          </cell>
          <cell r="C1496">
            <v>0.1</v>
          </cell>
          <cell r="D1496">
            <v>0.21</v>
          </cell>
        </row>
        <row r="1497">
          <cell r="A1497" t="str">
            <v>18G14511J0</v>
          </cell>
          <cell r="B1497">
            <v>0.32</v>
          </cell>
          <cell r="C1497">
            <v>0.04</v>
          </cell>
          <cell r="D1497">
            <v>0.1</v>
          </cell>
        </row>
        <row r="1498">
          <cell r="A1498" t="str">
            <v>18G1469100</v>
          </cell>
          <cell r="B1498">
            <v>1.8</v>
          </cell>
          <cell r="C1498">
            <v>0</v>
          </cell>
          <cell r="D1498">
            <v>0</v>
          </cell>
        </row>
        <row r="1499">
          <cell r="A1499" t="str">
            <v>18G1470100</v>
          </cell>
          <cell r="B1499">
            <v>2.16</v>
          </cell>
          <cell r="C1499">
            <v>0</v>
          </cell>
          <cell r="D1499">
            <v>0</v>
          </cell>
        </row>
        <row r="1500">
          <cell r="A1500" t="str">
            <v>18G15161J0</v>
          </cell>
          <cell r="B1500">
            <v>0.24</v>
          </cell>
          <cell r="C1500">
            <v>0.01</v>
          </cell>
          <cell r="D1500">
            <v>0.03</v>
          </cell>
        </row>
        <row r="1501">
          <cell r="A1501" t="str">
            <v>18G15171J0</v>
          </cell>
          <cell r="B1501">
            <v>0.24</v>
          </cell>
          <cell r="C1501">
            <v>0.01</v>
          </cell>
          <cell r="D1501">
            <v>0.03</v>
          </cell>
        </row>
        <row r="1502">
          <cell r="A1502" t="str">
            <v>18G15201J0</v>
          </cell>
          <cell r="B1502">
            <v>0.24</v>
          </cell>
          <cell r="C1502">
            <v>0.01</v>
          </cell>
          <cell r="D1502">
            <v>0.03</v>
          </cell>
        </row>
        <row r="1503">
          <cell r="A1503" t="str">
            <v>18G15271TF</v>
          </cell>
          <cell r="B1503">
            <v>0.5</v>
          </cell>
          <cell r="C1503">
            <v>0</v>
          </cell>
          <cell r="D1503">
            <v>0</v>
          </cell>
        </row>
        <row r="1504">
          <cell r="A1504" t="str">
            <v>18G1531100</v>
          </cell>
          <cell r="B1504">
            <v>3.77</v>
          </cell>
          <cell r="C1504">
            <v>3.19</v>
          </cell>
          <cell r="D1504">
            <v>5.66</v>
          </cell>
        </row>
        <row r="1505">
          <cell r="A1505" t="str">
            <v>18G1531R00</v>
          </cell>
          <cell r="B1505">
            <v>3.77</v>
          </cell>
          <cell r="C1505">
            <v>3.24</v>
          </cell>
          <cell r="D1505">
            <v>5.72</v>
          </cell>
        </row>
        <row r="1506">
          <cell r="A1506" t="str">
            <v>18G15340NF</v>
          </cell>
          <cell r="B1506">
            <v>18.760000000000002</v>
          </cell>
          <cell r="C1506">
            <v>0</v>
          </cell>
          <cell r="D1506">
            <v>0</v>
          </cell>
        </row>
        <row r="1507">
          <cell r="A1507" t="str">
            <v>18G1534100</v>
          </cell>
          <cell r="B1507">
            <v>9.9</v>
          </cell>
          <cell r="C1507">
            <v>3.01</v>
          </cell>
          <cell r="D1507">
            <v>5</v>
          </cell>
        </row>
        <row r="1508">
          <cell r="A1508" t="str">
            <v>18G1534R00</v>
          </cell>
          <cell r="B1508">
            <v>9.91</v>
          </cell>
          <cell r="C1508">
            <v>3.05</v>
          </cell>
          <cell r="D1508">
            <v>5.04</v>
          </cell>
        </row>
        <row r="1509">
          <cell r="A1509" t="str">
            <v>18G15441TF</v>
          </cell>
          <cell r="B1509">
            <v>0.6</v>
          </cell>
          <cell r="C1509">
            <v>0</v>
          </cell>
          <cell r="D1509">
            <v>0</v>
          </cell>
        </row>
        <row r="1510">
          <cell r="A1510" t="str">
            <v>18G1548100</v>
          </cell>
          <cell r="B1510">
            <v>14.35</v>
          </cell>
          <cell r="C1510">
            <v>3.47</v>
          </cell>
          <cell r="D1510">
            <v>5.24</v>
          </cell>
        </row>
        <row r="1511">
          <cell r="A1511" t="str">
            <v>18G1548R00</v>
          </cell>
          <cell r="B1511">
            <v>14.35</v>
          </cell>
          <cell r="C1511">
            <v>3.52</v>
          </cell>
          <cell r="D1511">
            <v>5.28</v>
          </cell>
        </row>
        <row r="1512">
          <cell r="A1512" t="str">
            <v>18G15510MF</v>
          </cell>
          <cell r="B1512">
            <v>0.64</v>
          </cell>
          <cell r="C1512">
            <v>0</v>
          </cell>
          <cell r="D1512">
            <v>0</v>
          </cell>
        </row>
        <row r="1513">
          <cell r="A1513" t="str">
            <v>18G1555100</v>
          </cell>
          <cell r="B1513">
            <v>9.2200000000000006</v>
          </cell>
          <cell r="C1513">
            <v>2.1800000000000002</v>
          </cell>
          <cell r="D1513">
            <v>2.92</v>
          </cell>
        </row>
        <row r="1514">
          <cell r="A1514" t="str">
            <v>18G1555200</v>
          </cell>
          <cell r="B1514">
            <v>9.2200000000000006</v>
          </cell>
          <cell r="C1514">
            <v>2.1800000000000002</v>
          </cell>
          <cell r="D1514">
            <v>2.92</v>
          </cell>
        </row>
        <row r="1515">
          <cell r="A1515" t="str">
            <v>18G1555R00</v>
          </cell>
          <cell r="B1515">
            <v>9.2200000000000006</v>
          </cell>
          <cell r="C1515">
            <v>2.2000000000000002</v>
          </cell>
          <cell r="D1515">
            <v>2.97</v>
          </cell>
        </row>
        <row r="1516">
          <cell r="A1516" t="str">
            <v>18G1559100</v>
          </cell>
          <cell r="B1516">
            <v>6.16</v>
          </cell>
          <cell r="C1516">
            <v>2.76</v>
          </cell>
          <cell r="D1516">
            <v>5.17</v>
          </cell>
        </row>
        <row r="1517">
          <cell r="A1517" t="str">
            <v>18G1559200</v>
          </cell>
          <cell r="B1517">
            <v>6.16</v>
          </cell>
          <cell r="C1517">
            <v>2.76</v>
          </cell>
          <cell r="D1517">
            <v>5.17</v>
          </cell>
        </row>
        <row r="1518">
          <cell r="A1518" t="str">
            <v>18G1559300</v>
          </cell>
          <cell r="B1518">
            <v>6.16</v>
          </cell>
          <cell r="C1518">
            <v>2.76</v>
          </cell>
          <cell r="D1518">
            <v>5.17</v>
          </cell>
        </row>
        <row r="1519">
          <cell r="A1519" t="str">
            <v>18G1559R00</v>
          </cell>
          <cell r="B1519">
            <v>6.16</v>
          </cell>
          <cell r="C1519">
            <v>2.78</v>
          </cell>
          <cell r="D1519">
            <v>5.22</v>
          </cell>
        </row>
        <row r="1520">
          <cell r="A1520" t="str">
            <v>18G15621J0</v>
          </cell>
          <cell r="B1520">
            <v>0.42</v>
          </cell>
          <cell r="C1520">
            <v>0.08</v>
          </cell>
          <cell r="D1520">
            <v>0.18</v>
          </cell>
        </row>
        <row r="1521">
          <cell r="A1521" t="str">
            <v>18G1569100</v>
          </cell>
          <cell r="B1521">
            <v>6.42</v>
          </cell>
          <cell r="C1521">
            <v>2.74</v>
          </cell>
          <cell r="D1521">
            <v>5.12</v>
          </cell>
        </row>
        <row r="1522">
          <cell r="A1522" t="str">
            <v>18G1569200</v>
          </cell>
          <cell r="B1522">
            <v>6.42</v>
          </cell>
          <cell r="C1522">
            <v>2.74</v>
          </cell>
          <cell r="D1522">
            <v>5.12</v>
          </cell>
        </row>
        <row r="1523">
          <cell r="A1523" t="str">
            <v>18G1572100</v>
          </cell>
          <cell r="B1523">
            <v>0.53</v>
          </cell>
          <cell r="C1523">
            <v>0.02</v>
          </cell>
          <cell r="D1523">
            <v>0.04</v>
          </cell>
        </row>
        <row r="1524">
          <cell r="A1524" t="str">
            <v>18G1573170</v>
          </cell>
          <cell r="B1524">
            <v>152.24</v>
          </cell>
          <cell r="C1524">
            <v>0.02</v>
          </cell>
          <cell r="D1524">
            <v>0.02</v>
          </cell>
        </row>
        <row r="1525">
          <cell r="A1525" t="str">
            <v>18G1596170</v>
          </cell>
          <cell r="B1525">
            <v>153.81</v>
          </cell>
          <cell r="C1525">
            <v>1.08</v>
          </cell>
          <cell r="D1525">
            <v>0.97</v>
          </cell>
        </row>
        <row r="1526">
          <cell r="A1526" t="str">
            <v>18G1596R70</v>
          </cell>
          <cell r="B1526">
            <v>153.81</v>
          </cell>
          <cell r="C1526">
            <v>0.02</v>
          </cell>
          <cell r="D1526">
            <v>0.02</v>
          </cell>
        </row>
        <row r="1527">
          <cell r="A1527" t="str">
            <v>18G16030MF</v>
          </cell>
          <cell r="B1527">
            <v>11.93</v>
          </cell>
          <cell r="C1527">
            <v>0</v>
          </cell>
          <cell r="D1527">
            <v>0</v>
          </cell>
        </row>
        <row r="1528">
          <cell r="A1528" t="str">
            <v>18G16040PF</v>
          </cell>
          <cell r="B1528">
            <v>2.64</v>
          </cell>
          <cell r="C1528">
            <v>0</v>
          </cell>
          <cell r="D1528">
            <v>0</v>
          </cell>
        </row>
        <row r="1529">
          <cell r="A1529" t="str">
            <v>18G16060PF</v>
          </cell>
          <cell r="B1529">
            <v>1.0900000000000001</v>
          </cell>
          <cell r="C1529">
            <v>0</v>
          </cell>
          <cell r="D1529">
            <v>0</v>
          </cell>
        </row>
        <row r="1530">
          <cell r="A1530" t="str">
            <v>18G16070PF</v>
          </cell>
          <cell r="B1530">
            <v>0.42</v>
          </cell>
          <cell r="C1530">
            <v>0</v>
          </cell>
          <cell r="D1530">
            <v>0</v>
          </cell>
        </row>
        <row r="1531">
          <cell r="A1531" t="str">
            <v>18G16080PF</v>
          </cell>
          <cell r="B1531">
            <v>0.42</v>
          </cell>
          <cell r="C1531">
            <v>0</v>
          </cell>
          <cell r="D1531">
            <v>0</v>
          </cell>
        </row>
        <row r="1532">
          <cell r="A1532" t="str">
            <v>18G16090PF</v>
          </cell>
          <cell r="B1532">
            <v>1.33</v>
          </cell>
          <cell r="C1532">
            <v>0</v>
          </cell>
          <cell r="D1532">
            <v>0</v>
          </cell>
        </row>
        <row r="1533">
          <cell r="A1533" t="str">
            <v>18G1611100</v>
          </cell>
          <cell r="B1533">
            <v>0.72</v>
          </cell>
          <cell r="C1533">
            <v>0.23</v>
          </cell>
          <cell r="D1533">
            <v>0.3</v>
          </cell>
        </row>
        <row r="1534">
          <cell r="A1534" t="str">
            <v>18G16320PF</v>
          </cell>
          <cell r="B1534">
            <v>1.38</v>
          </cell>
          <cell r="C1534">
            <v>0</v>
          </cell>
          <cell r="D1534">
            <v>0</v>
          </cell>
        </row>
        <row r="1535">
          <cell r="A1535" t="str">
            <v>18G16361J0</v>
          </cell>
          <cell r="B1535">
            <v>0.24</v>
          </cell>
          <cell r="C1535">
            <v>0.39</v>
          </cell>
          <cell r="D1535">
            <v>0.71</v>
          </cell>
        </row>
        <row r="1536">
          <cell r="A1536" t="str">
            <v>18G16620PF</v>
          </cell>
          <cell r="B1536">
            <v>1.3</v>
          </cell>
          <cell r="C1536">
            <v>0</v>
          </cell>
          <cell r="D1536">
            <v>0</v>
          </cell>
        </row>
        <row r="1537">
          <cell r="A1537" t="str">
            <v>18G1666R00</v>
          </cell>
          <cell r="B1537">
            <v>9.2100000000000009</v>
          </cell>
          <cell r="C1537">
            <v>2.57</v>
          </cell>
          <cell r="D1537">
            <v>3.45</v>
          </cell>
        </row>
        <row r="1538">
          <cell r="A1538" t="str">
            <v>18G16761TF</v>
          </cell>
          <cell r="B1538">
            <v>1.08</v>
          </cell>
          <cell r="C1538">
            <v>0</v>
          </cell>
          <cell r="D1538">
            <v>0</v>
          </cell>
        </row>
        <row r="1539">
          <cell r="A1539" t="str">
            <v>18G1680100</v>
          </cell>
          <cell r="B1539">
            <v>149.38</v>
          </cell>
          <cell r="C1539">
            <v>2.64</v>
          </cell>
          <cell r="D1539">
            <v>5.18</v>
          </cell>
        </row>
        <row r="1540">
          <cell r="A1540" t="str">
            <v>18G1690100</v>
          </cell>
          <cell r="B1540">
            <v>152.79</v>
          </cell>
          <cell r="C1540">
            <v>2.64</v>
          </cell>
          <cell r="D1540">
            <v>5.18</v>
          </cell>
        </row>
        <row r="1541">
          <cell r="A1541" t="str">
            <v>18G1700100</v>
          </cell>
          <cell r="B1541">
            <v>219.86</v>
          </cell>
          <cell r="C1541">
            <v>2.64</v>
          </cell>
          <cell r="D1541">
            <v>5.18</v>
          </cell>
        </row>
        <row r="1542">
          <cell r="A1542" t="str">
            <v>18G1710100</v>
          </cell>
          <cell r="B1542">
            <v>223.27</v>
          </cell>
          <cell r="C1542">
            <v>2.64</v>
          </cell>
          <cell r="D1542">
            <v>5.18</v>
          </cell>
        </row>
        <row r="1543">
          <cell r="A1543" t="str">
            <v>18G1720100</v>
          </cell>
          <cell r="B1543">
            <v>150.58000000000001</v>
          </cell>
          <cell r="C1543">
            <v>2.64</v>
          </cell>
          <cell r="D1543">
            <v>5.18</v>
          </cell>
        </row>
        <row r="1544">
          <cell r="A1544" t="str">
            <v>18G1730100</v>
          </cell>
          <cell r="B1544">
            <v>153.99</v>
          </cell>
          <cell r="C1544">
            <v>2.64</v>
          </cell>
          <cell r="D1544">
            <v>5.18</v>
          </cell>
        </row>
        <row r="1545">
          <cell r="A1545" t="str">
            <v>18G1780100</v>
          </cell>
          <cell r="B1545">
            <v>305.83</v>
          </cell>
          <cell r="C1545">
            <v>1.83</v>
          </cell>
          <cell r="D1545">
            <v>3.62</v>
          </cell>
        </row>
        <row r="1546">
          <cell r="A1546" t="str">
            <v>18G1786100</v>
          </cell>
          <cell r="B1546">
            <v>22.09</v>
          </cell>
          <cell r="C1546">
            <v>0</v>
          </cell>
          <cell r="D1546">
            <v>0</v>
          </cell>
        </row>
        <row r="1547">
          <cell r="A1547" t="str">
            <v>18G1822R00</v>
          </cell>
          <cell r="B1547">
            <v>215.33</v>
          </cell>
          <cell r="C1547">
            <v>11.56</v>
          </cell>
          <cell r="D1547">
            <v>16.489999999999998</v>
          </cell>
        </row>
        <row r="1548">
          <cell r="A1548" t="str">
            <v>18G1841200</v>
          </cell>
          <cell r="B1548">
            <v>3.65</v>
          </cell>
          <cell r="C1548">
            <v>1.64</v>
          </cell>
          <cell r="D1548">
            <v>3.35</v>
          </cell>
        </row>
        <row r="1549">
          <cell r="A1549" t="str">
            <v>18G1841R00</v>
          </cell>
          <cell r="B1549">
            <v>3.66</v>
          </cell>
          <cell r="C1549">
            <v>1.66</v>
          </cell>
          <cell r="D1549">
            <v>3.39</v>
          </cell>
        </row>
        <row r="1550">
          <cell r="A1550" t="str">
            <v>18G1841T00</v>
          </cell>
          <cell r="B1550">
            <v>3.66</v>
          </cell>
          <cell r="C1550">
            <v>1.66</v>
          </cell>
          <cell r="D1550">
            <v>3.39</v>
          </cell>
        </row>
        <row r="1551">
          <cell r="A1551" t="str">
            <v>18G18430MF</v>
          </cell>
          <cell r="B1551">
            <v>148.97999999999999</v>
          </cell>
          <cell r="C1551">
            <v>0</v>
          </cell>
          <cell r="D1551">
            <v>0</v>
          </cell>
        </row>
        <row r="1552">
          <cell r="A1552" t="str">
            <v>18G18460MF</v>
          </cell>
          <cell r="B1552">
            <v>19.61</v>
          </cell>
          <cell r="C1552">
            <v>0</v>
          </cell>
          <cell r="D1552">
            <v>0</v>
          </cell>
        </row>
        <row r="1553">
          <cell r="A1553" t="str">
            <v>18G1857R00</v>
          </cell>
          <cell r="B1553">
            <v>124.48</v>
          </cell>
          <cell r="C1553">
            <v>6.52</v>
          </cell>
          <cell r="D1553">
            <v>10.42</v>
          </cell>
        </row>
        <row r="1554">
          <cell r="A1554" t="str">
            <v>18G1894R00</v>
          </cell>
          <cell r="B1554">
            <v>21.3</v>
          </cell>
          <cell r="C1554">
            <v>10.5</v>
          </cell>
          <cell r="D1554">
            <v>14.18</v>
          </cell>
        </row>
        <row r="1555">
          <cell r="A1555" t="str">
            <v>18G1903R00</v>
          </cell>
          <cell r="B1555">
            <v>12.27</v>
          </cell>
          <cell r="C1555">
            <v>6.53</v>
          </cell>
          <cell r="D1555">
            <v>8.69</v>
          </cell>
        </row>
        <row r="1556">
          <cell r="A1556" t="str">
            <v>18G1904R00</v>
          </cell>
          <cell r="B1556">
            <v>11.52</v>
          </cell>
          <cell r="C1556">
            <v>5.21</v>
          </cell>
          <cell r="D1556">
            <v>7.48</v>
          </cell>
        </row>
        <row r="1557">
          <cell r="A1557" t="str">
            <v>18G19151TF</v>
          </cell>
          <cell r="B1557">
            <v>43.29</v>
          </cell>
          <cell r="C1557">
            <v>0</v>
          </cell>
          <cell r="D1557">
            <v>0</v>
          </cell>
        </row>
        <row r="1558">
          <cell r="A1558" t="str">
            <v>18G1935100</v>
          </cell>
          <cell r="B1558">
            <v>201.22</v>
          </cell>
          <cell r="C1558">
            <v>26.98</v>
          </cell>
          <cell r="D1558">
            <v>35.72</v>
          </cell>
        </row>
        <row r="1559">
          <cell r="A1559" t="str">
            <v>18G1937100</v>
          </cell>
          <cell r="B1559">
            <v>281.47000000000003</v>
          </cell>
          <cell r="C1559">
            <v>33.72</v>
          </cell>
          <cell r="D1559">
            <v>47.24</v>
          </cell>
        </row>
        <row r="1560">
          <cell r="A1560" t="str">
            <v>18G1938R00</v>
          </cell>
          <cell r="B1560">
            <v>244.77</v>
          </cell>
          <cell r="C1560">
            <v>8.9499999999999993</v>
          </cell>
          <cell r="D1560">
            <v>14.75</v>
          </cell>
        </row>
        <row r="1561">
          <cell r="A1561" t="str">
            <v>18G1939100</v>
          </cell>
          <cell r="B1561">
            <v>76.430000000000007</v>
          </cell>
          <cell r="C1561">
            <v>32.979999999999997</v>
          </cell>
          <cell r="D1561">
            <v>43.86</v>
          </cell>
        </row>
        <row r="1562">
          <cell r="A1562" t="str">
            <v>18G1962100</v>
          </cell>
          <cell r="B1562">
            <v>155.91999999999999</v>
          </cell>
          <cell r="C1562">
            <v>0</v>
          </cell>
          <cell r="D1562">
            <v>0</v>
          </cell>
        </row>
        <row r="1563">
          <cell r="A1563" t="str">
            <v>18G1962T70</v>
          </cell>
          <cell r="B1563">
            <v>155.88</v>
          </cell>
          <cell r="C1563">
            <v>0.02</v>
          </cell>
          <cell r="D1563">
            <v>0.02</v>
          </cell>
        </row>
        <row r="1564">
          <cell r="A1564" t="str">
            <v>18G1965100</v>
          </cell>
          <cell r="B1564">
            <v>1.93</v>
          </cell>
          <cell r="C1564">
            <v>0</v>
          </cell>
          <cell r="D1564">
            <v>0</v>
          </cell>
        </row>
        <row r="1565">
          <cell r="A1565" t="str">
            <v>18G19750MF</v>
          </cell>
          <cell r="B1565">
            <v>0.74</v>
          </cell>
          <cell r="C1565">
            <v>0</v>
          </cell>
          <cell r="D1565">
            <v>0</v>
          </cell>
        </row>
        <row r="1566">
          <cell r="A1566" t="str">
            <v>18G19750PF</v>
          </cell>
          <cell r="B1566">
            <v>0.74</v>
          </cell>
          <cell r="C1566">
            <v>0</v>
          </cell>
          <cell r="D1566">
            <v>0</v>
          </cell>
        </row>
        <row r="1567">
          <cell r="A1567" t="str">
            <v>18G1979170</v>
          </cell>
          <cell r="B1567">
            <v>28.07</v>
          </cell>
          <cell r="C1567">
            <v>0.13</v>
          </cell>
          <cell r="D1567">
            <v>0.12</v>
          </cell>
        </row>
        <row r="1568">
          <cell r="A1568" t="str">
            <v>18G1980170</v>
          </cell>
          <cell r="B1568">
            <v>56.41</v>
          </cell>
          <cell r="C1568">
            <v>0.18</v>
          </cell>
          <cell r="D1568">
            <v>0.17</v>
          </cell>
        </row>
        <row r="1569">
          <cell r="A1569" t="str">
            <v>18G1981170</v>
          </cell>
          <cell r="B1569">
            <v>61.57</v>
          </cell>
          <cell r="C1569">
            <v>0.2</v>
          </cell>
          <cell r="D1569">
            <v>0.19</v>
          </cell>
        </row>
        <row r="1570">
          <cell r="A1570" t="str">
            <v>18G19880PF</v>
          </cell>
          <cell r="B1570">
            <v>0.37</v>
          </cell>
          <cell r="C1570">
            <v>0</v>
          </cell>
          <cell r="D1570">
            <v>0</v>
          </cell>
        </row>
        <row r="1571">
          <cell r="A1571" t="str">
            <v>18G1988100</v>
          </cell>
          <cell r="B1571">
            <v>0.16</v>
          </cell>
          <cell r="C1571">
            <v>0.03</v>
          </cell>
          <cell r="D1571">
            <v>0.05</v>
          </cell>
        </row>
        <row r="1572">
          <cell r="A1572" t="str">
            <v>18G19881J0</v>
          </cell>
          <cell r="B1572">
            <v>0.16</v>
          </cell>
          <cell r="C1572">
            <v>0.01</v>
          </cell>
          <cell r="D1572">
            <v>0.03</v>
          </cell>
        </row>
        <row r="1573">
          <cell r="A1573" t="str">
            <v>18G19881TF</v>
          </cell>
          <cell r="B1573">
            <v>0.68</v>
          </cell>
          <cell r="C1573">
            <v>0</v>
          </cell>
          <cell r="D1573">
            <v>0</v>
          </cell>
        </row>
        <row r="1574">
          <cell r="A1574" t="str">
            <v>18G20201J0</v>
          </cell>
          <cell r="B1574">
            <v>12.61</v>
          </cell>
          <cell r="C1574">
            <v>0.5</v>
          </cell>
          <cell r="D1574">
            <v>0.65</v>
          </cell>
        </row>
        <row r="1575">
          <cell r="A1575" t="str">
            <v>18G2021200</v>
          </cell>
          <cell r="B1575">
            <v>19.75</v>
          </cell>
          <cell r="C1575">
            <v>1.65</v>
          </cell>
          <cell r="D1575">
            <v>3.9</v>
          </cell>
        </row>
        <row r="1576">
          <cell r="A1576" t="str">
            <v>18G2024200</v>
          </cell>
          <cell r="B1576">
            <v>24.27</v>
          </cell>
          <cell r="C1576">
            <v>2.71</v>
          </cell>
          <cell r="D1576">
            <v>4.22</v>
          </cell>
        </row>
        <row r="1577">
          <cell r="A1577" t="str">
            <v>18G20280NF</v>
          </cell>
          <cell r="B1577">
            <v>0.92</v>
          </cell>
          <cell r="C1577">
            <v>0</v>
          </cell>
          <cell r="D1577">
            <v>0</v>
          </cell>
        </row>
        <row r="1578">
          <cell r="A1578" t="str">
            <v>18G2122R00</v>
          </cell>
          <cell r="B1578">
            <v>205.96</v>
          </cell>
          <cell r="C1578">
            <v>11.66</v>
          </cell>
          <cell r="D1578">
            <v>15.39</v>
          </cell>
        </row>
        <row r="1579">
          <cell r="A1579" t="str">
            <v>18G2123100</v>
          </cell>
          <cell r="B1579">
            <v>89.59</v>
          </cell>
          <cell r="C1579">
            <v>2.16</v>
          </cell>
          <cell r="D1579">
            <v>2.64</v>
          </cell>
        </row>
        <row r="1580">
          <cell r="A1580" t="str">
            <v>18G2142100</v>
          </cell>
          <cell r="B1580">
            <v>14.66</v>
          </cell>
          <cell r="C1580">
            <v>5.4</v>
          </cell>
          <cell r="D1580">
            <v>6.87</v>
          </cell>
        </row>
        <row r="1581">
          <cell r="A1581" t="str">
            <v>18G2143R00</v>
          </cell>
          <cell r="B1581">
            <v>12.39</v>
          </cell>
          <cell r="C1581">
            <v>4.1399999999999997</v>
          </cell>
          <cell r="D1581">
            <v>5.46</v>
          </cell>
        </row>
        <row r="1582">
          <cell r="A1582" t="str">
            <v>18G2166100</v>
          </cell>
          <cell r="B1582">
            <v>2.36</v>
          </cell>
          <cell r="C1582">
            <v>1.19</v>
          </cell>
          <cell r="D1582">
            <v>5.98</v>
          </cell>
        </row>
        <row r="1583">
          <cell r="A1583" t="str">
            <v>18G2167100</v>
          </cell>
          <cell r="B1583">
            <v>0.17</v>
          </cell>
          <cell r="C1583">
            <v>0.79</v>
          </cell>
          <cell r="D1583">
            <v>1.1299999999999999</v>
          </cell>
        </row>
        <row r="1584">
          <cell r="A1584" t="str">
            <v>18G22851TF</v>
          </cell>
          <cell r="B1584">
            <v>2.99</v>
          </cell>
          <cell r="C1584">
            <v>0</v>
          </cell>
          <cell r="D1584">
            <v>0</v>
          </cell>
        </row>
        <row r="1585">
          <cell r="A1585" t="str">
            <v>18G2330100</v>
          </cell>
          <cell r="B1585">
            <v>12.62</v>
          </cell>
          <cell r="C1585">
            <v>1.1200000000000001</v>
          </cell>
          <cell r="D1585">
            <v>1.94</v>
          </cell>
        </row>
        <row r="1586">
          <cell r="A1586" t="str">
            <v>18G23551TF</v>
          </cell>
          <cell r="B1586">
            <v>0.69</v>
          </cell>
          <cell r="C1586">
            <v>0</v>
          </cell>
          <cell r="D1586">
            <v>0</v>
          </cell>
        </row>
        <row r="1587">
          <cell r="A1587" t="str">
            <v>18G2356100</v>
          </cell>
          <cell r="B1587">
            <v>10.119999999999999</v>
          </cell>
          <cell r="C1587">
            <v>1.1000000000000001</v>
          </cell>
          <cell r="D1587">
            <v>1.89</v>
          </cell>
        </row>
        <row r="1588">
          <cell r="A1588" t="str">
            <v>18G2374R00</v>
          </cell>
          <cell r="B1588">
            <v>199.28</v>
          </cell>
          <cell r="C1588">
            <v>2.69</v>
          </cell>
          <cell r="D1588">
            <v>4.24</v>
          </cell>
        </row>
        <row r="1589">
          <cell r="A1589" t="str">
            <v>18G23960NF</v>
          </cell>
          <cell r="B1589">
            <v>89.06</v>
          </cell>
          <cell r="C1589">
            <v>0</v>
          </cell>
          <cell r="D1589">
            <v>0</v>
          </cell>
        </row>
        <row r="1590">
          <cell r="A1590" t="str">
            <v>18G2396100</v>
          </cell>
          <cell r="B1590">
            <v>84.92</v>
          </cell>
          <cell r="C1590">
            <v>2.0299999999999998</v>
          </cell>
          <cell r="D1590">
            <v>2.72</v>
          </cell>
        </row>
        <row r="1591">
          <cell r="A1591" t="str">
            <v>18G2429100</v>
          </cell>
          <cell r="B1591">
            <v>9.56</v>
          </cell>
          <cell r="C1591">
            <v>8.01</v>
          </cell>
          <cell r="D1591">
            <v>11.3</v>
          </cell>
        </row>
        <row r="1592">
          <cell r="A1592" t="str">
            <v>18G2429R00</v>
          </cell>
          <cell r="B1592">
            <v>9.56</v>
          </cell>
          <cell r="C1592">
            <v>8.08</v>
          </cell>
          <cell r="D1592">
            <v>11.39</v>
          </cell>
        </row>
        <row r="1593">
          <cell r="A1593" t="str">
            <v>18G2430R00</v>
          </cell>
          <cell r="B1593">
            <v>5.14</v>
          </cell>
          <cell r="C1593">
            <v>4.41</v>
          </cell>
          <cell r="D1593">
            <v>6.41</v>
          </cell>
        </row>
        <row r="1594">
          <cell r="A1594" t="str">
            <v>18G24340NF</v>
          </cell>
          <cell r="B1594">
            <v>10.9</v>
          </cell>
          <cell r="C1594">
            <v>0</v>
          </cell>
          <cell r="D1594">
            <v>0</v>
          </cell>
        </row>
        <row r="1595">
          <cell r="A1595" t="str">
            <v>18G2451100</v>
          </cell>
          <cell r="B1595">
            <v>115.14</v>
          </cell>
          <cell r="C1595">
            <v>0</v>
          </cell>
          <cell r="D1595">
            <v>0</v>
          </cell>
        </row>
        <row r="1596">
          <cell r="A1596" t="str">
            <v>18G2452100</v>
          </cell>
          <cell r="B1596">
            <v>53.45</v>
          </cell>
          <cell r="C1596">
            <v>4.49</v>
          </cell>
          <cell r="D1596">
            <v>6.57</v>
          </cell>
        </row>
        <row r="1597">
          <cell r="A1597" t="str">
            <v>18G2452R00</v>
          </cell>
          <cell r="B1597">
            <v>53.45</v>
          </cell>
          <cell r="C1597">
            <v>4.53</v>
          </cell>
          <cell r="D1597">
            <v>6.62</v>
          </cell>
        </row>
        <row r="1598">
          <cell r="A1598" t="str">
            <v>18G2454100</v>
          </cell>
          <cell r="B1598">
            <v>53.67</v>
          </cell>
          <cell r="C1598">
            <v>4.0199999999999996</v>
          </cell>
          <cell r="D1598">
            <v>5.49</v>
          </cell>
        </row>
        <row r="1599">
          <cell r="A1599" t="str">
            <v>18G2454C00</v>
          </cell>
          <cell r="B1599">
            <v>53.66</v>
          </cell>
          <cell r="C1599">
            <v>4.0199999999999996</v>
          </cell>
          <cell r="D1599">
            <v>5.49</v>
          </cell>
        </row>
        <row r="1600">
          <cell r="A1600" t="str">
            <v>18G2459R00</v>
          </cell>
          <cell r="B1600">
            <v>13.81</v>
          </cell>
          <cell r="C1600">
            <v>4.29</v>
          </cell>
          <cell r="D1600">
            <v>5.64</v>
          </cell>
        </row>
        <row r="1601">
          <cell r="A1601" t="str">
            <v>18G2460100</v>
          </cell>
          <cell r="B1601">
            <v>16.12</v>
          </cell>
          <cell r="C1601">
            <v>5.54</v>
          </cell>
          <cell r="D1601">
            <v>7.04</v>
          </cell>
        </row>
        <row r="1602">
          <cell r="A1602" t="str">
            <v>18G2461100</v>
          </cell>
          <cell r="B1602">
            <v>16.09</v>
          </cell>
          <cell r="C1602">
            <v>5.54</v>
          </cell>
          <cell r="D1602">
            <v>7.04</v>
          </cell>
        </row>
        <row r="1603">
          <cell r="A1603" t="str">
            <v>18G2462100</v>
          </cell>
          <cell r="B1603">
            <v>31.97</v>
          </cell>
          <cell r="C1603">
            <v>0</v>
          </cell>
          <cell r="D1603">
            <v>0</v>
          </cell>
        </row>
        <row r="1604">
          <cell r="A1604" t="str">
            <v>18G2525100</v>
          </cell>
          <cell r="B1604">
            <v>186.12</v>
          </cell>
          <cell r="C1604">
            <v>20.010000000000002</v>
          </cell>
          <cell r="D1604">
            <v>25.6</v>
          </cell>
        </row>
        <row r="1605">
          <cell r="A1605" t="str">
            <v>18G2526100</v>
          </cell>
          <cell r="B1605">
            <v>187.72</v>
          </cell>
          <cell r="C1605">
            <v>20.440000000000001</v>
          </cell>
          <cell r="D1605">
            <v>26.15</v>
          </cell>
        </row>
        <row r="1606">
          <cell r="A1606" t="str">
            <v>18G2554100</v>
          </cell>
          <cell r="B1606">
            <v>177.69</v>
          </cell>
          <cell r="C1606">
            <v>29.79</v>
          </cell>
          <cell r="D1606">
            <v>41.77</v>
          </cell>
        </row>
        <row r="1607">
          <cell r="A1607" t="str">
            <v>18G2555100</v>
          </cell>
          <cell r="B1607">
            <v>176.1</v>
          </cell>
          <cell r="C1607">
            <v>29.41</v>
          </cell>
          <cell r="D1607">
            <v>41.25</v>
          </cell>
        </row>
        <row r="1608">
          <cell r="A1608" t="str">
            <v>18G2556100</v>
          </cell>
          <cell r="B1608">
            <v>8.3000000000000007</v>
          </cell>
          <cell r="C1608">
            <v>0.92</v>
          </cell>
          <cell r="D1608">
            <v>1.69</v>
          </cell>
        </row>
        <row r="1609">
          <cell r="A1609" t="str">
            <v>18G2562100</v>
          </cell>
          <cell r="B1609">
            <v>143.38999999999999</v>
          </cell>
          <cell r="C1609">
            <v>20.05</v>
          </cell>
          <cell r="D1609">
            <v>28.1</v>
          </cell>
        </row>
        <row r="1610">
          <cell r="A1610" t="str">
            <v>18G2563100</v>
          </cell>
          <cell r="B1610">
            <v>142.62</v>
          </cell>
          <cell r="C1610">
            <v>18.68</v>
          </cell>
          <cell r="D1610">
            <v>26.86</v>
          </cell>
        </row>
        <row r="1611">
          <cell r="A1611" t="str">
            <v>18G2586100</v>
          </cell>
          <cell r="B1611">
            <v>5.99</v>
          </cell>
          <cell r="C1611">
            <v>0.92</v>
          </cell>
          <cell r="D1611">
            <v>1.69</v>
          </cell>
        </row>
        <row r="1612">
          <cell r="A1612" t="str">
            <v>18G2596100</v>
          </cell>
          <cell r="B1612">
            <v>1.85</v>
          </cell>
          <cell r="C1612">
            <v>2.69</v>
          </cell>
          <cell r="D1612">
            <v>2.73</v>
          </cell>
        </row>
        <row r="1613">
          <cell r="A1613" t="str">
            <v>18G2597100</v>
          </cell>
          <cell r="B1613">
            <v>1.85</v>
          </cell>
          <cell r="C1613">
            <v>2.69</v>
          </cell>
          <cell r="D1613">
            <v>2.73</v>
          </cell>
        </row>
        <row r="1614">
          <cell r="A1614" t="str">
            <v>18G2602200</v>
          </cell>
          <cell r="B1614">
            <v>9.52</v>
          </cell>
          <cell r="C1614">
            <v>2.84</v>
          </cell>
          <cell r="D1614">
            <v>3.47</v>
          </cell>
        </row>
        <row r="1615">
          <cell r="A1615" t="str">
            <v>18G2602R00</v>
          </cell>
          <cell r="B1615">
            <v>9.56</v>
          </cell>
          <cell r="C1615">
            <v>2.89</v>
          </cell>
          <cell r="D1615">
            <v>3.53</v>
          </cell>
        </row>
        <row r="1616">
          <cell r="A1616" t="str">
            <v>18G2621100</v>
          </cell>
          <cell r="B1616">
            <v>2.54</v>
          </cell>
          <cell r="C1616">
            <v>2.69</v>
          </cell>
          <cell r="D1616">
            <v>2.73</v>
          </cell>
        </row>
        <row r="1617">
          <cell r="A1617" t="str">
            <v>18G2622100</v>
          </cell>
          <cell r="B1617">
            <v>2.54</v>
          </cell>
          <cell r="C1617">
            <v>2.69</v>
          </cell>
          <cell r="D1617">
            <v>2.73</v>
          </cell>
        </row>
        <row r="1618">
          <cell r="A1618" t="str">
            <v>18G2626100</v>
          </cell>
          <cell r="B1618">
            <v>2.54</v>
          </cell>
          <cell r="C1618">
            <v>2.69</v>
          </cell>
          <cell r="D1618">
            <v>2.73</v>
          </cell>
        </row>
        <row r="1619">
          <cell r="A1619" t="str">
            <v>18G2627100</v>
          </cell>
          <cell r="B1619">
            <v>2.54</v>
          </cell>
          <cell r="C1619">
            <v>2.69</v>
          </cell>
          <cell r="D1619">
            <v>2.73</v>
          </cell>
        </row>
        <row r="1620">
          <cell r="A1620" t="str">
            <v>18G2628100</v>
          </cell>
          <cell r="B1620">
            <v>2.54</v>
          </cell>
          <cell r="C1620">
            <v>2.69</v>
          </cell>
          <cell r="D1620">
            <v>2.73</v>
          </cell>
        </row>
        <row r="1621">
          <cell r="A1621" t="str">
            <v>18G2630100</v>
          </cell>
          <cell r="B1621">
            <v>2.54</v>
          </cell>
          <cell r="C1621">
            <v>2.69</v>
          </cell>
          <cell r="D1621">
            <v>2.73</v>
          </cell>
        </row>
        <row r="1622">
          <cell r="A1622" t="str">
            <v>18G2640100</v>
          </cell>
          <cell r="B1622">
            <v>9.6199999999999992</v>
          </cell>
          <cell r="C1622">
            <v>0.17</v>
          </cell>
          <cell r="D1622">
            <v>0.11</v>
          </cell>
        </row>
        <row r="1623">
          <cell r="A1623" t="str">
            <v>18G2644R00</v>
          </cell>
          <cell r="B1623">
            <v>17.440000000000001</v>
          </cell>
          <cell r="C1623">
            <v>11.72</v>
          </cell>
          <cell r="D1623">
            <v>18.170000000000002</v>
          </cell>
        </row>
        <row r="1624">
          <cell r="A1624" t="str">
            <v>18G2645100</v>
          </cell>
          <cell r="B1624">
            <v>40.29</v>
          </cell>
          <cell r="C1624">
            <v>14.69</v>
          </cell>
          <cell r="D1624">
            <v>21.96</v>
          </cell>
        </row>
        <row r="1625">
          <cell r="A1625" t="str">
            <v>18G2645200</v>
          </cell>
          <cell r="B1625">
            <v>40.29</v>
          </cell>
          <cell r="C1625">
            <v>14.69</v>
          </cell>
          <cell r="D1625">
            <v>21.96</v>
          </cell>
        </row>
        <row r="1626">
          <cell r="A1626" t="str">
            <v>18G2665100</v>
          </cell>
          <cell r="B1626">
            <v>10.71</v>
          </cell>
          <cell r="C1626">
            <v>1.18</v>
          </cell>
          <cell r="D1626">
            <v>2.23</v>
          </cell>
        </row>
        <row r="1627">
          <cell r="A1627" t="str">
            <v>18G2686R00</v>
          </cell>
          <cell r="B1627">
            <v>3.01</v>
          </cell>
          <cell r="C1627">
            <v>2.21</v>
          </cell>
          <cell r="D1627">
            <v>3.02</v>
          </cell>
        </row>
        <row r="1628">
          <cell r="A1628" t="str">
            <v>18G26910NF</v>
          </cell>
          <cell r="B1628">
            <v>41.47</v>
          </cell>
          <cell r="C1628">
            <v>0</v>
          </cell>
          <cell r="D1628">
            <v>0</v>
          </cell>
        </row>
        <row r="1629">
          <cell r="A1629" t="str">
            <v>18G26920NF</v>
          </cell>
          <cell r="B1629">
            <v>33.049999999999997</v>
          </cell>
          <cell r="C1629">
            <v>0</v>
          </cell>
          <cell r="D1629">
            <v>0</v>
          </cell>
        </row>
        <row r="1630">
          <cell r="A1630" t="str">
            <v>18G2742100</v>
          </cell>
          <cell r="B1630">
            <v>7.73</v>
          </cell>
          <cell r="C1630">
            <v>1.67</v>
          </cell>
          <cell r="D1630">
            <v>3.24</v>
          </cell>
        </row>
        <row r="1631">
          <cell r="A1631" t="str">
            <v>18G2743100</v>
          </cell>
          <cell r="B1631">
            <v>7.88</v>
          </cell>
          <cell r="C1631">
            <v>1.83</v>
          </cell>
          <cell r="D1631">
            <v>3.62</v>
          </cell>
        </row>
        <row r="1632">
          <cell r="A1632" t="str">
            <v>18G2779100</v>
          </cell>
          <cell r="B1632">
            <v>24.23</v>
          </cell>
          <cell r="C1632">
            <v>4.0999999999999996</v>
          </cell>
          <cell r="D1632">
            <v>7.08</v>
          </cell>
        </row>
        <row r="1633">
          <cell r="A1633" t="str">
            <v>18G2779200</v>
          </cell>
          <cell r="B1633">
            <v>24.23</v>
          </cell>
          <cell r="C1633">
            <v>4.0999999999999996</v>
          </cell>
          <cell r="D1633">
            <v>7.08</v>
          </cell>
        </row>
        <row r="1634">
          <cell r="A1634" t="str">
            <v>18G2780100</v>
          </cell>
          <cell r="B1634">
            <v>26.59</v>
          </cell>
          <cell r="C1634">
            <v>4.5199999999999996</v>
          </cell>
          <cell r="D1634">
            <v>7.91</v>
          </cell>
        </row>
        <row r="1635">
          <cell r="A1635" t="str">
            <v>18G2780200</v>
          </cell>
          <cell r="B1635">
            <v>26.59</v>
          </cell>
          <cell r="C1635">
            <v>4.5199999999999996</v>
          </cell>
          <cell r="D1635">
            <v>7.91</v>
          </cell>
        </row>
        <row r="1636">
          <cell r="A1636" t="str">
            <v>18G2832100</v>
          </cell>
          <cell r="B1636">
            <v>6.8</v>
          </cell>
          <cell r="C1636">
            <v>4.62</v>
          </cell>
          <cell r="D1636">
            <v>5.47</v>
          </cell>
        </row>
        <row r="1637">
          <cell r="A1637" t="str">
            <v>18G28351J0</v>
          </cell>
          <cell r="B1637">
            <v>111.21</v>
          </cell>
          <cell r="C1637">
            <v>2.1</v>
          </cell>
          <cell r="D1637">
            <v>4.03</v>
          </cell>
        </row>
        <row r="1638">
          <cell r="A1638" t="str">
            <v>18G2860100</v>
          </cell>
          <cell r="B1638">
            <v>12.64</v>
          </cell>
          <cell r="C1638">
            <v>3.11</v>
          </cell>
          <cell r="D1638">
            <v>4.43</v>
          </cell>
        </row>
        <row r="1639">
          <cell r="A1639" t="str">
            <v>18G2860R00</v>
          </cell>
          <cell r="B1639">
            <v>12.64</v>
          </cell>
          <cell r="C1639">
            <v>3.15</v>
          </cell>
          <cell r="D1639">
            <v>4.4800000000000004</v>
          </cell>
        </row>
        <row r="1640">
          <cell r="A1640" t="str">
            <v>18G2869100</v>
          </cell>
          <cell r="B1640">
            <v>21.13</v>
          </cell>
          <cell r="C1640">
            <v>5.47</v>
          </cell>
          <cell r="D1640">
            <v>8.32</v>
          </cell>
        </row>
        <row r="1641">
          <cell r="A1641" t="str">
            <v>18G2869R00</v>
          </cell>
          <cell r="B1641">
            <v>21.13</v>
          </cell>
          <cell r="C1641">
            <v>4.79</v>
          </cell>
          <cell r="D1641">
            <v>7.87</v>
          </cell>
        </row>
        <row r="1642">
          <cell r="A1642" t="str">
            <v>18G28731TF</v>
          </cell>
          <cell r="B1642">
            <v>17.27</v>
          </cell>
          <cell r="C1642">
            <v>0</v>
          </cell>
          <cell r="D1642">
            <v>0</v>
          </cell>
        </row>
        <row r="1643">
          <cell r="A1643" t="str">
            <v>18G2895100</v>
          </cell>
          <cell r="B1643">
            <v>80.39</v>
          </cell>
          <cell r="C1643">
            <v>2.0299999999999998</v>
          </cell>
          <cell r="D1643">
            <v>2.72</v>
          </cell>
        </row>
        <row r="1644">
          <cell r="A1644" t="str">
            <v>18G28970VF</v>
          </cell>
          <cell r="B1644">
            <v>85.58</v>
          </cell>
          <cell r="C1644">
            <v>0</v>
          </cell>
          <cell r="D1644">
            <v>0</v>
          </cell>
        </row>
        <row r="1645">
          <cell r="A1645" t="str">
            <v>18G2897100</v>
          </cell>
          <cell r="B1645">
            <v>80.39</v>
          </cell>
          <cell r="C1645">
            <v>2.0299999999999998</v>
          </cell>
          <cell r="D1645">
            <v>2.72</v>
          </cell>
        </row>
        <row r="1646">
          <cell r="A1646" t="str">
            <v>18G29030MF</v>
          </cell>
          <cell r="B1646">
            <v>18.86</v>
          </cell>
          <cell r="C1646">
            <v>0</v>
          </cell>
          <cell r="D1646">
            <v>0</v>
          </cell>
        </row>
        <row r="1647">
          <cell r="A1647" t="str">
            <v>18G2903100</v>
          </cell>
          <cell r="B1647">
            <v>9.8699999999999992</v>
          </cell>
          <cell r="C1647">
            <v>3.05</v>
          </cell>
          <cell r="D1647">
            <v>3.62</v>
          </cell>
        </row>
        <row r="1648">
          <cell r="A1648" t="str">
            <v>18G2903R00</v>
          </cell>
          <cell r="B1648">
            <v>9.86</v>
          </cell>
          <cell r="C1648">
            <v>3.08</v>
          </cell>
          <cell r="D1648">
            <v>3.66</v>
          </cell>
        </row>
        <row r="1649">
          <cell r="A1649" t="str">
            <v>18G29040PF</v>
          </cell>
          <cell r="B1649">
            <v>3.1</v>
          </cell>
          <cell r="C1649">
            <v>0</v>
          </cell>
          <cell r="D1649">
            <v>0</v>
          </cell>
        </row>
        <row r="1650">
          <cell r="A1650" t="str">
            <v>18G2905R00</v>
          </cell>
          <cell r="B1650">
            <v>11</v>
          </cell>
          <cell r="C1650">
            <v>3.77</v>
          </cell>
          <cell r="D1650">
            <v>4.67</v>
          </cell>
        </row>
        <row r="1651">
          <cell r="A1651" t="str">
            <v>18G29060PF</v>
          </cell>
          <cell r="B1651">
            <v>3.69</v>
          </cell>
          <cell r="C1651">
            <v>0</v>
          </cell>
          <cell r="D1651">
            <v>0</v>
          </cell>
        </row>
        <row r="1652">
          <cell r="A1652" t="str">
            <v>18G29081TF</v>
          </cell>
          <cell r="B1652">
            <v>3.36</v>
          </cell>
          <cell r="C1652">
            <v>0</v>
          </cell>
          <cell r="D1652">
            <v>0</v>
          </cell>
        </row>
        <row r="1653">
          <cell r="A1653" t="str">
            <v>18G29100MF</v>
          </cell>
          <cell r="B1653">
            <v>74.239999999999995</v>
          </cell>
          <cell r="C1653">
            <v>0</v>
          </cell>
          <cell r="D1653">
            <v>0</v>
          </cell>
        </row>
        <row r="1654">
          <cell r="A1654" t="str">
            <v>18G29100PF</v>
          </cell>
          <cell r="B1654">
            <v>74.239999999999995</v>
          </cell>
          <cell r="C1654">
            <v>0</v>
          </cell>
          <cell r="D1654">
            <v>0</v>
          </cell>
        </row>
        <row r="1655">
          <cell r="A1655" t="str">
            <v>18G29102J0</v>
          </cell>
          <cell r="B1655">
            <v>72.42</v>
          </cell>
          <cell r="C1655">
            <v>1.1399999999999999</v>
          </cell>
          <cell r="D1655">
            <v>1.73</v>
          </cell>
        </row>
        <row r="1656">
          <cell r="A1656" t="str">
            <v>18G2934100</v>
          </cell>
          <cell r="B1656">
            <v>184.23</v>
          </cell>
          <cell r="C1656">
            <v>0</v>
          </cell>
          <cell r="D1656">
            <v>0</v>
          </cell>
        </row>
        <row r="1657">
          <cell r="A1657" t="str">
            <v>18G2934170</v>
          </cell>
          <cell r="B1657">
            <v>182.18</v>
          </cell>
          <cell r="C1657">
            <v>1.08</v>
          </cell>
          <cell r="D1657">
            <v>0.97</v>
          </cell>
        </row>
        <row r="1658">
          <cell r="A1658" t="str">
            <v>18G2934R70</v>
          </cell>
          <cell r="B1658">
            <v>182.18</v>
          </cell>
          <cell r="C1658">
            <v>0.02</v>
          </cell>
          <cell r="D1658">
            <v>0.02</v>
          </cell>
        </row>
        <row r="1659">
          <cell r="A1659" t="str">
            <v>18G2934T70</v>
          </cell>
          <cell r="B1659">
            <v>182.18</v>
          </cell>
          <cell r="C1659">
            <v>0.02</v>
          </cell>
          <cell r="D1659">
            <v>0.02</v>
          </cell>
        </row>
        <row r="1660">
          <cell r="A1660" t="str">
            <v>18G2935170</v>
          </cell>
          <cell r="B1660">
            <v>140.15</v>
          </cell>
          <cell r="C1660">
            <v>1.08</v>
          </cell>
          <cell r="D1660">
            <v>0.97</v>
          </cell>
        </row>
        <row r="1661">
          <cell r="A1661" t="str">
            <v>18G2935R70</v>
          </cell>
          <cell r="B1661">
            <v>140.15</v>
          </cell>
          <cell r="C1661">
            <v>0.02</v>
          </cell>
          <cell r="D1661">
            <v>0.02</v>
          </cell>
        </row>
        <row r="1662">
          <cell r="A1662" t="str">
            <v>18G2939R00</v>
          </cell>
          <cell r="B1662">
            <v>244.77</v>
          </cell>
          <cell r="C1662">
            <v>8.89</v>
          </cell>
          <cell r="D1662">
            <v>14.22</v>
          </cell>
        </row>
        <row r="1663">
          <cell r="A1663" t="str">
            <v>18G2942100</v>
          </cell>
          <cell r="B1663">
            <v>111.43</v>
          </cell>
          <cell r="C1663">
            <v>0</v>
          </cell>
          <cell r="D1663">
            <v>0</v>
          </cell>
        </row>
        <row r="1664">
          <cell r="A1664" t="str">
            <v>18G29450NF</v>
          </cell>
          <cell r="B1664">
            <v>85.94</v>
          </cell>
          <cell r="C1664">
            <v>0</v>
          </cell>
          <cell r="D1664">
            <v>0</v>
          </cell>
        </row>
        <row r="1665">
          <cell r="A1665" t="str">
            <v>18G2945100</v>
          </cell>
          <cell r="B1665">
            <v>75.06</v>
          </cell>
          <cell r="C1665">
            <v>4.32</v>
          </cell>
          <cell r="D1665">
            <v>5.86</v>
          </cell>
        </row>
        <row r="1666">
          <cell r="A1666" t="str">
            <v>18G2945200</v>
          </cell>
          <cell r="B1666">
            <v>75.599999999999994</v>
          </cell>
          <cell r="C1666">
            <v>4.32</v>
          </cell>
          <cell r="D1666">
            <v>5.86</v>
          </cell>
        </row>
        <row r="1667">
          <cell r="A1667" t="str">
            <v>18G2945R00</v>
          </cell>
          <cell r="B1667">
            <v>75.06</v>
          </cell>
          <cell r="C1667">
            <v>4.3600000000000003</v>
          </cell>
          <cell r="D1667">
            <v>5.92</v>
          </cell>
        </row>
        <row r="1668">
          <cell r="A1668" t="str">
            <v>18G29521NF</v>
          </cell>
          <cell r="B1668">
            <v>1.48</v>
          </cell>
          <cell r="C1668">
            <v>0</v>
          </cell>
          <cell r="D1668">
            <v>0</v>
          </cell>
        </row>
        <row r="1669">
          <cell r="A1669" t="str">
            <v>18G29521TF</v>
          </cell>
          <cell r="B1669">
            <v>1.48</v>
          </cell>
          <cell r="C1669">
            <v>0</v>
          </cell>
          <cell r="D1669">
            <v>0</v>
          </cell>
        </row>
        <row r="1670">
          <cell r="A1670" t="str">
            <v>18G2955100</v>
          </cell>
          <cell r="B1670">
            <v>77.34</v>
          </cell>
          <cell r="C1670">
            <v>5.61</v>
          </cell>
          <cell r="D1670">
            <v>7.32</v>
          </cell>
        </row>
        <row r="1671">
          <cell r="A1671" t="str">
            <v>18G2956100</v>
          </cell>
          <cell r="B1671">
            <v>77.33</v>
          </cell>
          <cell r="C1671">
            <v>5.61</v>
          </cell>
          <cell r="D1671">
            <v>7.32</v>
          </cell>
        </row>
        <row r="1672">
          <cell r="A1672" t="str">
            <v>18G2960100</v>
          </cell>
          <cell r="B1672">
            <v>207.89</v>
          </cell>
          <cell r="C1672">
            <v>7.63</v>
          </cell>
          <cell r="D1672">
            <v>9.1</v>
          </cell>
        </row>
        <row r="1673">
          <cell r="A1673" t="str">
            <v>18G2960200</v>
          </cell>
          <cell r="B1673">
            <v>207.89</v>
          </cell>
          <cell r="C1673">
            <v>7.63</v>
          </cell>
          <cell r="D1673">
            <v>9.1</v>
          </cell>
        </row>
        <row r="1674">
          <cell r="A1674" t="str">
            <v>18G2960R00</v>
          </cell>
          <cell r="B1674">
            <v>207.89</v>
          </cell>
          <cell r="C1674">
            <v>7.33</v>
          </cell>
          <cell r="D1674">
            <v>8.81</v>
          </cell>
        </row>
        <row r="1675">
          <cell r="A1675" t="str">
            <v>18G2982100</v>
          </cell>
          <cell r="B1675">
            <v>75.09</v>
          </cell>
          <cell r="C1675">
            <v>4.59</v>
          </cell>
          <cell r="D1675">
            <v>6.67</v>
          </cell>
        </row>
        <row r="1676">
          <cell r="A1676" t="str">
            <v>18G2982R00</v>
          </cell>
          <cell r="B1676">
            <v>75.09</v>
          </cell>
          <cell r="C1676">
            <v>4.63</v>
          </cell>
          <cell r="D1676">
            <v>6.72</v>
          </cell>
        </row>
        <row r="1677">
          <cell r="A1677" t="str">
            <v>18G2987100</v>
          </cell>
          <cell r="B1677">
            <v>78.64</v>
          </cell>
          <cell r="C1677">
            <v>3.63</v>
          </cell>
          <cell r="D1677">
            <v>4.82</v>
          </cell>
        </row>
        <row r="1678">
          <cell r="A1678" t="str">
            <v>18G29940WF</v>
          </cell>
          <cell r="B1678">
            <v>5.33</v>
          </cell>
          <cell r="C1678">
            <v>0</v>
          </cell>
          <cell r="D1678">
            <v>0</v>
          </cell>
        </row>
        <row r="1679">
          <cell r="A1679" t="str">
            <v>18G2997100</v>
          </cell>
          <cell r="B1679">
            <v>75.09</v>
          </cell>
          <cell r="C1679">
            <v>4.59</v>
          </cell>
          <cell r="D1679">
            <v>6.67</v>
          </cell>
        </row>
        <row r="1680">
          <cell r="A1680" t="str">
            <v>18G2997R00</v>
          </cell>
          <cell r="B1680">
            <v>75.09</v>
          </cell>
          <cell r="C1680">
            <v>4.63</v>
          </cell>
          <cell r="D1680">
            <v>6.72</v>
          </cell>
        </row>
        <row r="1681">
          <cell r="A1681" t="str">
            <v>18G30000NF</v>
          </cell>
          <cell r="B1681">
            <v>10.53</v>
          </cell>
          <cell r="C1681">
            <v>0</v>
          </cell>
          <cell r="D1681">
            <v>0</v>
          </cell>
        </row>
        <row r="1682">
          <cell r="A1682" t="str">
            <v>18G30000VF</v>
          </cell>
          <cell r="B1682">
            <v>10.53</v>
          </cell>
          <cell r="C1682">
            <v>0</v>
          </cell>
          <cell r="D1682">
            <v>0</v>
          </cell>
        </row>
        <row r="1683">
          <cell r="A1683" t="str">
            <v>18G30001TF</v>
          </cell>
          <cell r="B1683">
            <v>10.53</v>
          </cell>
          <cell r="C1683">
            <v>0</v>
          </cell>
          <cell r="D1683">
            <v>0</v>
          </cell>
        </row>
        <row r="1684">
          <cell r="A1684" t="str">
            <v>18G3004100</v>
          </cell>
          <cell r="B1684">
            <v>4.82</v>
          </cell>
          <cell r="C1684">
            <v>3.06</v>
          </cell>
          <cell r="D1684">
            <v>3.12</v>
          </cell>
        </row>
        <row r="1685">
          <cell r="A1685" t="str">
            <v>18G3024C00</v>
          </cell>
          <cell r="B1685">
            <v>70.67</v>
          </cell>
          <cell r="C1685">
            <v>2.85</v>
          </cell>
          <cell r="D1685">
            <v>8.76</v>
          </cell>
        </row>
        <row r="1686">
          <cell r="A1686" t="str">
            <v>18G3025100</v>
          </cell>
          <cell r="B1686">
            <v>76.790000000000006</v>
          </cell>
          <cell r="C1686">
            <v>7.54</v>
          </cell>
          <cell r="D1686">
            <v>11.82</v>
          </cell>
        </row>
        <row r="1687">
          <cell r="A1687" t="str">
            <v>18G3027100</v>
          </cell>
          <cell r="B1687">
            <v>75.09</v>
          </cell>
          <cell r="C1687">
            <v>4.59</v>
          </cell>
          <cell r="D1687">
            <v>6.67</v>
          </cell>
        </row>
        <row r="1688">
          <cell r="A1688" t="str">
            <v>18G3029100</v>
          </cell>
          <cell r="B1688">
            <v>8.77</v>
          </cell>
          <cell r="C1688">
            <v>4.57</v>
          </cell>
          <cell r="D1688">
            <v>8.2899999999999991</v>
          </cell>
        </row>
        <row r="1689">
          <cell r="A1689" t="str">
            <v>18G3029R00</v>
          </cell>
          <cell r="B1689">
            <v>8.77</v>
          </cell>
          <cell r="C1689">
            <v>4.5999999999999996</v>
          </cell>
          <cell r="D1689">
            <v>8.33</v>
          </cell>
        </row>
        <row r="1690">
          <cell r="A1690" t="str">
            <v>18G3029T00</v>
          </cell>
          <cell r="B1690">
            <v>8.77</v>
          </cell>
          <cell r="C1690">
            <v>4.5999999999999996</v>
          </cell>
          <cell r="D1690">
            <v>8.33</v>
          </cell>
        </row>
        <row r="1691">
          <cell r="A1691" t="str">
            <v>18G3035100</v>
          </cell>
          <cell r="B1691">
            <v>9.9700000000000006</v>
          </cell>
          <cell r="C1691">
            <v>3.88</v>
          </cell>
          <cell r="D1691">
            <v>5.4</v>
          </cell>
        </row>
        <row r="1692">
          <cell r="A1692" t="str">
            <v>18G30561TF</v>
          </cell>
          <cell r="B1692">
            <v>0.08</v>
          </cell>
          <cell r="C1692">
            <v>0</v>
          </cell>
          <cell r="D1692">
            <v>0</v>
          </cell>
        </row>
        <row r="1693">
          <cell r="A1693" t="str">
            <v>18G3061100</v>
          </cell>
          <cell r="B1693">
            <v>26.64</v>
          </cell>
          <cell r="C1693">
            <v>4.4400000000000004</v>
          </cell>
          <cell r="D1693">
            <v>6.29</v>
          </cell>
        </row>
        <row r="1694">
          <cell r="A1694" t="str">
            <v>18G3062100</v>
          </cell>
          <cell r="B1694">
            <v>27.68</v>
          </cell>
          <cell r="C1694">
            <v>4.4400000000000004</v>
          </cell>
          <cell r="D1694">
            <v>6.29</v>
          </cell>
        </row>
        <row r="1695">
          <cell r="A1695" t="str">
            <v>18G3083100</v>
          </cell>
          <cell r="B1695">
            <v>43.31</v>
          </cell>
          <cell r="C1695">
            <v>6.15</v>
          </cell>
          <cell r="D1695">
            <v>8.11</v>
          </cell>
        </row>
        <row r="1696">
          <cell r="A1696" t="str">
            <v>18G3105100</v>
          </cell>
          <cell r="B1696">
            <v>7.44</v>
          </cell>
          <cell r="C1696">
            <v>5.27</v>
          </cell>
          <cell r="D1696">
            <v>6.98</v>
          </cell>
        </row>
        <row r="1697">
          <cell r="A1697" t="str">
            <v>18G3105R00</v>
          </cell>
          <cell r="B1697">
            <v>7.44</v>
          </cell>
          <cell r="C1697">
            <v>5.32</v>
          </cell>
          <cell r="D1697">
            <v>7.03</v>
          </cell>
        </row>
        <row r="1698">
          <cell r="A1698" t="str">
            <v>18G3106100</v>
          </cell>
          <cell r="B1698">
            <v>128.76</v>
          </cell>
          <cell r="C1698">
            <v>8.1199999999999992</v>
          </cell>
          <cell r="D1698">
            <v>11.9</v>
          </cell>
        </row>
        <row r="1699">
          <cell r="A1699" t="str">
            <v>18G3106R00</v>
          </cell>
          <cell r="B1699">
            <v>128.76</v>
          </cell>
          <cell r="C1699">
            <v>8.1199999999999992</v>
          </cell>
          <cell r="D1699">
            <v>11.9</v>
          </cell>
        </row>
        <row r="1700">
          <cell r="A1700" t="str">
            <v>18G3107100</v>
          </cell>
          <cell r="B1700">
            <v>6.09</v>
          </cell>
          <cell r="C1700">
            <v>6.1</v>
          </cell>
          <cell r="D1700">
            <v>8.85</v>
          </cell>
        </row>
        <row r="1701">
          <cell r="A1701" t="str">
            <v>18G3107R00</v>
          </cell>
          <cell r="B1701">
            <v>6.09</v>
          </cell>
          <cell r="C1701">
            <v>6.14</v>
          </cell>
          <cell r="D1701">
            <v>8.89</v>
          </cell>
        </row>
        <row r="1702">
          <cell r="A1702" t="str">
            <v>18G3108100</v>
          </cell>
          <cell r="B1702">
            <v>11.62</v>
          </cell>
          <cell r="C1702">
            <v>5.21</v>
          </cell>
          <cell r="D1702">
            <v>6.83</v>
          </cell>
        </row>
        <row r="1703">
          <cell r="A1703" t="str">
            <v>18G3108R00</v>
          </cell>
          <cell r="B1703">
            <v>11.62</v>
          </cell>
          <cell r="C1703">
            <v>5.25</v>
          </cell>
          <cell r="D1703">
            <v>6.88</v>
          </cell>
        </row>
        <row r="1704">
          <cell r="A1704" t="str">
            <v>18G3109100</v>
          </cell>
          <cell r="B1704">
            <v>7.82</v>
          </cell>
          <cell r="C1704">
            <v>3.11</v>
          </cell>
          <cell r="D1704">
            <v>5.39</v>
          </cell>
        </row>
        <row r="1705">
          <cell r="A1705" t="str">
            <v>18G3109R00</v>
          </cell>
          <cell r="B1705">
            <v>7.82</v>
          </cell>
          <cell r="C1705">
            <v>3.15</v>
          </cell>
          <cell r="D1705">
            <v>5.45</v>
          </cell>
        </row>
        <row r="1706">
          <cell r="A1706" t="str">
            <v>18G3111100</v>
          </cell>
          <cell r="B1706">
            <v>7.83</v>
          </cell>
          <cell r="C1706">
            <v>3.1</v>
          </cell>
          <cell r="D1706">
            <v>5.38</v>
          </cell>
        </row>
        <row r="1707">
          <cell r="A1707" t="str">
            <v>18G3111R00</v>
          </cell>
          <cell r="B1707">
            <v>7.83</v>
          </cell>
          <cell r="C1707">
            <v>3.15</v>
          </cell>
          <cell r="D1707">
            <v>5.44</v>
          </cell>
        </row>
        <row r="1708">
          <cell r="A1708" t="str">
            <v>18G3113100</v>
          </cell>
          <cell r="B1708">
            <v>9.39</v>
          </cell>
          <cell r="C1708">
            <v>5.37</v>
          </cell>
          <cell r="D1708">
            <v>7.15</v>
          </cell>
        </row>
        <row r="1709">
          <cell r="A1709" t="str">
            <v>18G3113R00</v>
          </cell>
          <cell r="B1709">
            <v>9.39</v>
          </cell>
          <cell r="C1709">
            <v>5.41</v>
          </cell>
          <cell r="D1709">
            <v>7.19</v>
          </cell>
        </row>
        <row r="1710">
          <cell r="A1710" t="str">
            <v>18G3115100</v>
          </cell>
          <cell r="B1710">
            <v>199</v>
          </cell>
          <cell r="C1710">
            <v>3.56</v>
          </cell>
          <cell r="D1710">
            <v>4.71</v>
          </cell>
        </row>
        <row r="1711">
          <cell r="A1711" t="str">
            <v>18G3115R00</v>
          </cell>
          <cell r="B1711">
            <v>199.05</v>
          </cell>
          <cell r="C1711">
            <v>3.56</v>
          </cell>
          <cell r="D1711">
            <v>4.71</v>
          </cell>
        </row>
        <row r="1712">
          <cell r="A1712" t="str">
            <v>18G3173100</v>
          </cell>
          <cell r="B1712">
            <v>200.46</v>
          </cell>
          <cell r="C1712">
            <v>33.72</v>
          </cell>
          <cell r="D1712">
            <v>46.79</v>
          </cell>
        </row>
        <row r="1713">
          <cell r="A1713" t="str">
            <v>18G3174R00</v>
          </cell>
          <cell r="B1713">
            <v>163.77000000000001</v>
          </cell>
          <cell r="C1713">
            <v>8.9499999999999993</v>
          </cell>
          <cell r="D1713">
            <v>14.3</v>
          </cell>
        </row>
        <row r="1714">
          <cell r="A1714" t="str">
            <v>18G3180100</v>
          </cell>
          <cell r="B1714">
            <v>219.4</v>
          </cell>
          <cell r="C1714">
            <v>2.64</v>
          </cell>
          <cell r="D1714">
            <v>5.18</v>
          </cell>
        </row>
        <row r="1715">
          <cell r="A1715" t="str">
            <v>18G3181100</v>
          </cell>
          <cell r="B1715">
            <v>150.79</v>
          </cell>
          <cell r="C1715">
            <v>2.64</v>
          </cell>
          <cell r="D1715">
            <v>5.18</v>
          </cell>
        </row>
        <row r="1716">
          <cell r="A1716" t="str">
            <v>18G3184100</v>
          </cell>
          <cell r="B1716">
            <v>222.58</v>
          </cell>
          <cell r="C1716">
            <v>2.64</v>
          </cell>
          <cell r="D1716">
            <v>5.18</v>
          </cell>
        </row>
        <row r="1717">
          <cell r="A1717" t="str">
            <v>18G3185100</v>
          </cell>
          <cell r="B1717">
            <v>153.97</v>
          </cell>
          <cell r="C1717">
            <v>2.64</v>
          </cell>
          <cell r="D1717">
            <v>5.18</v>
          </cell>
        </row>
        <row r="1718">
          <cell r="A1718" t="str">
            <v>18G3187100</v>
          </cell>
          <cell r="B1718">
            <v>7.41</v>
          </cell>
          <cell r="C1718">
            <v>4.13</v>
          </cell>
          <cell r="D1718">
            <v>5.42</v>
          </cell>
        </row>
        <row r="1719">
          <cell r="A1719" t="str">
            <v>18G3187R00</v>
          </cell>
          <cell r="B1719">
            <v>7.41</v>
          </cell>
          <cell r="C1719">
            <v>4.17</v>
          </cell>
          <cell r="D1719">
            <v>5.47</v>
          </cell>
        </row>
        <row r="1720">
          <cell r="A1720" t="str">
            <v>18G3191100</v>
          </cell>
          <cell r="B1720">
            <v>11.89</v>
          </cell>
          <cell r="C1720">
            <v>3.25</v>
          </cell>
          <cell r="D1720">
            <v>4.21</v>
          </cell>
        </row>
        <row r="1721">
          <cell r="A1721" t="str">
            <v>18G3191R00</v>
          </cell>
          <cell r="B1721">
            <v>11.89</v>
          </cell>
          <cell r="C1721">
            <v>3.29</v>
          </cell>
          <cell r="D1721">
            <v>4.25</v>
          </cell>
        </row>
        <row r="1722">
          <cell r="A1722" t="str">
            <v>18G3192100</v>
          </cell>
          <cell r="B1722">
            <v>81.58</v>
          </cell>
          <cell r="C1722">
            <v>2.64</v>
          </cell>
          <cell r="D1722">
            <v>5.18</v>
          </cell>
        </row>
        <row r="1723">
          <cell r="A1723" t="str">
            <v>18G3196100</v>
          </cell>
          <cell r="B1723">
            <v>158.59</v>
          </cell>
          <cell r="C1723">
            <v>2.64</v>
          </cell>
          <cell r="D1723">
            <v>5.18</v>
          </cell>
        </row>
        <row r="1724">
          <cell r="A1724" t="str">
            <v>18G3199R00</v>
          </cell>
          <cell r="B1724">
            <v>5.44</v>
          </cell>
          <cell r="C1724">
            <v>1.92</v>
          </cell>
          <cell r="D1724">
            <v>3.75</v>
          </cell>
        </row>
        <row r="1725">
          <cell r="A1725" t="str">
            <v>18G3202R00</v>
          </cell>
          <cell r="B1725">
            <v>8.6199999999999992</v>
          </cell>
          <cell r="C1725">
            <v>0.14000000000000001</v>
          </cell>
          <cell r="D1725">
            <v>0.12</v>
          </cell>
        </row>
        <row r="1726">
          <cell r="A1726" t="str">
            <v>18G3221R00</v>
          </cell>
          <cell r="B1726">
            <v>24.75</v>
          </cell>
          <cell r="C1726">
            <v>5.24</v>
          </cell>
          <cell r="D1726">
            <v>8.42</v>
          </cell>
        </row>
        <row r="1727">
          <cell r="A1727" t="str">
            <v>18G32420MF</v>
          </cell>
          <cell r="B1727">
            <v>171.62</v>
          </cell>
          <cell r="C1727">
            <v>0</v>
          </cell>
          <cell r="D1727">
            <v>0</v>
          </cell>
        </row>
        <row r="1728">
          <cell r="A1728" t="str">
            <v>18G32430MF</v>
          </cell>
          <cell r="B1728">
            <v>6.35</v>
          </cell>
          <cell r="C1728">
            <v>0</v>
          </cell>
          <cell r="D1728">
            <v>0</v>
          </cell>
        </row>
        <row r="1729">
          <cell r="A1729" t="str">
            <v>18G32440MF</v>
          </cell>
          <cell r="B1729">
            <v>1.1499999999999999</v>
          </cell>
          <cell r="C1729">
            <v>0</v>
          </cell>
          <cell r="D1729">
            <v>0</v>
          </cell>
        </row>
        <row r="1730">
          <cell r="A1730" t="str">
            <v>18G32450MF</v>
          </cell>
          <cell r="B1730">
            <v>3.58</v>
          </cell>
          <cell r="C1730">
            <v>0</v>
          </cell>
          <cell r="D1730">
            <v>0</v>
          </cell>
        </row>
        <row r="1731">
          <cell r="A1731" t="str">
            <v>18G3246R00</v>
          </cell>
          <cell r="B1731">
            <v>7.21</v>
          </cell>
          <cell r="C1731">
            <v>3.39</v>
          </cell>
          <cell r="D1731">
            <v>7.68</v>
          </cell>
        </row>
        <row r="1732">
          <cell r="A1732" t="str">
            <v>18G3263100</v>
          </cell>
          <cell r="B1732">
            <v>1.45</v>
          </cell>
          <cell r="C1732">
            <v>0</v>
          </cell>
          <cell r="D1732">
            <v>0.03</v>
          </cell>
        </row>
        <row r="1733">
          <cell r="A1733" t="str">
            <v>18G3263R00</v>
          </cell>
          <cell r="B1733">
            <v>1.45</v>
          </cell>
          <cell r="C1733">
            <v>0</v>
          </cell>
          <cell r="D1733">
            <v>0.03</v>
          </cell>
        </row>
        <row r="1734">
          <cell r="A1734" t="str">
            <v>18G3284100</v>
          </cell>
          <cell r="B1734">
            <v>106.04</v>
          </cell>
          <cell r="C1734">
            <v>8.35</v>
          </cell>
          <cell r="D1734">
            <v>9.82</v>
          </cell>
        </row>
        <row r="1735">
          <cell r="A1735" t="str">
            <v>18G3284R00</v>
          </cell>
          <cell r="B1735">
            <v>105.85</v>
          </cell>
          <cell r="C1735">
            <v>8.39</v>
          </cell>
          <cell r="D1735">
            <v>9.86</v>
          </cell>
        </row>
        <row r="1736">
          <cell r="A1736" t="str">
            <v>18G3290100</v>
          </cell>
          <cell r="B1736">
            <v>1.1599999999999999</v>
          </cell>
          <cell r="C1736">
            <v>0</v>
          </cell>
          <cell r="D1736">
            <v>0</v>
          </cell>
        </row>
        <row r="1737">
          <cell r="A1737" t="str">
            <v>18G3290R00</v>
          </cell>
          <cell r="B1737">
            <v>1.1599999999999999</v>
          </cell>
          <cell r="C1737">
            <v>0</v>
          </cell>
          <cell r="D1737">
            <v>0</v>
          </cell>
        </row>
        <row r="1738">
          <cell r="A1738" t="str">
            <v>18G3292100</v>
          </cell>
          <cell r="B1738">
            <v>5.1100000000000003</v>
          </cell>
          <cell r="C1738">
            <v>0</v>
          </cell>
          <cell r="D1738">
            <v>0</v>
          </cell>
        </row>
        <row r="1739">
          <cell r="A1739" t="str">
            <v>18G3292R00</v>
          </cell>
          <cell r="B1739">
            <v>5.1100000000000003</v>
          </cell>
          <cell r="C1739">
            <v>0</v>
          </cell>
          <cell r="D1739">
            <v>0</v>
          </cell>
        </row>
        <row r="1740">
          <cell r="A1740" t="str">
            <v>18G3298170</v>
          </cell>
          <cell r="B1740">
            <v>92.57</v>
          </cell>
          <cell r="C1740">
            <v>0.02</v>
          </cell>
          <cell r="D1740">
            <v>0.02</v>
          </cell>
        </row>
        <row r="1741">
          <cell r="A1741" t="str">
            <v>18G3298R70</v>
          </cell>
          <cell r="B1741">
            <v>92.57</v>
          </cell>
          <cell r="C1741">
            <v>0.02</v>
          </cell>
          <cell r="D1741">
            <v>0.02</v>
          </cell>
        </row>
        <row r="1742">
          <cell r="A1742" t="str">
            <v>18G3304100</v>
          </cell>
          <cell r="B1742">
            <v>281.47000000000003</v>
          </cell>
          <cell r="C1742">
            <v>33.659999999999997</v>
          </cell>
          <cell r="D1742">
            <v>46.71</v>
          </cell>
        </row>
        <row r="1743">
          <cell r="A1743" t="str">
            <v>18G33170MF</v>
          </cell>
          <cell r="B1743">
            <v>14.42</v>
          </cell>
          <cell r="C1743">
            <v>0</v>
          </cell>
          <cell r="D1743">
            <v>0</v>
          </cell>
        </row>
        <row r="1744">
          <cell r="A1744" t="str">
            <v>18G33360MF</v>
          </cell>
          <cell r="B1744">
            <v>22.12</v>
          </cell>
          <cell r="C1744">
            <v>0</v>
          </cell>
          <cell r="D1744">
            <v>0</v>
          </cell>
        </row>
        <row r="1745">
          <cell r="A1745" t="str">
            <v>18G33390MF</v>
          </cell>
          <cell r="B1745">
            <v>1.04</v>
          </cell>
          <cell r="C1745">
            <v>0</v>
          </cell>
          <cell r="D1745">
            <v>0</v>
          </cell>
        </row>
        <row r="1746">
          <cell r="A1746" t="str">
            <v>18G33400NF</v>
          </cell>
          <cell r="B1746">
            <v>2.66</v>
          </cell>
          <cell r="C1746">
            <v>0</v>
          </cell>
          <cell r="D1746">
            <v>0</v>
          </cell>
        </row>
        <row r="1747">
          <cell r="A1747" t="str">
            <v>18G3356R00</v>
          </cell>
          <cell r="B1747">
            <v>0.05</v>
          </cell>
          <cell r="C1747">
            <v>0</v>
          </cell>
          <cell r="D1747">
            <v>0</v>
          </cell>
        </row>
        <row r="1748">
          <cell r="A1748" t="str">
            <v>18G33571J0</v>
          </cell>
          <cell r="B1748">
            <v>185.6</v>
          </cell>
          <cell r="C1748">
            <v>0.04</v>
          </cell>
          <cell r="D1748">
            <v>0.01</v>
          </cell>
        </row>
        <row r="1749">
          <cell r="A1749" t="str">
            <v>18G3361100</v>
          </cell>
          <cell r="B1749">
            <v>188.09</v>
          </cell>
          <cell r="C1749">
            <v>2.29</v>
          </cell>
          <cell r="D1749">
            <v>2.74</v>
          </cell>
        </row>
        <row r="1750">
          <cell r="A1750" t="str">
            <v>18G3361R00</v>
          </cell>
          <cell r="B1750">
            <v>188.09</v>
          </cell>
          <cell r="C1750">
            <v>2.31</v>
          </cell>
          <cell r="D1750">
            <v>2.79</v>
          </cell>
        </row>
        <row r="1751">
          <cell r="A1751" t="str">
            <v>18G33631J0</v>
          </cell>
          <cell r="B1751">
            <v>0.49</v>
          </cell>
          <cell r="C1751">
            <v>0.09</v>
          </cell>
          <cell r="D1751">
            <v>0.21</v>
          </cell>
        </row>
        <row r="1752">
          <cell r="A1752" t="str">
            <v>18G33641J0</v>
          </cell>
          <cell r="B1752">
            <v>0.33</v>
          </cell>
          <cell r="C1752">
            <v>7.0000000000000007E-2</v>
          </cell>
          <cell r="D1752">
            <v>0.16</v>
          </cell>
        </row>
        <row r="1753">
          <cell r="A1753" t="str">
            <v>18G3392100</v>
          </cell>
          <cell r="B1753">
            <v>13.13</v>
          </cell>
          <cell r="C1753">
            <v>0</v>
          </cell>
          <cell r="D1753">
            <v>0</v>
          </cell>
        </row>
        <row r="1754">
          <cell r="A1754" t="str">
            <v>18G3392200</v>
          </cell>
          <cell r="B1754">
            <v>5.67</v>
          </cell>
          <cell r="C1754">
            <v>2.68</v>
          </cell>
          <cell r="D1754">
            <v>4.92</v>
          </cell>
        </row>
        <row r="1755">
          <cell r="A1755" t="str">
            <v>18G3392C00</v>
          </cell>
          <cell r="B1755">
            <v>5.67</v>
          </cell>
          <cell r="C1755">
            <v>2.7</v>
          </cell>
          <cell r="D1755">
            <v>4.96</v>
          </cell>
        </row>
        <row r="1756">
          <cell r="A1756" t="str">
            <v>18G3393100</v>
          </cell>
          <cell r="B1756">
            <v>13.32</v>
          </cell>
          <cell r="C1756">
            <v>0</v>
          </cell>
          <cell r="D1756">
            <v>0</v>
          </cell>
        </row>
        <row r="1757">
          <cell r="A1757" t="str">
            <v>18G3393200</v>
          </cell>
          <cell r="B1757">
            <v>5.93</v>
          </cell>
          <cell r="C1757">
            <v>2.66</v>
          </cell>
          <cell r="D1757">
            <v>4.87</v>
          </cell>
        </row>
        <row r="1758">
          <cell r="A1758" t="str">
            <v>18G3395100</v>
          </cell>
          <cell r="B1758">
            <v>214.24</v>
          </cell>
          <cell r="C1758">
            <v>28.89</v>
          </cell>
          <cell r="D1758">
            <v>40.24</v>
          </cell>
        </row>
        <row r="1759">
          <cell r="A1759" t="str">
            <v>18G3396100</v>
          </cell>
          <cell r="B1759">
            <v>215.83</v>
          </cell>
          <cell r="C1759">
            <v>29.28</v>
          </cell>
          <cell r="D1759">
            <v>40.76</v>
          </cell>
        </row>
        <row r="1760">
          <cell r="A1760" t="str">
            <v>18G3397100</v>
          </cell>
          <cell r="B1760">
            <v>181.23</v>
          </cell>
          <cell r="C1760">
            <v>7.65</v>
          </cell>
          <cell r="D1760">
            <v>11.96</v>
          </cell>
        </row>
        <row r="1761">
          <cell r="A1761" t="str">
            <v>18G3397R00</v>
          </cell>
          <cell r="B1761">
            <v>181.23</v>
          </cell>
          <cell r="C1761">
            <v>7.69</v>
          </cell>
          <cell r="D1761">
            <v>12</v>
          </cell>
        </row>
        <row r="1762">
          <cell r="A1762" t="str">
            <v>18G3405100</v>
          </cell>
          <cell r="B1762">
            <v>14.46</v>
          </cell>
          <cell r="C1762">
            <v>4.37</v>
          </cell>
          <cell r="D1762">
            <v>5.92</v>
          </cell>
        </row>
        <row r="1763">
          <cell r="A1763" t="str">
            <v>18G3406100</v>
          </cell>
          <cell r="B1763">
            <v>18.760000000000002</v>
          </cell>
          <cell r="C1763">
            <v>4.47</v>
          </cell>
          <cell r="D1763">
            <v>6.02</v>
          </cell>
        </row>
        <row r="1764">
          <cell r="A1764" t="str">
            <v>18G3418100</v>
          </cell>
          <cell r="B1764">
            <v>2.64</v>
          </cell>
          <cell r="C1764">
            <v>2.74</v>
          </cell>
          <cell r="D1764">
            <v>4.8099999999999996</v>
          </cell>
        </row>
        <row r="1765">
          <cell r="A1765" t="str">
            <v>18G3418R00</v>
          </cell>
          <cell r="B1765">
            <v>2.64</v>
          </cell>
          <cell r="C1765">
            <v>2.78</v>
          </cell>
          <cell r="D1765">
            <v>4.8499999999999996</v>
          </cell>
        </row>
        <row r="1766">
          <cell r="A1766" t="str">
            <v>18G3425100</v>
          </cell>
          <cell r="B1766">
            <v>134.03</v>
          </cell>
          <cell r="C1766">
            <v>12.64</v>
          </cell>
          <cell r="D1766">
            <v>17.829999999999998</v>
          </cell>
        </row>
        <row r="1767">
          <cell r="A1767" t="str">
            <v>18G3425R00</v>
          </cell>
          <cell r="B1767">
            <v>134.03</v>
          </cell>
          <cell r="C1767">
            <v>12.68</v>
          </cell>
          <cell r="D1767">
            <v>17.88</v>
          </cell>
        </row>
        <row r="1768">
          <cell r="A1768" t="str">
            <v>18G34411TF</v>
          </cell>
          <cell r="B1768">
            <v>0.67</v>
          </cell>
          <cell r="C1768">
            <v>0</v>
          </cell>
          <cell r="D1768">
            <v>0</v>
          </cell>
        </row>
        <row r="1769">
          <cell r="A1769" t="str">
            <v>18G34461TF</v>
          </cell>
          <cell r="B1769">
            <v>1.88</v>
          </cell>
          <cell r="C1769">
            <v>0</v>
          </cell>
          <cell r="D1769">
            <v>0</v>
          </cell>
        </row>
        <row r="1770">
          <cell r="A1770" t="str">
            <v>18G34481TF</v>
          </cell>
          <cell r="B1770">
            <v>0.94</v>
          </cell>
          <cell r="C1770">
            <v>0</v>
          </cell>
          <cell r="D1770">
            <v>0</v>
          </cell>
        </row>
        <row r="1771">
          <cell r="A1771" t="str">
            <v>18G34491TF</v>
          </cell>
          <cell r="B1771">
            <v>0.42</v>
          </cell>
          <cell r="C1771">
            <v>0</v>
          </cell>
          <cell r="D1771">
            <v>0</v>
          </cell>
        </row>
        <row r="1772">
          <cell r="A1772" t="str">
            <v>18G34501TF</v>
          </cell>
          <cell r="B1772">
            <v>1.3</v>
          </cell>
          <cell r="C1772">
            <v>0</v>
          </cell>
          <cell r="D1772">
            <v>0</v>
          </cell>
        </row>
        <row r="1773">
          <cell r="A1773" t="str">
            <v>18G34511TF</v>
          </cell>
          <cell r="B1773">
            <v>1.23</v>
          </cell>
          <cell r="C1773">
            <v>0</v>
          </cell>
          <cell r="D1773">
            <v>0</v>
          </cell>
        </row>
        <row r="1774">
          <cell r="A1774" t="str">
            <v>18G34521TF</v>
          </cell>
          <cell r="B1774">
            <v>3.07</v>
          </cell>
          <cell r="C1774">
            <v>0</v>
          </cell>
          <cell r="D1774">
            <v>0</v>
          </cell>
        </row>
        <row r="1775">
          <cell r="A1775" t="str">
            <v>18G3456100</v>
          </cell>
          <cell r="B1775">
            <v>20.23</v>
          </cell>
          <cell r="C1775">
            <v>9.77</v>
          </cell>
          <cell r="D1775">
            <v>13.84</v>
          </cell>
        </row>
        <row r="1776">
          <cell r="A1776" t="str">
            <v>18G3490100</v>
          </cell>
          <cell r="B1776">
            <v>10.62</v>
          </cell>
          <cell r="C1776">
            <v>3.37</v>
          </cell>
          <cell r="D1776">
            <v>5.14</v>
          </cell>
        </row>
        <row r="1777">
          <cell r="A1777" t="str">
            <v>18G3490R00</v>
          </cell>
          <cell r="B1777">
            <v>10.62</v>
          </cell>
          <cell r="C1777">
            <v>3.37</v>
          </cell>
          <cell r="D1777">
            <v>5.14</v>
          </cell>
        </row>
        <row r="1778">
          <cell r="A1778" t="str">
            <v>18G3500100</v>
          </cell>
          <cell r="B1778">
            <v>123.18</v>
          </cell>
          <cell r="C1778">
            <v>3.1</v>
          </cell>
          <cell r="D1778">
            <v>4.3</v>
          </cell>
        </row>
        <row r="1779">
          <cell r="A1779" t="str">
            <v>18G3500200</v>
          </cell>
          <cell r="B1779">
            <v>123.18</v>
          </cell>
          <cell r="C1779">
            <v>3.1</v>
          </cell>
          <cell r="D1779">
            <v>4.3</v>
          </cell>
        </row>
        <row r="1780">
          <cell r="A1780" t="str">
            <v>18G3500300</v>
          </cell>
          <cell r="B1780">
            <v>123.18</v>
          </cell>
          <cell r="C1780">
            <v>3.1</v>
          </cell>
          <cell r="D1780">
            <v>4.3</v>
          </cell>
        </row>
        <row r="1781">
          <cell r="A1781" t="str">
            <v>18G3502100</v>
          </cell>
          <cell r="B1781">
            <v>203.9</v>
          </cell>
          <cell r="C1781">
            <v>3.72</v>
          </cell>
          <cell r="D1781">
            <v>5.99</v>
          </cell>
        </row>
        <row r="1782">
          <cell r="A1782" t="str">
            <v>18G3502R00</v>
          </cell>
          <cell r="B1782">
            <v>203.88</v>
          </cell>
          <cell r="C1782">
            <v>3.76</v>
          </cell>
          <cell r="D1782">
            <v>6.05</v>
          </cell>
        </row>
        <row r="1783">
          <cell r="A1783" t="str">
            <v>18G3503100</v>
          </cell>
          <cell r="B1783">
            <v>207.95</v>
          </cell>
          <cell r="C1783">
            <v>6.27</v>
          </cell>
          <cell r="D1783">
            <v>8.6</v>
          </cell>
        </row>
        <row r="1784">
          <cell r="A1784" t="str">
            <v>18G3504R00</v>
          </cell>
          <cell r="B1784">
            <v>204.33</v>
          </cell>
          <cell r="C1784">
            <v>3.93</v>
          </cell>
          <cell r="D1784">
            <v>6.39</v>
          </cell>
        </row>
        <row r="1785">
          <cell r="A1785" t="str">
            <v>18G3505100</v>
          </cell>
          <cell r="B1785">
            <v>208.5</v>
          </cell>
          <cell r="C1785">
            <v>6.43</v>
          </cell>
          <cell r="D1785">
            <v>8.94</v>
          </cell>
        </row>
        <row r="1786">
          <cell r="A1786" t="str">
            <v>18G3511100</v>
          </cell>
          <cell r="B1786">
            <v>178.39</v>
          </cell>
          <cell r="C1786">
            <v>12.25</v>
          </cell>
          <cell r="D1786">
            <v>16.77</v>
          </cell>
        </row>
        <row r="1787">
          <cell r="A1787" t="str">
            <v>18G3530100</v>
          </cell>
          <cell r="B1787">
            <v>118.93</v>
          </cell>
          <cell r="C1787">
            <v>5.22</v>
          </cell>
          <cell r="D1787">
            <v>6.35</v>
          </cell>
        </row>
        <row r="1788">
          <cell r="A1788" t="str">
            <v>18G3530R00</v>
          </cell>
          <cell r="B1788">
            <v>118.5</v>
          </cell>
          <cell r="C1788">
            <v>5.26</v>
          </cell>
          <cell r="D1788">
            <v>6.4</v>
          </cell>
        </row>
        <row r="1789">
          <cell r="A1789" t="str">
            <v>18G3545100</v>
          </cell>
          <cell r="B1789">
            <v>11.97</v>
          </cell>
          <cell r="C1789">
            <v>2.12</v>
          </cell>
          <cell r="D1789">
            <v>3.4</v>
          </cell>
        </row>
        <row r="1790">
          <cell r="A1790" t="str">
            <v>18G3546100</v>
          </cell>
          <cell r="B1790">
            <v>6.56</v>
          </cell>
          <cell r="C1790">
            <v>2.75</v>
          </cell>
          <cell r="D1790">
            <v>4.24</v>
          </cell>
        </row>
        <row r="1791">
          <cell r="A1791" t="str">
            <v>18G3546R00</v>
          </cell>
          <cell r="B1791">
            <v>6.56</v>
          </cell>
          <cell r="C1791">
            <v>2.79</v>
          </cell>
          <cell r="D1791">
            <v>4.28</v>
          </cell>
        </row>
        <row r="1792">
          <cell r="A1792" t="str">
            <v>18G3546T00</v>
          </cell>
          <cell r="B1792">
            <v>6.57</v>
          </cell>
          <cell r="C1792">
            <v>2.79</v>
          </cell>
          <cell r="D1792">
            <v>4.28</v>
          </cell>
        </row>
        <row r="1793">
          <cell r="A1793" t="str">
            <v>18G3547100</v>
          </cell>
          <cell r="B1793">
            <v>5.53</v>
          </cell>
          <cell r="C1793">
            <v>2.36</v>
          </cell>
          <cell r="D1793">
            <v>3.75</v>
          </cell>
        </row>
        <row r="1794">
          <cell r="A1794" t="str">
            <v>18G3547R00</v>
          </cell>
          <cell r="B1794">
            <v>5.53</v>
          </cell>
          <cell r="C1794">
            <v>2.4</v>
          </cell>
          <cell r="D1794">
            <v>3.78</v>
          </cell>
        </row>
        <row r="1795">
          <cell r="A1795" t="str">
            <v>18G3547T00</v>
          </cell>
          <cell r="B1795">
            <v>5.54</v>
          </cell>
          <cell r="C1795">
            <v>2.4</v>
          </cell>
          <cell r="D1795">
            <v>3.78</v>
          </cell>
        </row>
        <row r="1796">
          <cell r="A1796" t="str">
            <v>18G3565R00</v>
          </cell>
          <cell r="B1796">
            <v>26</v>
          </cell>
          <cell r="C1796">
            <v>5.24</v>
          </cell>
          <cell r="D1796">
            <v>7.01</v>
          </cell>
        </row>
        <row r="1797">
          <cell r="A1797" t="str">
            <v>18G3567100</v>
          </cell>
          <cell r="B1797">
            <v>134.03</v>
          </cell>
          <cell r="C1797">
            <v>12.72</v>
          </cell>
          <cell r="D1797">
            <v>17.95</v>
          </cell>
        </row>
        <row r="1798">
          <cell r="A1798" t="str">
            <v>18G3567R00</v>
          </cell>
          <cell r="B1798">
            <v>134.03</v>
          </cell>
          <cell r="C1798">
            <v>12.77</v>
          </cell>
          <cell r="D1798">
            <v>17.989999999999998</v>
          </cell>
        </row>
        <row r="1799">
          <cell r="A1799" t="str">
            <v>18G3598100</v>
          </cell>
          <cell r="B1799">
            <v>110.69</v>
          </cell>
          <cell r="C1799">
            <v>0</v>
          </cell>
          <cell r="D1799">
            <v>0</v>
          </cell>
        </row>
        <row r="1800">
          <cell r="A1800" t="str">
            <v>18G3598T00</v>
          </cell>
          <cell r="B1800">
            <v>110.7</v>
          </cell>
          <cell r="C1800">
            <v>0.04</v>
          </cell>
          <cell r="D1800">
            <v>0.05</v>
          </cell>
        </row>
        <row r="1801">
          <cell r="A1801" t="str">
            <v>18G36040NF</v>
          </cell>
          <cell r="B1801">
            <v>1.52</v>
          </cell>
          <cell r="C1801">
            <v>0</v>
          </cell>
          <cell r="D1801">
            <v>0</v>
          </cell>
        </row>
        <row r="1802">
          <cell r="A1802" t="str">
            <v>18G36041TF</v>
          </cell>
          <cell r="B1802">
            <v>1.52</v>
          </cell>
          <cell r="C1802">
            <v>0</v>
          </cell>
          <cell r="D1802">
            <v>0</v>
          </cell>
        </row>
        <row r="1803">
          <cell r="A1803" t="str">
            <v>18G3606100</v>
          </cell>
          <cell r="B1803">
            <v>49.35</v>
          </cell>
          <cell r="C1803">
            <v>5.42</v>
          </cell>
          <cell r="D1803">
            <v>7.21</v>
          </cell>
        </row>
        <row r="1804">
          <cell r="A1804" t="str">
            <v>18G3607100</v>
          </cell>
          <cell r="B1804">
            <v>47.09</v>
          </cell>
          <cell r="C1804">
            <v>4.12</v>
          </cell>
          <cell r="D1804">
            <v>5.75</v>
          </cell>
        </row>
        <row r="1805">
          <cell r="A1805" t="str">
            <v>18G3607R00</v>
          </cell>
          <cell r="B1805">
            <v>47.07</v>
          </cell>
          <cell r="C1805">
            <v>4.16</v>
          </cell>
          <cell r="D1805">
            <v>5.8</v>
          </cell>
        </row>
        <row r="1806">
          <cell r="A1806" t="str">
            <v>18G3693100</v>
          </cell>
          <cell r="B1806">
            <v>179.31</v>
          </cell>
          <cell r="C1806">
            <v>12.78</v>
          </cell>
          <cell r="D1806">
            <v>17.38</v>
          </cell>
        </row>
        <row r="1807">
          <cell r="A1807" t="str">
            <v>18G3696R00</v>
          </cell>
          <cell r="B1807">
            <v>202.47</v>
          </cell>
          <cell r="C1807">
            <v>4.54</v>
          </cell>
          <cell r="D1807">
            <v>7.05</v>
          </cell>
        </row>
        <row r="1808">
          <cell r="A1808" t="str">
            <v>18G3699100</v>
          </cell>
          <cell r="B1808">
            <v>23.57</v>
          </cell>
          <cell r="C1808">
            <v>10.46</v>
          </cell>
          <cell r="D1808">
            <v>14.14</v>
          </cell>
        </row>
        <row r="1809">
          <cell r="A1809" t="str">
            <v>18G3699R00</v>
          </cell>
          <cell r="B1809">
            <v>23.58</v>
          </cell>
          <cell r="C1809">
            <v>10.83</v>
          </cell>
          <cell r="D1809">
            <v>14.54</v>
          </cell>
        </row>
        <row r="1810">
          <cell r="A1810" t="str">
            <v>18G37010MF</v>
          </cell>
          <cell r="B1810">
            <v>172.62</v>
          </cell>
          <cell r="C1810">
            <v>0</v>
          </cell>
          <cell r="D1810">
            <v>0</v>
          </cell>
        </row>
        <row r="1811">
          <cell r="A1811" t="str">
            <v>18G37030MF</v>
          </cell>
          <cell r="B1811">
            <v>6.12</v>
          </cell>
          <cell r="C1811">
            <v>0</v>
          </cell>
          <cell r="D1811">
            <v>0</v>
          </cell>
        </row>
        <row r="1812">
          <cell r="A1812" t="str">
            <v>18G37040MF</v>
          </cell>
          <cell r="B1812">
            <v>83.91</v>
          </cell>
          <cell r="C1812">
            <v>0</v>
          </cell>
          <cell r="D1812">
            <v>0</v>
          </cell>
        </row>
        <row r="1813">
          <cell r="A1813" t="str">
            <v>18G37050MF</v>
          </cell>
          <cell r="B1813">
            <v>69.12</v>
          </cell>
          <cell r="C1813">
            <v>0</v>
          </cell>
          <cell r="D1813">
            <v>0</v>
          </cell>
        </row>
        <row r="1814">
          <cell r="A1814" t="str">
            <v>18G37080MF</v>
          </cell>
          <cell r="B1814">
            <v>217.06</v>
          </cell>
          <cell r="C1814">
            <v>0</v>
          </cell>
          <cell r="D1814">
            <v>0</v>
          </cell>
        </row>
        <row r="1815">
          <cell r="A1815" t="str">
            <v>18G3709100</v>
          </cell>
          <cell r="B1815">
            <v>91.35</v>
          </cell>
          <cell r="C1815">
            <v>2.19</v>
          </cell>
          <cell r="D1815">
            <v>4.1500000000000004</v>
          </cell>
        </row>
        <row r="1816">
          <cell r="A1816" t="str">
            <v>18G3710100</v>
          </cell>
          <cell r="B1816">
            <v>91.4</v>
          </cell>
          <cell r="C1816">
            <v>2.1800000000000002</v>
          </cell>
          <cell r="D1816">
            <v>4.13</v>
          </cell>
        </row>
        <row r="1817">
          <cell r="A1817" t="str">
            <v>18G3711100</v>
          </cell>
          <cell r="B1817">
            <v>99.76</v>
          </cell>
          <cell r="C1817">
            <v>0</v>
          </cell>
          <cell r="D1817">
            <v>0</v>
          </cell>
        </row>
        <row r="1818">
          <cell r="A1818" t="str">
            <v>18G3712100</v>
          </cell>
          <cell r="B1818">
            <v>100.1</v>
          </cell>
          <cell r="C1818">
            <v>0</v>
          </cell>
          <cell r="D1818">
            <v>0</v>
          </cell>
        </row>
        <row r="1819">
          <cell r="A1819" t="str">
            <v>18G3713100</v>
          </cell>
          <cell r="B1819">
            <v>90.99</v>
          </cell>
          <cell r="C1819">
            <v>1.1000000000000001</v>
          </cell>
          <cell r="D1819">
            <v>2.4</v>
          </cell>
        </row>
        <row r="1820">
          <cell r="A1820" t="str">
            <v>18G3714100</v>
          </cell>
          <cell r="B1820">
            <v>91.65</v>
          </cell>
          <cell r="C1820">
            <v>1.42</v>
          </cell>
          <cell r="D1820">
            <v>1.5</v>
          </cell>
        </row>
        <row r="1821">
          <cell r="A1821" t="str">
            <v>18G3714200</v>
          </cell>
          <cell r="B1821">
            <v>90.55</v>
          </cell>
          <cell r="C1821">
            <v>1.1000000000000001</v>
          </cell>
          <cell r="D1821">
            <v>2.4</v>
          </cell>
        </row>
        <row r="1822">
          <cell r="A1822" t="str">
            <v>18G3714R00</v>
          </cell>
          <cell r="B1822">
            <v>90.99</v>
          </cell>
          <cell r="C1822">
            <v>1.1200000000000001</v>
          </cell>
          <cell r="D1822">
            <v>2.44</v>
          </cell>
        </row>
        <row r="1823">
          <cell r="A1823" t="str">
            <v>18G3717100</v>
          </cell>
          <cell r="B1823">
            <v>107.85</v>
          </cell>
          <cell r="C1823">
            <v>2.0299999999999998</v>
          </cell>
          <cell r="D1823">
            <v>2.72</v>
          </cell>
        </row>
        <row r="1824">
          <cell r="A1824" t="str">
            <v>18G3733100</v>
          </cell>
          <cell r="B1824">
            <v>238.57</v>
          </cell>
          <cell r="C1824">
            <v>1.83</v>
          </cell>
          <cell r="D1824">
            <v>3.62</v>
          </cell>
        </row>
        <row r="1825">
          <cell r="A1825" t="str">
            <v>18G3734100</v>
          </cell>
          <cell r="B1825">
            <v>226.92</v>
          </cell>
          <cell r="C1825">
            <v>1.83</v>
          </cell>
          <cell r="D1825">
            <v>3.62</v>
          </cell>
        </row>
        <row r="1826">
          <cell r="A1826" t="str">
            <v>18G3735100</v>
          </cell>
          <cell r="B1826">
            <v>253.88</v>
          </cell>
          <cell r="C1826">
            <v>1.83</v>
          </cell>
          <cell r="D1826">
            <v>3.62</v>
          </cell>
        </row>
        <row r="1827">
          <cell r="A1827" t="str">
            <v>18G3736100</v>
          </cell>
          <cell r="B1827">
            <v>242.22</v>
          </cell>
          <cell r="C1827">
            <v>1.83</v>
          </cell>
          <cell r="D1827">
            <v>3.62</v>
          </cell>
        </row>
        <row r="1828">
          <cell r="A1828" t="str">
            <v>18G3737100</v>
          </cell>
          <cell r="B1828">
            <v>284.02</v>
          </cell>
          <cell r="C1828">
            <v>1.83</v>
          </cell>
          <cell r="D1828">
            <v>3.62</v>
          </cell>
        </row>
        <row r="1829">
          <cell r="A1829" t="str">
            <v>18G3738100</v>
          </cell>
          <cell r="B1829">
            <v>272.36</v>
          </cell>
          <cell r="C1829">
            <v>1.83</v>
          </cell>
          <cell r="D1829">
            <v>3.62</v>
          </cell>
        </row>
        <row r="1830">
          <cell r="A1830" t="str">
            <v>18G3740100</v>
          </cell>
          <cell r="B1830">
            <v>2.54</v>
          </cell>
          <cell r="C1830">
            <v>2.69</v>
          </cell>
          <cell r="D1830">
            <v>2.73</v>
          </cell>
        </row>
        <row r="1831">
          <cell r="A1831" t="str">
            <v>18G3741100</v>
          </cell>
          <cell r="B1831">
            <v>2.54</v>
          </cell>
          <cell r="C1831">
            <v>2.69</v>
          </cell>
          <cell r="D1831">
            <v>2.73</v>
          </cell>
        </row>
        <row r="1832">
          <cell r="A1832" t="str">
            <v>18G37611J0</v>
          </cell>
          <cell r="B1832">
            <v>154.35</v>
          </cell>
          <cell r="C1832">
            <v>0.04</v>
          </cell>
          <cell r="D1832">
            <v>0.01</v>
          </cell>
        </row>
        <row r="1833">
          <cell r="A1833" t="str">
            <v>18G3796200</v>
          </cell>
          <cell r="B1833">
            <v>202.65</v>
          </cell>
          <cell r="C1833">
            <v>2.67</v>
          </cell>
          <cell r="D1833">
            <v>4.2</v>
          </cell>
        </row>
        <row r="1834">
          <cell r="A1834" t="str">
            <v>18G3809100</v>
          </cell>
          <cell r="B1834">
            <v>4.82</v>
          </cell>
          <cell r="C1834">
            <v>3.06</v>
          </cell>
          <cell r="D1834">
            <v>3.12</v>
          </cell>
        </row>
        <row r="1835">
          <cell r="A1835" t="str">
            <v>18G3811100</v>
          </cell>
          <cell r="B1835">
            <v>37</v>
          </cell>
          <cell r="C1835">
            <v>8.0399999999999991</v>
          </cell>
          <cell r="D1835">
            <v>10.77</v>
          </cell>
        </row>
        <row r="1836">
          <cell r="A1836" t="str">
            <v>18G3821170</v>
          </cell>
          <cell r="B1836">
            <v>140.58000000000001</v>
          </cell>
          <cell r="C1836">
            <v>0.02</v>
          </cell>
          <cell r="D1836">
            <v>0.02</v>
          </cell>
        </row>
        <row r="1837">
          <cell r="A1837" t="str">
            <v>18G3821R70</v>
          </cell>
          <cell r="B1837">
            <v>141.28</v>
          </cell>
          <cell r="C1837">
            <v>0.02</v>
          </cell>
          <cell r="D1837">
            <v>0.02</v>
          </cell>
        </row>
        <row r="1838">
          <cell r="A1838" t="str">
            <v>18G38251J0</v>
          </cell>
          <cell r="B1838">
            <v>0.36</v>
          </cell>
          <cell r="C1838">
            <v>7.0000000000000007E-2</v>
          </cell>
          <cell r="D1838">
            <v>0.16</v>
          </cell>
        </row>
        <row r="1839">
          <cell r="A1839" t="str">
            <v>18G3829R00</v>
          </cell>
          <cell r="B1839">
            <v>168.02</v>
          </cell>
          <cell r="C1839">
            <v>2.69</v>
          </cell>
          <cell r="D1839">
            <v>4.24</v>
          </cell>
        </row>
        <row r="1840">
          <cell r="A1840" t="str">
            <v>18G3830100</v>
          </cell>
          <cell r="B1840">
            <v>1.58</v>
          </cell>
          <cell r="C1840">
            <v>2.69</v>
          </cell>
          <cell r="D1840">
            <v>2.73</v>
          </cell>
        </row>
        <row r="1841">
          <cell r="A1841" t="str">
            <v>18G3831100</v>
          </cell>
          <cell r="B1841">
            <v>1.58</v>
          </cell>
          <cell r="C1841">
            <v>2.69</v>
          </cell>
          <cell r="D1841">
            <v>2.73</v>
          </cell>
        </row>
        <row r="1842">
          <cell r="A1842" t="str">
            <v>18G3832100</v>
          </cell>
          <cell r="B1842">
            <v>1.58</v>
          </cell>
          <cell r="C1842">
            <v>2.69</v>
          </cell>
          <cell r="D1842">
            <v>2.73</v>
          </cell>
        </row>
        <row r="1843">
          <cell r="A1843" t="str">
            <v>18G3833100</v>
          </cell>
          <cell r="B1843">
            <v>1.58</v>
          </cell>
          <cell r="C1843">
            <v>2.69</v>
          </cell>
          <cell r="D1843">
            <v>2.73</v>
          </cell>
        </row>
        <row r="1844">
          <cell r="A1844" t="str">
            <v>18G38550NF</v>
          </cell>
          <cell r="B1844">
            <v>63.5</v>
          </cell>
          <cell r="C1844">
            <v>0</v>
          </cell>
          <cell r="D1844">
            <v>0</v>
          </cell>
        </row>
        <row r="1845">
          <cell r="A1845" t="str">
            <v>18G3855100</v>
          </cell>
          <cell r="B1845">
            <v>52.83</v>
          </cell>
          <cell r="C1845">
            <v>4.2699999999999996</v>
          </cell>
          <cell r="D1845">
            <v>5.88</v>
          </cell>
        </row>
        <row r="1846">
          <cell r="A1846" t="str">
            <v>18G3855R00</v>
          </cell>
          <cell r="B1846">
            <v>52.73</v>
          </cell>
          <cell r="C1846">
            <v>4.3099999999999996</v>
          </cell>
          <cell r="D1846">
            <v>5.94</v>
          </cell>
        </row>
        <row r="1847">
          <cell r="A1847" t="str">
            <v>18G3856100</v>
          </cell>
          <cell r="B1847">
            <v>55.11</v>
          </cell>
          <cell r="C1847">
            <v>5.56</v>
          </cell>
          <cell r="D1847">
            <v>7.34</v>
          </cell>
        </row>
        <row r="1848">
          <cell r="A1848" t="str">
            <v>18G3857100</v>
          </cell>
          <cell r="B1848">
            <v>55.14</v>
          </cell>
          <cell r="C1848">
            <v>5.56</v>
          </cell>
          <cell r="D1848">
            <v>7.34</v>
          </cell>
        </row>
        <row r="1849">
          <cell r="A1849" t="str">
            <v>18G3868100</v>
          </cell>
          <cell r="B1849">
            <v>4.95</v>
          </cell>
          <cell r="C1849">
            <v>3.06</v>
          </cell>
          <cell r="D1849">
            <v>3.12</v>
          </cell>
        </row>
        <row r="1850">
          <cell r="A1850" t="str">
            <v>18G3890100</v>
          </cell>
          <cell r="B1850">
            <v>20.14</v>
          </cell>
          <cell r="C1850">
            <v>4.3</v>
          </cell>
          <cell r="D1850">
            <v>7.15</v>
          </cell>
        </row>
        <row r="1851">
          <cell r="A1851" t="str">
            <v>18G3890R00</v>
          </cell>
          <cell r="B1851">
            <v>20.149999999999999</v>
          </cell>
          <cell r="C1851">
            <v>4.32</v>
          </cell>
          <cell r="D1851">
            <v>7.2</v>
          </cell>
        </row>
        <row r="1852">
          <cell r="A1852" t="str">
            <v>18G3898300</v>
          </cell>
          <cell r="B1852">
            <v>156.84</v>
          </cell>
          <cell r="C1852">
            <v>2.29</v>
          </cell>
          <cell r="D1852">
            <v>2.74</v>
          </cell>
        </row>
        <row r="1853">
          <cell r="A1853" t="str">
            <v>18G3924100</v>
          </cell>
          <cell r="B1853">
            <v>12.59</v>
          </cell>
          <cell r="C1853">
            <v>3.77</v>
          </cell>
          <cell r="D1853">
            <v>7.56</v>
          </cell>
        </row>
        <row r="1854">
          <cell r="A1854" t="str">
            <v>18G3924R00</v>
          </cell>
          <cell r="B1854">
            <v>12.59</v>
          </cell>
          <cell r="C1854">
            <v>3.77</v>
          </cell>
          <cell r="D1854">
            <v>7.56</v>
          </cell>
        </row>
        <row r="1855">
          <cell r="A1855" t="str">
            <v>18G3926100</v>
          </cell>
          <cell r="B1855">
            <v>209.49</v>
          </cell>
          <cell r="C1855">
            <v>1.83</v>
          </cell>
          <cell r="D1855">
            <v>3.62</v>
          </cell>
        </row>
        <row r="1856">
          <cell r="A1856" t="str">
            <v>18G3928100</v>
          </cell>
          <cell r="B1856">
            <v>244.12</v>
          </cell>
          <cell r="C1856">
            <v>1.83</v>
          </cell>
          <cell r="D1856">
            <v>3.62</v>
          </cell>
        </row>
        <row r="1857">
          <cell r="A1857" t="str">
            <v>18G3929100</v>
          </cell>
          <cell r="B1857">
            <v>247.5</v>
          </cell>
          <cell r="C1857">
            <v>1.83</v>
          </cell>
          <cell r="D1857">
            <v>3.62</v>
          </cell>
        </row>
        <row r="1858">
          <cell r="A1858" t="str">
            <v>18G39580NF</v>
          </cell>
          <cell r="B1858">
            <v>0.4</v>
          </cell>
          <cell r="C1858">
            <v>0</v>
          </cell>
          <cell r="D1858">
            <v>0</v>
          </cell>
        </row>
        <row r="1859">
          <cell r="A1859" t="str">
            <v>18G3987100</v>
          </cell>
          <cell r="B1859">
            <v>9.34</v>
          </cell>
          <cell r="C1859">
            <v>1.94</v>
          </cell>
          <cell r="D1859">
            <v>3.1</v>
          </cell>
        </row>
        <row r="1860">
          <cell r="A1860" t="str">
            <v>18G3987T00</v>
          </cell>
          <cell r="B1860">
            <v>9.34</v>
          </cell>
          <cell r="C1860">
            <v>1.94</v>
          </cell>
          <cell r="D1860">
            <v>3.1</v>
          </cell>
        </row>
        <row r="1861">
          <cell r="A1861" t="str">
            <v>18G4008100</v>
          </cell>
          <cell r="B1861">
            <v>3.77</v>
          </cell>
          <cell r="C1861">
            <v>1.08</v>
          </cell>
          <cell r="D1861">
            <v>2.64</v>
          </cell>
        </row>
        <row r="1862">
          <cell r="A1862" t="str">
            <v>18G4008S00</v>
          </cell>
          <cell r="B1862">
            <v>3.77</v>
          </cell>
          <cell r="C1862">
            <v>1.1100000000000001</v>
          </cell>
          <cell r="D1862">
            <v>2.69</v>
          </cell>
        </row>
        <row r="1863">
          <cell r="A1863" t="str">
            <v>18G4013100</v>
          </cell>
          <cell r="B1863">
            <v>4.82</v>
          </cell>
          <cell r="C1863">
            <v>3.06</v>
          </cell>
          <cell r="D1863">
            <v>3.12</v>
          </cell>
        </row>
        <row r="1864">
          <cell r="A1864" t="str">
            <v>18G4031100</v>
          </cell>
          <cell r="B1864">
            <v>42.2</v>
          </cell>
          <cell r="C1864">
            <v>4.59</v>
          </cell>
          <cell r="D1864">
            <v>6.67</v>
          </cell>
        </row>
        <row r="1865">
          <cell r="A1865" t="str">
            <v>18G4033100</v>
          </cell>
          <cell r="B1865">
            <v>42.17</v>
          </cell>
          <cell r="C1865">
            <v>4.32</v>
          </cell>
          <cell r="D1865">
            <v>5.86</v>
          </cell>
        </row>
        <row r="1866">
          <cell r="A1866" t="str">
            <v>18G4034100</v>
          </cell>
          <cell r="B1866">
            <v>44.44</v>
          </cell>
          <cell r="C1866">
            <v>5.61</v>
          </cell>
          <cell r="D1866">
            <v>7.32</v>
          </cell>
        </row>
        <row r="1867">
          <cell r="A1867" t="str">
            <v>18G4035100</v>
          </cell>
          <cell r="B1867">
            <v>25.97</v>
          </cell>
          <cell r="C1867">
            <v>21.51</v>
          </cell>
          <cell r="D1867">
            <v>26.51</v>
          </cell>
        </row>
        <row r="1868">
          <cell r="A1868" t="str">
            <v>18G4038R00</v>
          </cell>
          <cell r="B1868">
            <v>4.01</v>
          </cell>
          <cell r="C1868">
            <v>0</v>
          </cell>
          <cell r="D1868">
            <v>0</v>
          </cell>
        </row>
        <row r="1869">
          <cell r="A1869" t="str">
            <v>18G4043100</v>
          </cell>
          <cell r="B1869">
            <v>267.14</v>
          </cell>
          <cell r="C1869">
            <v>36.78</v>
          </cell>
          <cell r="D1869">
            <v>45</v>
          </cell>
        </row>
        <row r="1870">
          <cell r="A1870" t="str">
            <v>18G4050R00</v>
          </cell>
          <cell r="B1870">
            <v>4.24</v>
          </cell>
          <cell r="C1870">
            <v>0</v>
          </cell>
          <cell r="D1870">
            <v>0</v>
          </cell>
        </row>
        <row r="1871">
          <cell r="A1871" t="str">
            <v>18G4051R00</v>
          </cell>
          <cell r="B1871">
            <v>209.75</v>
          </cell>
          <cell r="C1871">
            <v>7.65</v>
          </cell>
          <cell r="D1871">
            <v>9.07</v>
          </cell>
        </row>
        <row r="1872">
          <cell r="A1872" t="str">
            <v>18G40520NF</v>
          </cell>
          <cell r="B1872">
            <v>48.32</v>
          </cell>
          <cell r="C1872">
            <v>0</v>
          </cell>
          <cell r="D1872">
            <v>0</v>
          </cell>
        </row>
        <row r="1873">
          <cell r="A1873" t="str">
            <v>18G4060200</v>
          </cell>
          <cell r="B1873">
            <v>2.6</v>
          </cell>
          <cell r="C1873">
            <v>0.85</v>
          </cell>
          <cell r="D1873">
            <v>2.0099999999999998</v>
          </cell>
        </row>
        <row r="1874">
          <cell r="A1874" t="str">
            <v>18G4060R00</v>
          </cell>
          <cell r="B1874">
            <v>2.61</v>
          </cell>
          <cell r="C1874">
            <v>0.85</v>
          </cell>
          <cell r="D1874">
            <v>2.0099999999999998</v>
          </cell>
        </row>
        <row r="1875">
          <cell r="A1875" t="str">
            <v>18G4064100</v>
          </cell>
          <cell r="B1875">
            <v>6.05</v>
          </cell>
          <cell r="C1875">
            <v>2.99</v>
          </cell>
          <cell r="D1875">
            <v>5.21</v>
          </cell>
        </row>
        <row r="1876">
          <cell r="A1876" t="str">
            <v>18G4064R00</v>
          </cell>
          <cell r="B1876">
            <v>6.05</v>
          </cell>
          <cell r="C1876">
            <v>3.03</v>
          </cell>
          <cell r="D1876">
            <v>5.28</v>
          </cell>
        </row>
        <row r="1877">
          <cell r="A1877" t="str">
            <v>18G4068100</v>
          </cell>
          <cell r="B1877">
            <v>10.050000000000001</v>
          </cell>
          <cell r="C1877">
            <v>5.44</v>
          </cell>
          <cell r="D1877">
            <v>7.73</v>
          </cell>
        </row>
        <row r="1878">
          <cell r="A1878" t="str">
            <v>18G4071170</v>
          </cell>
          <cell r="B1878">
            <v>71.17</v>
          </cell>
          <cell r="C1878">
            <v>0</v>
          </cell>
          <cell r="D1878">
            <v>0</v>
          </cell>
        </row>
        <row r="1879">
          <cell r="A1879" t="str">
            <v>18G4071R70</v>
          </cell>
          <cell r="B1879">
            <v>71.17</v>
          </cell>
          <cell r="C1879">
            <v>0</v>
          </cell>
          <cell r="D1879">
            <v>0</v>
          </cell>
        </row>
        <row r="1880">
          <cell r="A1880" t="str">
            <v>18G4078100</v>
          </cell>
          <cell r="B1880">
            <v>4.07</v>
          </cell>
          <cell r="C1880">
            <v>2.5</v>
          </cell>
          <cell r="D1880">
            <v>2.5499999999999998</v>
          </cell>
        </row>
        <row r="1881">
          <cell r="A1881" t="str">
            <v>18G4082100</v>
          </cell>
          <cell r="B1881">
            <v>1.85</v>
          </cell>
          <cell r="C1881">
            <v>2.69</v>
          </cell>
          <cell r="D1881">
            <v>2.73</v>
          </cell>
        </row>
        <row r="1882">
          <cell r="A1882" t="str">
            <v>18G4083100</v>
          </cell>
          <cell r="B1882">
            <v>1.85</v>
          </cell>
          <cell r="C1882">
            <v>2.69</v>
          </cell>
          <cell r="D1882">
            <v>2.73</v>
          </cell>
        </row>
        <row r="1883">
          <cell r="A1883" t="str">
            <v>18G4085100</v>
          </cell>
          <cell r="B1883">
            <v>1.85</v>
          </cell>
          <cell r="C1883">
            <v>2.69</v>
          </cell>
          <cell r="D1883">
            <v>2.73</v>
          </cell>
        </row>
        <row r="1884">
          <cell r="A1884" t="str">
            <v>18G4086100</v>
          </cell>
          <cell r="B1884">
            <v>1.85</v>
          </cell>
          <cell r="C1884">
            <v>2.69</v>
          </cell>
          <cell r="D1884">
            <v>2.73</v>
          </cell>
        </row>
        <row r="1885">
          <cell r="A1885" t="str">
            <v>18G4093100</v>
          </cell>
          <cell r="B1885">
            <v>241.88</v>
          </cell>
          <cell r="C1885">
            <v>1.83</v>
          </cell>
          <cell r="D1885">
            <v>3.62</v>
          </cell>
        </row>
        <row r="1886">
          <cell r="A1886" t="str">
            <v>18G4094100</v>
          </cell>
          <cell r="B1886">
            <v>240.99</v>
          </cell>
          <cell r="C1886">
            <v>1.83</v>
          </cell>
          <cell r="D1886">
            <v>3.62</v>
          </cell>
        </row>
        <row r="1887">
          <cell r="A1887" t="str">
            <v>18G4102100</v>
          </cell>
          <cell r="B1887">
            <v>76.430000000000007</v>
          </cell>
          <cell r="C1887">
            <v>3.94</v>
          </cell>
          <cell r="D1887">
            <v>6.08</v>
          </cell>
        </row>
        <row r="1888">
          <cell r="A1888" t="str">
            <v>18G4102R00</v>
          </cell>
          <cell r="B1888">
            <v>76.430000000000007</v>
          </cell>
          <cell r="C1888">
            <v>3.97</v>
          </cell>
          <cell r="D1888">
            <v>6.12</v>
          </cell>
        </row>
        <row r="1889">
          <cell r="A1889" t="str">
            <v>18G4121100</v>
          </cell>
          <cell r="B1889">
            <v>5.73</v>
          </cell>
          <cell r="C1889">
            <v>2.76</v>
          </cell>
          <cell r="D1889">
            <v>4.05</v>
          </cell>
        </row>
        <row r="1890">
          <cell r="A1890" t="str">
            <v>18G4126100</v>
          </cell>
          <cell r="B1890">
            <v>213.69</v>
          </cell>
          <cell r="C1890">
            <v>9.07</v>
          </cell>
          <cell r="D1890">
            <v>12.71</v>
          </cell>
        </row>
        <row r="1891">
          <cell r="A1891" t="str">
            <v>18G4128100</v>
          </cell>
          <cell r="B1891">
            <v>9.83</v>
          </cell>
          <cell r="C1891">
            <v>2.76</v>
          </cell>
          <cell r="D1891">
            <v>4.05</v>
          </cell>
        </row>
        <row r="1892">
          <cell r="A1892" t="str">
            <v>18G4128R00</v>
          </cell>
          <cell r="B1892">
            <v>9.83</v>
          </cell>
          <cell r="C1892">
            <v>2.8</v>
          </cell>
          <cell r="D1892">
            <v>4.1100000000000003</v>
          </cell>
        </row>
        <row r="1893">
          <cell r="A1893" t="str">
            <v>18G4132100</v>
          </cell>
          <cell r="B1893">
            <v>10</v>
          </cell>
          <cell r="C1893">
            <v>3.01</v>
          </cell>
          <cell r="D1893">
            <v>4.4800000000000004</v>
          </cell>
        </row>
        <row r="1894">
          <cell r="A1894" t="str">
            <v>18G4132R00</v>
          </cell>
          <cell r="B1894">
            <v>10</v>
          </cell>
          <cell r="C1894">
            <v>3.05</v>
          </cell>
          <cell r="D1894">
            <v>4.54</v>
          </cell>
        </row>
        <row r="1895">
          <cell r="A1895" t="str">
            <v>18G4133100</v>
          </cell>
          <cell r="B1895">
            <v>10</v>
          </cell>
          <cell r="C1895">
            <v>3.01</v>
          </cell>
          <cell r="D1895">
            <v>4.4800000000000004</v>
          </cell>
        </row>
        <row r="1896">
          <cell r="A1896" t="str">
            <v>18G4133R00</v>
          </cell>
          <cell r="B1896">
            <v>10</v>
          </cell>
          <cell r="C1896">
            <v>3.05</v>
          </cell>
          <cell r="D1896">
            <v>4.54</v>
          </cell>
        </row>
        <row r="1897">
          <cell r="A1897" t="str">
            <v>18G4134R00</v>
          </cell>
          <cell r="B1897">
            <v>10.050000000000001</v>
          </cell>
          <cell r="C1897">
            <v>4.32</v>
          </cell>
          <cell r="D1897">
            <v>6.06</v>
          </cell>
        </row>
        <row r="1898">
          <cell r="A1898" t="str">
            <v>18G4135R00</v>
          </cell>
          <cell r="B1898">
            <v>10.06</v>
          </cell>
          <cell r="C1898">
            <v>4.32</v>
          </cell>
          <cell r="D1898">
            <v>6.06</v>
          </cell>
        </row>
        <row r="1899">
          <cell r="A1899" t="str">
            <v>18G4138100</v>
          </cell>
          <cell r="B1899">
            <v>16.760000000000002</v>
          </cell>
          <cell r="C1899">
            <v>7.15</v>
          </cell>
          <cell r="D1899">
            <v>9.48</v>
          </cell>
        </row>
        <row r="1900">
          <cell r="A1900" t="str">
            <v>18G4139100</v>
          </cell>
          <cell r="B1900">
            <v>20.059999999999999</v>
          </cell>
          <cell r="C1900">
            <v>8.49</v>
          </cell>
          <cell r="D1900">
            <v>12.27</v>
          </cell>
        </row>
        <row r="1901">
          <cell r="A1901" t="str">
            <v>18G4142100</v>
          </cell>
          <cell r="B1901">
            <v>17.18</v>
          </cell>
          <cell r="C1901">
            <v>8.94</v>
          </cell>
          <cell r="D1901">
            <v>11.53</v>
          </cell>
        </row>
        <row r="1902">
          <cell r="A1902" t="str">
            <v>18G4147R00</v>
          </cell>
          <cell r="B1902">
            <v>5.78</v>
          </cell>
          <cell r="C1902">
            <v>4.07</v>
          </cell>
          <cell r="D1902">
            <v>5.63</v>
          </cell>
        </row>
        <row r="1903">
          <cell r="A1903" t="str">
            <v>18G4150R00</v>
          </cell>
          <cell r="B1903">
            <v>9.89</v>
          </cell>
          <cell r="C1903">
            <v>2.8</v>
          </cell>
          <cell r="D1903">
            <v>4.1100000000000003</v>
          </cell>
        </row>
        <row r="1904">
          <cell r="A1904" t="str">
            <v>18G4152100</v>
          </cell>
          <cell r="B1904">
            <v>208.5</v>
          </cell>
          <cell r="C1904">
            <v>6.43</v>
          </cell>
          <cell r="D1904">
            <v>8.94</v>
          </cell>
        </row>
        <row r="1905">
          <cell r="A1905" t="str">
            <v>18G4162100</v>
          </cell>
          <cell r="B1905">
            <v>259.33999999999997</v>
          </cell>
          <cell r="C1905">
            <v>3.76</v>
          </cell>
          <cell r="D1905">
            <v>4.93</v>
          </cell>
        </row>
        <row r="1906">
          <cell r="A1906" t="str">
            <v>18G4162R00</v>
          </cell>
          <cell r="B1906">
            <v>259.35000000000002</v>
          </cell>
          <cell r="C1906">
            <v>3.76</v>
          </cell>
          <cell r="D1906">
            <v>4.9400000000000004</v>
          </cell>
        </row>
        <row r="1907">
          <cell r="A1907" t="str">
            <v>18G4186100</v>
          </cell>
          <cell r="B1907">
            <v>58.89</v>
          </cell>
          <cell r="C1907">
            <v>3.94</v>
          </cell>
          <cell r="D1907">
            <v>6.08</v>
          </cell>
        </row>
        <row r="1908">
          <cell r="A1908" t="str">
            <v>18G4186R00</v>
          </cell>
          <cell r="B1908">
            <v>58.89</v>
          </cell>
          <cell r="C1908">
            <v>3.97</v>
          </cell>
          <cell r="D1908">
            <v>6.12</v>
          </cell>
        </row>
        <row r="1909">
          <cell r="A1909" t="str">
            <v>18G4194R00</v>
          </cell>
          <cell r="B1909">
            <v>203.46</v>
          </cell>
          <cell r="C1909">
            <v>4.54</v>
          </cell>
          <cell r="D1909">
            <v>7.05</v>
          </cell>
        </row>
        <row r="1910">
          <cell r="A1910" t="str">
            <v>18G4196R00</v>
          </cell>
          <cell r="B1910">
            <v>39.58</v>
          </cell>
          <cell r="C1910">
            <v>4.54</v>
          </cell>
          <cell r="D1910">
            <v>7.05</v>
          </cell>
        </row>
        <row r="1911">
          <cell r="A1911" t="str">
            <v>18G4219R00</v>
          </cell>
          <cell r="B1911">
            <v>16.63</v>
          </cell>
          <cell r="C1911">
            <v>2.11</v>
          </cell>
          <cell r="D1911">
            <v>3.5</v>
          </cell>
        </row>
        <row r="1912">
          <cell r="A1912" t="str">
            <v>18G4221R00</v>
          </cell>
          <cell r="B1912">
            <v>8.06</v>
          </cell>
          <cell r="C1912">
            <v>3.31</v>
          </cell>
          <cell r="D1912">
            <v>4.51</v>
          </cell>
        </row>
        <row r="1913">
          <cell r="A1913" t="str">
            <v>18G4223R00</v>
          </cell>
          <cell r="B1913">
            <v>18.12</v>
          </cell>
          <cell r="C1913">
            <v>2.21</v>
          </cell>
          <cell r="D1913">
            <v>3.81</v>
          </cell>
        </row>
        <row r="1914">
          <cell r="A1914" t="str">
            <v>18G4225R00</v>
          </cell>
          <cell r="B1914">
            <v>8.98</v>
          </cell>
          <cell r="C1914">
            <v>3.45</v>
          </cell>
          <cell r="D1914">
            <v>4.83</v>
          </cell>
        </row>
        <row r="1915">
          <cell r="A1915" t="str">
            <v>18G4227100</v>
          </cell>
          <cell r="B1915">
            <v>4.6100000000000003</v>
          </cell>
          <cell r="C1915">
            <v>3.06</v>
          </cell>
          <cell r="D1915">
            <v>3.12</v>
          </cell>
        </row>
        <row r="1916">
          <cell r="A1916" t="str">
            <v>18G42401J0</v>
          </cell>
          <cell r="B1916">
            <v>94.43</v>
          </cell>
          <cell r="C1916">
            <v>2.1</v>
          </cell>
          <cell r="D1916">
            <v>4.03</v>
          </cell>
        </row>
        <row r="1917">
          <cell r="A1917" t="str">
            <v>18G4250100</v>
          </cell>
          <cell r="B1917">
            <v>177.82</v>
          </cell>
          <cell r="C1917">
            <v>35.58</v>
          </cell>
          <cell r="D1917">
            <v>44.63</v>
          </cell>
        </row>
        <row r="1918">
          <cell r="A1918" t="str">
            <v>18G4253100</v>
          </cell>
          <cell r="B1918">
            <v>134.74</v>
          </cell>
          <cell r="C1918">
            <v>6.28</v>
          </cell>
          <cell r="D1918">
            <v>8.68</v>
          </cell>
        </row>
        <row r="1919">
          <cell r="A1919" t="str">
            <v>18G4253R00</v>
          </cell>
          <cell r="B1919">
            <v>0</v>
          </cell>
          <cell r="C1919">
            <v>0.08</v>
          </cell>
          <cell r="D1919">
            <v>0.09</v>
          </cell>
        </row>
        <row r="1920">
          <cell r="A1920" t="str">
            <v>18G4254100</v>
          </cell>
          <cell r="B1920">
            <v>152.41999999999999</v>
          </cell>
          <cell r="C1920">
            <v>13.86</v>
          </cell>
          <cell r="D1920">
            <v>18.399999999999999</v>
          </cell>
        </row>
        <row r="1921">
          <cell r="A1921" t="str">
            <v>18G4255100</v>
          </cell>
          <cell r="B1921">
            <v>152.72999999999999</v>
          </cell>
          <cell r="C1921">
            <v>14.2</v>
          </cell>
          <cell r="D1921">
            <v>18.829999999999998</v>
          </cell>
        </row>
        <row r="1922">
          <cell r="A1922" t="str">
            <v>18G4256R00</v>
          </cell>
          <cell r="B1922">
            <v>6.27</v>
          </cell>
          <cell r="C1922">
            <v>3.54</v>
          </cell>
          <cell r="D1922">
            <v>5.54</v>
          </cell>
        </row>
        <row r="1923">
          <cell r="A1923" t="str">
            <v>18G4257100</v>
          </cell>
          <cell r="B1923">
            <v>20.440000000000001</v>
          </cell>
          <cell r="C1923">
            <v>10.27</v>
          </cell>
          <cell r="D1923">
            <v>14.05</v>
          </cell>
        </row>
        <row r="1924">
          <cell r="A1924" t="str">
            <v>18G4279100</v>
          </cell>
          <cell r="B1924">
            <v>1.85</v>
          </cell>
          <cell r="C1924">
            <v>2.69</v>
          </cell>
          <cell r="D1924">
            <v>2.73</v>
          </cell>
        </row>
        <row r="1925">
          <cell r="A1925" t="str">
            <v>18G4280100</v>
          </cell>
          <cell r="B1925">
            <v>1.85</v>
          </cell>
          <cell r="C1925">
            <v>2.69</v>
          </cell>
          <cell r="D1925">
            <v>2.73</v>
          </cell>
        </row>
        <row r="1926">
          <cell r="A1926" t="str">
            <v>18G4281100</v>
          </cell>
          <cell r="B1926">
            <v>203.18</v>
          </cell>
          <cell r="C1926">
            <v>3.76</v>
          </cell>
          <cell r="D1926">
            <v>4.9400000000000004</v>
          </cell>
        </row>
        <row r="1927">
          <cell r="A1927" t="str">
            <v>18G4281R00</v>
          </cell>
          <cell r="B1927">
            <v>191.43</v>
          </cell>
          <cell r="C1927">
            <v>1.88</v>
          </cell>
          <cell r="D1927">
            <v>2.5099999999999998</v>
          </cell>
        </row>
        <row r="1928">
          <cell r="A1928" t="str">
            <v>18G4296100</v>
          </cell>
          <cell r="B1928">
            <v>59.33</v>
          </cell>
          <cell r="C1928">
            <v>3.6</v>
          </cell>
          <cell r="D1928">
            <v>4.92</v>
          </cell>
        </row>
        <row r="1929">
          <cell r="A1929" t="str">
            <v>18G4296R00</v>
          </cell>
          <cell r="B1929">
            <v>59.34</v>
          </cell>
          <cell r="C1929">
            <v>3.32</v>
          </cell>
          <cell r="D1929">
            <v>4.75</v>
          </cell>
        </row>
        <row r="1930">
          <cell r="A1930" t="str">
            <v>18G4297100</v>
          </cell>
          <cell r="B1930">
            <v>206.37</v>
          </cell>
          <cell r="C1930">
            <v>1.83</v>
          </cell>
          <cell r="D1930">
            <v>3.62</v>
          </cell>
        </row>
        <row r="1931">
          <cell r="A1931" t="str">
            <v>18G4298100</v>
          </cell>
          <cell r="B1931">
            <v>209.75</v>
          </cell>
          <cell r="C1931">
            <v>1.83</v>
          </cell>
          <cell r="D1931">
            <v>3.62</v>
          </cell>
        </row>
        <row r="1932">
          <cell r="A1932" t="str">
            <v>18G4301100</v>
          </cell>
          <cell r="B1932">
            <v>12.32</v>
          </cell>
          <cell r="C1932">
            <v>2.77</v>
          </cell>
          <cell r="D1932">
            <v>5.36</v>
          </cell>
        </row>
        <row r="1933">
          <cell r="A1933" t="str">
            <v>18G4312100</v>
          </cell>
          <cell r="B1933">
            <v>10.11</v>
          </cell>
          <cell r="C1933">
            <v>2.63</v>
          </cell>
          <cell r="D1933">
            <v>4.4800000000000004</v>
          </cell>
        </row>
        <row r="1934">
          <cell r="A1934" t="str">
            <v>18G4340200</v>
          </cell>
          <cell r="B1934">
            <v>2.08</v>
          </cell>
          <cell r="C1934">
            <v>1.56</v>
          </cell>
          <cell r="D1934">
            <v>2.74</v>
          </cell>
        </row>
        <row r="1935">
          <cell r="A1935" t="str">
            <v>18G4344100</v>
          </cell>
          <cell r="B1935">
            <v>65.72</v>
          </cell>
          <cell r="C1935">
            <v>2.0299999999999998</v>
          </cell>
          <cell r="D1935">
            <v>2.72</v>
          </cell>
        </row>
        <row r="1936">
          <cell r="A1936" t="str">
            <v>18G4349100</v>
          </cell>
          <cell r="B1936">
            <v>65.72</v>
          </cell>
          <cell r="C1936">
            <v>2.0299999999999998</v>
          </cell>
          <cell r="D1936">
            <v>2.72</v>
          </cell>
        </row>
        <row r="1937">
          <cell r="A1937" t="str">
            <v>18G4357100</v>
          </cell>
          <cell r="B1937">
            <v>19.21</v>
          </cell>
          <cell r="C1937">
            <v>4.1500000000000004</v>
          </cell>
          <cell r="D1937">
            <v>6.11</v>
          </cell>
        </row>
        <row r="1938">
          <cell r="A1938" t="str">
            <v>18G4368200</v>
          </cell>
          <cell r="B1938">
            <v>12.31</v>
          </cell>
          <cell r="C1938">
            <v>1.66</v>
          </cell>
          <cell r="D1938">
            <v>3</v>
          </cell>
        </row>
        <row r="1939">
          <cell r="A1939" t="str">
            <v>18G43771J0</v>
          </cell>
          <cell r="B1939">
            <v>1.5</v>
          </cell>
          <cell r="C1939">
            <v>0.75</v>
          </cell>
          <cell r="D1939">
            <v>0.92</v>
          </cell>
        </row>
        <row r="1940">
          <cell r="A1940" t="str">
            <v>18G43781J0</v>
          </cell>
          <cell r="B1940">
            <v>0.77</v>
          </cell>
          <cell r="C1940">
            <v>0.65</v>
          </cell>
          <cell r="D1940">
            <v>0.81</v>
          </cell>
        </row>
        <row r="1941">
          <cell r="A1941" t="str">
            <v>18G4380100</v>
          </cell>
          <cell r="B1941">
            <v>8.3699999999999992</v>
          </cell>
          <cell r="C1941">
            <v>2.44</v>
          </cell>
          <cell r="D1941">
            <v>4.67</v>
          </cell>
        </row>
        <row r="1942">
          <cell r="A1942" t="str">
            <v>18G4381100</v>
          </cell>
          <cell r="B1942">
            <v>48.4</v>
          </cell>
          <cell r="C1942">
            <v>1.83</v>
          </cell>
          <cell r="D1942">
            <v>3.62</v>
          </cell>
        </row>
        <row r="1943">
          <cell r="A1943" t="str">
            <v>18G4382100</v>
          </cell>
          <cell r="B1943">
            <v>51.78</v>
          </cell>
          <cell r="C1943">
            <v>1.83</v>
          </cell>
          <cell r="D1943">
            <v>3.62</v>
          </cell>
        </row>
        <row r="1944">
          <cell r="A1944" t="str">
            <v>18G4391100</v>
          </cell>
          <cell r="B1944">
            <v>5.44</v>
          </cell>
          <cell r="C1944">
            <v>2.31</v>
          </cell>
          <cell r="D1944">
            <v>3.29</v>
          </cell>
        </row>
        <row r="1945">
          <cell r="A1945" t="str">
            <v>18G4391R00</v>
          </cell>
          <cell r="B1945">
            <v>5.42</v>
          </cell>
          <cell r="C1945">
            <v>2.31</v>
          </cell>
          <cell r="D1945">
            <v>3.29</v>
          </cell>
        </row>
        <row r="1946">
          <cell r="A1946" t="str">
            <v>18G4392100</v>
          </cell>
          <cell r="B1946">
            <v>155.12</v>
          </cell>
          <cell r="C1946">
            <v>14.45</v>
          </cell>
          <cell r="D1946">
            <v>19.2</v>
          </cell>
        </row>
        <row r="1947">
          <cell r="A1947" t="str">
            <v>18G4392200</v>
          </cell>
          <cell r="B1947">
            <v>166.01</v>
          </cell>
          <cell r="C1947">
            <v>17.690000000000001</v>
          </cell>
          <cell r="D1947">
            <v>21.47</v>
          </cell>
        </row>
        <row r="1948">
          <cell r="A1948" t="str">
            <v>18G4395R00</v>
          </cell>
          <cell r="B1948">
            <v>5.97</v>
          </cell>
          <cell r="C1948">
            <v>2.31</v>
          </cell>
          <cell r="D1948">
            <v>3.32</v>
          </cell>
        </row>
        <row r="1949">
          <cell r="A1949" t="str">
            <v>18G4396100</v>
          </cell>
          <cell r="B1949">
            <v>155.83000000000001</v>
          </cell>
          <cell r="C1949">
            <v>14.45</v>
          </cell>
          <cell r="D1949">
            <v>19.23</v>
          </cell>
        </row>
        <row r="1950">
          <cell r="A1950" t="str">
            <v>18G4396200</v>
          </cell>
          <cell r="B1950">
            <v>166.72</v>
          </cell>
          <cell r="C1950">
            <v>17.7</v>
          </cell>
          <cell r="D1950">
            <v>21.5</v>
          </cell>
        </row>
        <row r="1951">
          <cell r="A1951" t="str">
            <v>18G4501100</v>
          </cell>
          <cell r="B1951">
            <v>206.41</v>
          </cell>
          <cell r="C1951">
            <v>3.67</v>
          </cell>
          <cell r="D1951">
            <v>5.86</v>
          </cell>
        </row>
        <row r="1952">
          <cell r="A1952" t="str">
            <v>18G4501R00</v>
          </cell>
          <cell r="B1952">
            <v>206.4</v>
          </cell>
          <cell r="C1952">
            <v>3.72</v>
          </cell>
          <cell r="D1952">
            <v>5.93</v>
          </cell>
        </row>
        <row r="1953">
          <cell r="A1953" t="str">
            <v>18G4502100</v>
          </cell>
          <cell r="B1953">
            <v>220.29</v>
          </cell>
          <cell r="C1953">
            <v>9.02</v>
          </cell>
          <cell r="D1953">
            <v>12.59</v>
          </cell>
        </row>
        <row r="1954">
          <cell r="A1954" t="str">
            <v>18G4507100</v>
          </cell>
          <cell r="B1954">
            <v>220.91</v>
          </cell>
          <cell r="C1954">
            <v>9.18</v>
          </cell>
          <cell r="D1954">
            <v>12.91</v>
          </cell>
        </row>
        <row r="1955">
          <cell r="A1955" t="str">
            <v>18G4508R00</v>
          </cell>
          <cell r="B1955">
            <v>206.86</v>
          </cell>
          <cell r="C1955">
            <v>3.88</v>
          </cell>
          <cell r="D1955">
            <v>6.25</v>
          </cell>
        </row>
        <row r="1956">
          <cell r="A1956" t="str">
            <v>18G4512170</v>
          </cell>
          <cell r="B1956">
            <v>128.69999999999999</v>
          </cell>
          <cell r="C1956">
            <v>0.02</v>
          </cell>
          <cell r="D1956">
            <v>0.02</v>
          </cell>
        </row>
        <row r="1957">
          <cell r="A1957" t="str">
            <v>18G4512C70</v>
          </cell>
          <cell r="B1957">
            <v>128.69999999999999</v>
          </cell>
          <cell r="C1957">
            <v>0.02</v>
          </cell>
          <cell r="D1957">
            <v>0.02</v>
          </cell>
        </row>
        <row r="1958">
          <cell r="A1958" t="str">
            <v>18G4516170</v>
          </cell>
          <cell r="B1958">
            <v>69.37</v>
          </cell>
          <cell r="C1958">
            <v>0.02</v>
          </cell>
          <cell r="D1958">
            <v>0.02</v>
          </cell>
        </row>
        <row r="1959">
          <cell r="A1959" t="str">
            <v>18G4527100</v>
          </cell>
          <cell r="B1959">
            <v>23.75</v>
          </cell>
          <cell r="C1959">
            <v>4.0999999999999996</v>
          </cell>
          <cell r="D1959">
            <v>7.08</v>
          </cell>
        </row>
        <row r="1960">
          <cell r="A1960" t="str">
            <v>18G4539100</v>
          </cell>
          <cell r="B1960">
            <v>4.92</v>
          </cell>
          <cell r="C1960">
            <v>3.06</v>
          </cell>
          <cell r="D1960">
            <v>3.12</v>
          </cell>
        </row>
        <row r="1961">
          <cell r="A1961" t="str">
            <v>18G4541100</v>
          </cell>
          <cell r="B1961">
            <v>4.95</v>
          </cell>
          <cell r="C1961">
            <v>3.06</v>
          </cell>
          <cell r="D1961">
            <v>3.12</v>
          </cell>
        </row>
        <row r="1962">
          <cell r="A1962" t="str">
            <v>18G4544100</v>
          </cell>
          <cell r="B1962">
            <v>4.92</v>
          </cell>
          <cell r="C1962">
            <v>3.06</v>
          </cell>
          <cell r="D1962">
            <v>3.12</v>
          </cell>
        </row>
        <row r="1963">
          <cell r="A1963" t="str">
            <v>18G4579100</v>
          </cell>
          <cell r="B1963">
            <v>46.88</v>
          </cell>
          <cell r="C1963">
            <v>1.83</v>
          </cell>
          <cell r="D1963">
            <v>3.62</v>
          </cell>
        </row>
        <row r="1964">
          <cell r="A1964" t="str">
            <v>18G4580100</v>
          </cell>
          <cell r="B1964">
            <v>50.26</v>
          </cell>
          <cell r="C1964">
            <v>1.83</v>
          </cell>
          <cell r="D1964">
            <v>3.62</v>
          </cell>
        </row>
        <row r="1965">
          <cell r="A1965" t="str">
            <v>18G4599100</v>
          </cell>
          <cell r="B1965">
            <v>5.7</v>
          </cell>
          <cell r="C1965">
            <v>1.67</v>
          </cell>
          <cell r="D1965">
            <v>3.24</v>
          </cell>
        </row>
        <row r="1966">
          <cell r="A1966" t="str">
            <v>18G4600100</v>
          </cell>
          <cell r="B1966">
            <v>5.85</v>
          </cell>
          <cell r="C1966">
            <v>1.83</v>
          </cell>
          <cell r="D1966">
            <v>3.62</v>
          </cell>
        </row>
        <row r="1967">
          <cell r="A1967" t="str">
            <v>18G4630100</v>
          </cell>
          <cell r="B1967">
            <v>145.63</v>
          </cell>
          <cell r="C1967">
            <v>9.52</v>
          </cell>
          <cell r="D1967">
            <v>10.95</v>
          </cell>
        </row>
        <row r="1968">
          <cell r="A1968" t="str">
            <v>18G4675100</v>
          </cell>
          <cell r="B1968">
            <v>1.85</v>
          </cell>
          <cell r="C1968">
            <v>2.69</v>
          </cell>
          <cell r="D1968">
            <v>2.73</v>
          </cell>
        </row>
        <row r="1969">
          <cell r="A1969" t="str">
            <v>18G4692100</v>
          </cell>
          <cell r="B1969">
            <v>4.82</v>
          </cell>
          <cell r="C1969">
            <v>3.06</v>
          </cell>
          <cell r="D1969">
            <v>3.12</v>
          </cell>
        </row>
        <row r="1970">
          <cell r="A1970" t="str">
            <v>18G4693100</v>
          </cell>
          <cell r="B1970">
            <v>4.82</v>
          </cell>
          <cell r="C1970">
            <v>3.06</v>
          </cell>
          <cell r="D1970">
            <v>3.12</v>
          </cell>
        </row>
        <row r="1971">
          <cell r="A1971" t="str">
            <v>18G4744100</v>
          </cell>
          <cell r="B1971">
            <v>6.17</v>
          </cell>
          <cell r="C1971">
            <v>3.06</v>
          </cell>
          <cell r="D1971">
            <v>3.12</v>
          </cell>
        </row>
        <row r="1972">
          <cell r="A1972" t="str">
            <v>18G49851J0</v>
          </cell>
          <cell r="B1972">
            <v>0.69</v>
          </cell>
          <cell r="C1972">
            <v>0.06</v>
          </cell>
          <cell r="D1972">
            <v>0.14000000000000001</v>
          </cell>
        </row>
        <row r="1973">
          <cell r="A1973" t="str">
            <v>18G50561J0</v>
          </cell>
          <cell r="B1973">
            <v>0.27</v>
          </cell>
          <cell r="C1973">
            <v>0.12</v>
          </cell>
          <cell r="D1973">
            <v>0.27</v>
          </cell>
        </row>
        <row r="1974">
          <cell r="A1974" t="str">
            <v>18G5158100</v>
          </cell>
          <cell r="B1974">
            <v>6.05</v>
          </cell>
          <cell r="C1974">
            <v>6.1</v>
          </cell>
          <cell r="D1974">
            <v>8.85</v>
          </cell>
        </row>
        <row r="1975">
          <cell r="A1975" t="str">
            <v>18L0234100</v>
          </cell>
          <cell r="B1975">
            <v>6.76</v>
          </cell>
          <cell r="C1975">
            <v>1.93</v>
          </cell>
          <cell r="D1975">
            <v>3.24</v>
          </cell>
        </row>
        <row r="1976">
          <cell r="A1976" t="str">
            <v>18L0241100</v>
          </cell>
          <cell r="B1976">
            <v>7.62</v>
          </cell>
          <cell r="C1976">
            <v>1.94</v>
          </cell>
          <cell r="D1976">
            <v>3.25</v>
          </cell>
        </row>
        <row r="1977">
          <cell r="A1977" t="str">
            <v>18L0474100</v>
          </cell>
          <cell r="B1977">
            <v>8.36</v>
          </cell>
          <cell r="C1977">
            <v>2.56</v>
          </cell>
          <cell r="D1977">
            <v>4.0999999999999996</v>
          </cell>
        </row>
        <row r="1978">
          <cell r="A1978" t="str">
            <v>18L0580100</v>
          </cell>
          <cell r="B1978">
            <v>12.95</v>
          </cell>
          <cell r="C1978">
            <v>3.01</v>
          </cell>
          <cell r="D1978">
            <v>4.75</v>
          </cell>
        </row>
        <row r="1979">
          <cell r="A1979" t="str">
            <v>18L0580300</v>
          </cell>
          <cell r="B1979">
            <v>12.95</v>
          </cell>
          <cell r="C1979">
            <v>3.01</v>
          </cell>
          <cell r="D1979">
            <v>4.75</v>
          </cell>
        </row>
        <row r="1980">
          <cell r="A1980" t="str">
            <v>18L0580500</v>
          </cell>
          <cell r="B1980">
            <v>12.95</v>
          </cell>
          <cell r="C1980">
            <v>3.01</v>
          </cell>
          <cell r="D1980">
            <v>4.75</v>
          </cell>
        </row>
        <row r="1981">
          <cell r="A1981" t="str">
            <v>18L0580R00</v>
          </cell>
          <cell r="B1981">
            <v>12.94</v>
          </cell>
          <cell r="C1981">
            <v>3.06</v>
          </cell>
          <cell r="D1981">
            <v>4.8</v>
          </cell>
        </row>
        <row r="1982">
          <cell r="A1982" t="str">
            <v>18L0581100</v>
          </cell>
          <cell r="B1982">
            <v>13.53</v>
          </cell>
          <cell r="C1982">
            <v>3.02</v>
          </cell>
          <cell r="D1982">
            <v>4.79</v>
          </cell>
        </row>
        <row r="1983">
          <cell r="A1983" t="str">
            <v>18L0581300</v>
          </cell>
          <cell r="B1983">
            <v>13.53</v>
          </cell>
          <cell r="C1983">
            <v>3.02</v>
          </cell>
          <cell r="D1983">
            <v>4.79</v>
          </cell>
        </row>
        <row r="1984">
          <cell r="A1984" t="str">
            <v>18L0581R00</v>
          </cell>
          <cell r="B1984">
            <v>13.52</v>
          </cell>
          <cell r="C1984">
            <v>3.08</v>
          </cell>
          <cell r="D1984">
            <v>4.83</v>
          </cell>
        </row>
        <row r="1985">
          <cell r="A1985" t="str">
            <v>18L0582100</v>
          </cell>
          <cell r="B1985">
            <v>13.62</v>
          </cell>
          <cell r="C1985">
            <v>2.99</v>
          </cell>
          <cell r="D1985">
            <v>4.84</v>
          </cell>
        </row>
        <row r="1986">
          <cell r="A1986" t="str">
            <v>18L0582500</v>
          </cell>
          <cell r="B1986">
            <v>13.62</v>
          </cell>
          <cell r="C1986">
            <v>2.99</v>
          </cell>
          <cell r="D1986">
            <v>4.84</v>
          </cell>
        </row>
        <row r="1987">
          <cell r="A1987" t="str">
            <v>18L0582R00</v>
          </cell>
          <cell r="B1987">
            <v>13.6</v>
          </cell>
          <cell r="C1987">
            <v>3.05</v>
          </cell>
          <cell r="D1987">
            <v>4.88</v>
          </cell>
        </row>
        <row r="1988">
          <cell r="A1988" t="str">
            <v>18L0583100</v>
          </cell>
          <cell r="B1988">
            <v>13.34</v>
          </cell>
          <cell r="C1988">
            <v>3.08</v>
          </cell>
          <cell r="D1988">
            <v>5.0999999999999996</v>
          </cell>
        </row>
        <row r="1989">
          <cell r="A1989" t="str">
            <v>18L0583R00</v>
          </cell>
          <cell r="B1989">
            <v>13.33</v>
          </cell>
          <cell r="C1989">
            <v>3.14</v>
          </cell>
          <cell r="D1989">
            <v>5.14</v>
          </cell>
        </row>
        <row r="1990">
          <cell r="A1990" t="str">
            <v>18M0233100</v>
          </cell>
          <cell r="B1990">
            <v>0.12</v>
          </cell>
          <cell r="C1990">
            <v>0.02</v>
          </cell>
          <cell r="D1990">
            <v>0.05</v>
          </cell>
        </row>
        <row r="1991">
          <cell r="A1991" t="str">
            <v>18M0234100</v>
          </cell>
          <cell r="B1991">
            <v>0.12</v>
          </cell>
          <cell r="C1991">
            <v>0.02</v>
          </cell>
          <cell r="D1991">
            <v>0.05</v>
          </cell>
        </row>
        <row r="1992">
          <cell r="A1992" t="str">
            <v>42005901UF</v>
          </cell>
          <cell r="B1992">
            <v>79.73</v>
          </cell>
          <cell r="C1992">
            <v>0</v>
          </cell>
          <cell r="D1992">
            <v>0</v>
          </cell>
        </row>
        <row r="1993">
          <cell r="A1993" t="str">
            <v>4430481100</v>
          </cell>
          <cell r="B1993">
            <v>182.94</v>
          </cell>
          <cell r="C1993">
            <v>0</v>
          </cell>
          <cell r="D1993">
            <v>0</v>
          </cell>
        </row>
        <row r="1994">
          <cell r="A1994" t="str">
            <v>4430482100</v>
          </cell>
          <cell r="B1994">
            <v>198</v>
          </cell>
          <cell r="C1994">
            <v>0</v>
          </cell>
          <cell r="D1994">
            <v>0</v>
          </cell>
        </row>
        <row r="1995">
          <cell r="A1995" t="str">
            <v>77030011TF</v>
          </cell>
          <cell r="B1995">
            <v>0.02</v>
          </cell>
          <cell r="C1995">
            <v>0</v>
          </cell>
          <cell r="D1995">
            <v>0</v>
          </cell>
        </row>
        <row r="1996">
          <cell r="A1996" t="str">
            <v>77030331TF</v>
          </cell>
          <cell r="B1996">
            <v>0.08</v>
          </cell>
          <cell r="C1996">
            <v>0</v>
          </cell>
          <cell r="D1996">
            <v>0</v>
          </cell>
        </row>
        <row r="1997">
          <cell r="A1997" t="str">
            <v>79030370NF</v>
          </cell>
          <cell r="B1997">
            <v>0.03</v>
          </cell>
          <cell r="C1997">
            <v>0</v>
          </cell>
          <cell r="D1997">
            <v>0</v>
          </cell>
        </row>
        <row r="1998">
          <cell r="A1998" t="str">
            <v>79032010PF</v>
          </cell>
          <cell r="B1998">
            <v>0.04</v>
          </cell>
          <cell r="C1998">
            <v>0</v>
          </cell>
          <cell r="D1998">
            <v>0</v>
          </cell>
        </row>
        <row r="1999">
          <cell r="A1999" t="str">
            <v>79032340PF</v>
          </cell>
          <cell r="B1999">
            <v>0.02</v>
          </cell>
          <cell r="C1999">
            <v>0</v>
          </cell>
          <cell r="D1999">
            <v>0</v>
          </cell>
        </row>
        <row r="2000">
          <cell r="A2000" t="str">
            <v>91514449PF</v>
          </cell>
          <cell r="B2000">
            <v>0.89</v>
          </cell>
          <cell r="C2000">
            <v>0</v>
          </cell>
          <cell r="D2000">
            <v>0</v>
          </cell>
        </row>
        <row r="2001">
          <cell r="A2001" t="str">
            <v>96240371MF</v>
          </cell>
          <cell r="B2001">
            <v>0.79</v>
          </cell>
          <cell r="C2001">
            <v>0</v>
          </cell>
          <cell r="D2001">
            <v>0</v>
          </cell>
        </row>
        <row r="2002">
          <cell r="A2002" t="str">
            <v>96256823MF</v>
          </cell>
          <cell r="B2002">
            <v>0.76</v>
          </cell>
          <cell r="C2002">
            <v>0</v>
          </cell>
          <cell r="D2002">
            <v>0</v>
          </cell>
        </row>
        <row r="2003">
          <cell r="A2003" t="str">
            <v>96367567MF</v>
          </cell>
          <cell r="B2003">
            <v>1.91</v>
          </cell>
          <cell r="C2003">
            <v>0</v>
          </cell>
          <cell r="D2003">
            <v>0</v>
          </cell>
        </row>
        <row r="2004">
          <cell r="A2004" t="str">
            <v>96367568MF</v>
          </cell>
          <cell r="B2004">
            <v>2.0299999999999998</v>
          </cell>
          <cell r="C2004">
            <v>0</v>
          </cell>
          <cell r="D2004">
            <v>0</v>
          </cell>
        </row>
        <row r="2005">
          <cell r="A2005" t="str">
            <v>96367572MF</v>
          </cell>
          <cell r="B2005">
            <v>0.76</v>
          </cell>
          <cell r="C2005">
            <v>0</v>
          </cell>
          <cell r="D2005">
            <v>0</v>
          </cell>
        </row>
        <row r="2006">
          <cell r="A2006" t="str">
            <v>96427428MF</v>
          </cell>
          <cell r="B2006">
            <v>2.19</v>
          </cell>
          <cell r="C2006">
            <v>0</v>
          </cell>
          <cell r="D2006">
            <v>0</v>
          </cell>
        </row>
        <row r="2007">
          <cell r="A2007" t="str">
            <v>A02202B</v>
          </cell>
          <cell r="B2007">
            <v>8.39</v>
          </cell>
          <cell r="C2007">
            <v>0.43</v>
          </cell>
          <cell r="D2007">
            <v>0.3</v>
          </cell>
        </row>
        <row r="2008">
          <cell r="A2008" t="str">
            <v>A04219C</v>
          </cell>
          <cell r="B2008">
            <v>0.03</v>
          </cell>
          <cell r="C2008">
            <v>0.13</v>
          </cell>
          <cell r="D2008">
            <v>0.28000000000000003</v>
          </cell>
        </row>
        <row r="2009">
          <cell r="A2009" t="str">
            <v>A04309</v>
          </cell>
          <cell r="B2009">
            <v>3.6</v>
          </cell>
          <cell r="C2009">
            <v>3.16</v>
          </cell>
          <cell r="D2009">
            <v>4.88</v>
          </cell>
        </row>
        <row r="2010">
          <cell r="A2010" t="str">
            <v>A04315B</v>
          </cell>
          <cell r="B2010">
            <v>3.59</v>
          </cell>
          <cell r="C2010">
            <v>4.97</v>
          </cell>
          <cell r="D2010">
            <v>7.2</v>
          </cell>
        </row>
        <row r="2011">
          <cell r="A2011" t="str">
            <v>A04317</v>
          </cell>
          <cell r="B2011">
            <v>8.24</v>
          </cell>
          <cell r="C2011">
            <v>10.93</v>
          </cell>
          <cell r="D2011">
            <v>28.49</v>
          </cell>
        </row>
        <row r="2012">
          <cell r="A2012" t="str">
            <v>A04345B</v>
          </cell>
          <cell r="B2012">
            <v>0.99</v>
          </cell>
          <cell r="C2012">
            <v>1.59</v>
          </cell>
          <cell r="D2012">
            <v>2.3199999999999998</v>
          </cell>
        </row>
        <row r="2013">
          <cell r="A2013" t="str">
            <v>A04347</v>
          </cell>
          <cell r="B2013">
            <v>9.91</v>
          </cell>
          <cell r="C2013">
            <v>2.57</v>
          </cell>
          <cell r="D2013">
            <v>3.67</v>
          </cell>
        </row>
        <row r="2014">
          <cell r="A2014" t="str">
            <v>A04356</v>
          </cell>
          <cell r="B2014">
            <v>15.22</v>
          </cell>
          <cell r="C2014">
            <v>0.71</v>
          </cell>
          <cell r="D2014">
            <v>0.82</v>
          </cell>
        </row>
        <row r="2015">
          <cell r="A2015" t="str">
            <v>A04364B</v>
          </cell>
          <cell r="B2015">
            <v>6.62</v>
          </cell>
          <cell r="C2015">
            <v>5.51</v>
          </cell>
          <cell r="D2015">
            <v>11.37</v>
          </cell>
        </row>
        <row r="2016">
          <cell r="A2016" t="str">
            <v>A04369A</v>
          </cell>
          <cell r="B2016">
            <v>4.46</v>
          </cell>
          <cell r="C2016">
            <v>4.03</v>
          </cell>
          <cell r="D2016">
            <v>5.82</v>
          </cell>
        </row>
        <row r="2017">
          <cell r="A2017" t="str">
            <v>A04660</v>
          </cell>
          <cell r="B2017">
            <v>10.89</v>
          </cell>
          <cell r="C2017">
            <v>2.57</v>
          </cell>
          <cell r="D2017">
            <v>3.07</v>
          </cell>
        </row>
        <row r="2018">
          <cell r="A2018" t="str">
            <v>A05421C</v>
          </cell>
          <cell r="B2018">
            <v>2.14</v>
          </cell>
          <cell r="C2018">
            <v>1.8</v>
          </cell>
          <cell r="D2018">
            <v>4.84</v>
          </cell>
        </row>
        <row r="2019">
          <cell r="A2019" t="str">
            <v>A05421V</v>
          </cell>
          <cell r="B2019">
            <v>2.14</v>
          </cell>
          <cell r="C2019">
            <v>1.8</v>
          </cell>
          <cell r="D2019">
            <v>4.84</v>
          </cell>
        </row>
        <row r="2020">
          <cell r="A2020" t="str">
            <v>A05627</v>
          </cell>
          <cell r="B2020">
            <v>69.53</v>
          </cell>
          <cell r="C2020">
            <v>3.21</v>
          </cell>
          <cell r="D2020">
            <v>4.88</v>
          </cell>
        </row>
        <row r="2021">
          <cell r="A2021" t="str">
            <v>A05631</v>
          </cell>
          <cell r="B2021">
            <v>93.69</v>
          </cell>
          <cell r="C2021">
            <v>3.33</v>
          </cell>
          <cell r="D2021">
            <v>5.0199999999999996</v>
          </cell>
        </row>
        <row r="2022">
          <cell r="A2022" t="str">
            <v>A05749</v>
          </cell>
          <cell r="B2022">
            <v>6.75</v>
          </cell>
          <cell r="C2022">
            <v>4.79</v>
          </cell>
          <cell r="D2022">
            <v>7.59</v>
          </cell>
        </row>
        <row r="2023">
          <cell r="A2023" t="str">
            <v>A05774</v>
          </cell>
          <cell r="B2023">
            <v>95.79</v>
          </cell>
          <cell r="C2023">
            <v>3.67</v>
          </cell>
          <cell r="D2023">
            <v>5.97</v>
          </cell>
        </row>
        <row r="2024">
          <cell r="A2024" t="str">
            <v>A05923</v>
          </cell>
          <cell r="B2024">
            <v>2.29</v>
          </cell>
          <cell r="C2024">
            <v>0.99</v>
          </cell>
          <cell r="D2024">
            <v>1.99</v>
          </cell>
        </row>
        <row r="2025">
          <cell r="A2025" t="str">
            <v>A05988</v>
          </cell>
          <cell r="B2025">
            <v>84.62</v>
          </cell>
          <cell r="C2025">
            <v>3.11</v>
          </cell>
          <cell r="D2025">
            <v>4.71</v>
          </cell>
        </row>
        <row r="2026">
          <cell r="A2026" t="str">
            <v>A06049</v>
          </cell>
          <cell r="B2026">
            <v>1.31</v>
          </cell>
          <cell r="C2026">
            <v>0.74</v>
          </cell>
          <cell r="D2026">
            <v>1.8</v>
          </cell>
        </row>
        <row r="2027">
          <cell r="A2027" t="str">
            <v>A06095</v>
          </cell>
          <cell r="B2027">
            <v>94.07</v>
          </cell>
          <cell r="C2027">
            <v>3.22</v>
          </cell>
          <cell r="D2027">
            <v>5.19</v>
          </cell>
        </row>
        <row r="2028">
          <cell r="A2028" t="str">
            <v>A06107</v>
          </cell>
          <cell r="B2028">
            <v>82.74</v>
          </cell>
          <cell r="C2028">
            <v>3.96</v>
          </cell>
          <cell r="D2028">
            <v>5.32</v>
          </cell>
        </row>
        <row r="2029">
          <cell r="A2029" t="str">
            <v>A06121</v>
          </cell>
          <cell r="B2029">
            <v>82.53</v>
          </cell>
          <cell r="C2029">
            <v>3.58</v>
          </cell>
          <cell r="D2029">
            <v>4.29</v>
          </cell>
        </row>
        <row r="2030">
          <cell r="A2030" t="str">
            <v>A06352</v>
          </cell>
          <cell r="B2030">
            <v>82.47</v>
          </cell>
          <cell r="C2030">
            <v>3.6</v>
          </cell>
          <cell r="D2030">
            <v>5.0599999999999996</v>
          </cell>
        </row>
        <row r="2031">
          <cell r="A2031" t="str">
            <v>A06353</v>
          </cell>
          <cell r="B2031">
            <v>69.08</v>
          </cell>
          <cell r="C2031">
            <v>3.58</v>
          </cell>
          <cell r="D2031">
            <v>4.29</v>
          </cell>
        </row>
        <row r="2032">
          <cell r="A2032" t="str">
            <v>A06377B</v>
          </cell>
          <cell r="B2032">
            <v>4.95</v>
          </cell>
          <cell r="C2032">
            <v>5.15</v>
          </cell>
          <cell r="D2032">
            <v>7.53</v>
          </cell>
        </row>
        <row r="2033">
          <cell r="A2033" t="str">
            <v>A06398B</v>
          </cell>
          <cell r="B2033">
            <v>10.3</v>
          </cell>
          <cell r="C2033">
            <v>7.07</v>
          </cell>
          <cell r="D2033">
            <v>11.63</v>
          </cell>
        </row>
        <row r="2034">
          <cell r="A2034" t="str">
            <v>A06429</v>
          </cell>
          <cell r="B2034">
            <v>2.41</v>
          </cell>
          <cell r="C2034">
            <v>1.02</v>
          </cell>
          <cell r="D2034">
            <v>1.48</v>
          </cell>
        </row>
        <row r="2035">
          <cell r="A2035" t="str">
            <v>A06473</v>
          </cell>
          <cell r="B2035">
            <v>83.09</v>
          </cell>
          <cell r="C2035">
            <v>3.21</v>
          </cell>
          <cell r="D2035">
            <v>4.88</v>
          </cell>
        </row>
        <row r="2036">
          <cell r="A2036" t="str">
            <v>A06476</v>
          </cell>
          <cell r="B2036">
            <v>83.27</v>
          </cell>
          <cell r="C2036">
            <v>3.72</v>
          </cell>
          <cell r="D2036">
            <v>5.25</v>
          </cell>
        </row>
        <row r="2037">
          <cell r="A2037" t="str">
            <v>A06587</v>
          </cell>
          <cell r="B2037">
            <v>2.2200000000000002</v>
          </cell>
          <cell r="C2037">
            <v>1.1100000000000001</v>
          </cell>
          <cell r="D2037">
            <v>2.02</v>
          </cell>
        </row>
        <row r="2038">
          <cell r="A2038" t="str">
            <v>A06638</v>
          </cell>
          <cell r="B2038">
            <v>8.9700000000000006</v>
          </cell>
          <cell r="C2038">
            <v>6.46</v>
          </cell>
          <cell r="D2038">
            <v>7.63</v>
          </cell>
        </row>
        <row r="2039">
          <cell r="A2039" t="str">
            <v>A06639</v>
          </cell>
          <cell r="B2039">
            <v>12.22</v>
          </cell>
          <cell r="C2039">
            <v>8.49</v>
          </cell>
          <cell r="D2039">
            <v>8.68</v>
          </cell>
        </row>
        <row r="2040">
          <cell r="A2040" t="str">
            <v>A06640</v>
          </cell>
          <cell r="B2040">
            <v>7.3</v>
          </cell>
          <cell r="C2040">
            <v>7.16</v>
          </cell>
          <cell r="D2040">
            <v>7.74</v>
          </cell>
        </row>
        <row r="2041">
          <cell r="A2041" t="str">
            <v>A06709</v>
          </cell>
          <cell r="B2041">
            <v>1.26</v>
          </cell>
          <cell r="C2041">
            <v>1.37</v>
          </cell>
          <cell r="D2041">
            <v>2.0099999999999998</v>
          </cell>
        </row>
        <row r="2042">
          <cell r="A2042" t="str">
            <v>A06728</v>
          </cell>
          <cell r="B2042">
            <v>11.68</v>
          </cell>
          <cell r="C2042">
            <v>8.17</v>
          </cell>
          <cell r="D2042">
            <v>12.46</v>
          </cell>
        </row>
        <row r="2043">
          <cell r="A2043" t="str">
            <v>A06730</v>
          </cell>
          <cell r="B2043">
            <v>9.7200000000000006</v>
          </cell>
          <cell r="C2043">
            <v>5.64</v>
          </cell>
          <cell r="D2043">
            <v>8.3000000000000007</v>
          </cell>
        </row>
        <row r="2044">
          <cell r="A2044" t="str">
            <v>A06732</v>
          </cell>
          <cell r="B2044">
            <v>1.36</v>
          </cell>
          <cell r="C2044">
            <v>1.61</v>
          </cell>
          <cell r="D2044">
            <v>2.42</v>
          </cell>
        </row>
        <row r="2045">
          <cell r="A2045" t="str">
            <v>A06751</v>
          </cell>
          <cell r="B2045">
            <v>6.52</v>
          </cell>
          <cell r="C2045">
            <v>6.68</v>
          </cell>
          <cell r="D2045">
            <v>10</v>
          </cell>
        </row>
        <row r="2046">
          <cell r="A2046" t="str">
            <v>A06788B</v>
          </cell>
          <cell r="B2046">
            <v>4.18</v>
          </cell>
          <cell r="C2046">
            <v>2.0099999999999998</v>
          </cell>
          <cell r="D2046">
            <v>3.74</v>
          </cell>
        </row>
        <row r="2047">
          <cell r="A2047" t="str">
            <v>A06791B</v>
          </cell>
          <cell r="B2047">
            <v>4.18</v>
          </cell>
          <cell r="C2047">
            <v>2.0099999999999998</v>
          </cell>
          <cell r="D2047">
            <v>3.74</v>
          </cell>
        </row>
        <row r="2048">
          <cell r="A2048" t="str">
            <v>A06797B</v>
          </cell>
          <cell r="B2048">
            <v>4.76</v>
          </cell>
          <cell r="C2048">
            <v>2.25</v>
          </cell>
          <cell r="D2048">
            <v>3.82</v>
          </cell>
        </row>
        <row r="2049">
          <cell r="A2049" t="str">
            <v>A06800B</v>
          </cell>
          <cell r="B2049">
            <v>4.75</v>
          </cell>
          <cell r="C2049">
            <v>2.25</v>
          </cell>
          <cell r="D2049">
            <v>3.82</v>
          </cell>
        </row>
        <row r="2050">
          <cell r="A2050" t="str">
            <v>A06817B</v>
          </cell>
          <cell r="B2050">
            <v>1.99</v>
          </cell>
          <cell r="C2050">
            <v>1.81</v>
          </cell>
          <cell r="D2050">
            <v>3.21</v>
          </cell>
        </row>
        <row r="2051">
          <cell r="A2051" t="str">
            <v>A06866Z</v>
          </cell>
          <cell r="B2051">
            <v>3.44</v>
          </cell>
          <cell r="C2051">
            <v>0.73</v>
          </cell>
          <cell r="D2051">
            <v>1.32</v>
          </cell>
        </row>
        <row r="2052">
          <cell r="A2052" t="str">
            <v>A06867Z</v>
          </cell>
          <cell r="B2052">
            <v>2.58</v>
          </cell>
          <cell r="C2052">
            <v>0.66</v>
          </cell>
          <cell r="D2052">
            <v>1.23</v>
          </cell>
        </row>
        <row r="2053">
          <cell r="A2053" t="str">
            <v>A06872Z</v>
          </cell>
          <cell r="B2053">
            <v>4.8</v>
          </cell>
          <cell r="C2053">
            <v>0.76</v>
          </cell>
          <cell r="D2053">
            <v>1.08</v>
          </cell>
        </row>
        <row r="2054">
          <cell r="A2054" t="str">
            <v>A06877Z</v>
          </cell>
          <cell r="B2054">
            <v>2.67</v>
          </cell>
          <cell r="C2054">
            <v>1.1000000000000001</v>
          </cell>
          <cell r="D2054">
            <v>1.67</v>
          </cell>
        </row>
        <row r="2055">
          <cell r="A2055" t="str">
            <v>A06935</v>
          </cell>
          <cell r="B2055">
            <v>3.76</v>
          </cell>
          <cell r="C2055">
            <v>4.0599999999999996</v>
          </cell>
          <cell r="D2055">
            <v>6.31</v>
          </cell>
        </row>
        <row r="2056">
          <cell r="A2056" t="str">
            <v>A06941</v>
          </cell>
          <cell r="B2056">
            <v>3.6</v>
          </cell>
          <cell r="C2056">
            <v>4.57</v>
          </cell>
          <cell r="D2056">
            <v>7.06</v>
          </cell>
        </row>
        <row r="2057">
          <cell r="A2057" t="str">
            <v>A07039B</v>
          </cell>
          <cell r="B2057">
            <v>9.1999999999999993</v>
          </cell>
          <cell r="C2057">
            <v>5.5</v>
          </cell>
          <cell r="D2057">
            <v>7.2</v>
          </cell>
        </row>
        <row r="2058">
          <cell r="A2058" t="str">
            <v>A07048B</v>
          </cell>
          <cell r="B2058">
            <v>12.99</v>
          </cell>
          <cell r="C2058">
            <v>6.43</v>
          </cell>
          <cell r="D2058">
            <v>8.42</v>
          </cell>
        </row>
        <row r="2059">
          <cell r="A2059" t="str">
            <v>A07052B</v>
          </cell>
          <cell r="B2059">
            <v>10.91</v>
          </cell>
          <cell r="C2059">
            <v>6.2</v>
          </cell>
          <cell r="D2059">
            <v>8.0399999999999991</v>
          </cell>
        </row>
        <row r="2060">
          <cell r="A2060" t="str">
            <v>A07054B</v>
          </cell>
          <cell r="B2060">
            <v>9.89</v>
          </cell>
          <cell r="C2060">
            <v>6.05</v>
          </cell>
          <cell r="D2060">
            <v>7.77</v>
          </cell>
        </row>
        <row r="2061">
          <cell r="A2061" t="str">
            <v>A07062B</v>
          </cell>
          <cell r="B2061">
            <v>9.1300000000000008</v>
          </cell>
          <cell r="C2061">
            <v>6.08</v>
          </cell>
          <cell r="D2061">
            <v>7.83</v>
          </cell>
        </row>
        <row r="2062">
          <cell r="A2062" t="str">
            <v>A07065B</v>
          </cell>
          <cell r="B2062">
            <v>9.25</v>
          </cell>
          <cell r="C2062">
            <v>5.64</v>
          </cell>
          <cell r="D2062">
            <v>7.37</v>
          </cell>
        </row>
        <row r="2063">
          <cell r="A2063" t="str">
            <v>A07067B</v>
          </cell>
          <cell r="B2063">
            <v>9.9</v>
          </cell>
          <cell r="C2063">
            <v>5.92</v>
          </cell>
          <cell r="D2063">
            <v>7.63</v>
          </cell>
        </row>
        <row r="2064">
          <cell r="A2064" t="str">
            <v>A07068B</v>
          </cell>
          <cell r="B2064">
            <v>9.6</v>
          </cell>
          <cell r="C2064">
            <v>6.27</v>
          </cell>
          <cell r="D2064">
            <v>8.0500000000000007</v>
          </cell>
        </row>
        <row r="2065">
          <cell r="A2065" t="str">
            <v>A07091</v>
          </cell>
          <cell r="B2065">
            <v>7.16</v>
          </cell>
          <cell r="C2065">
            <v>3.73</v>
          </cell>
          <cell r="D2065">
            <v>5.79</v>
          </cell>
        </row>
        <row r="2066">
          <cell r="A2066" t="str">
            <v>A07093</v>
          </cell>
          <cell r="B2066">
            <v>7.16</v>
          </cell>
          <cell r="C2066">
            <v>3.59</v>
          </cell>
          <cell r="D2066">
            <v>5.69</v>
          </cell>
        </row>
        <row r="2067">
          <cell r="A2067" t="str">
            <v>A07102</v>
          </cell>
          <cell r="B2067">
            <v>21.22</v>
          </cell>
          <cell r="C2067">
            <v>3.85</v>
          </cell>
          <cell r="D2067">
            <v>5.94</v>
          </cell>
        </row>
        <row r="2068">
          <cell r="A2068" t="str">
            <v>A07104</v>
          </cell>
          <cell r="B2068">
            <v>6.98</v>
          </cell>
          <cell r="C2068">
            <v>3.39</v>
          </cell>
          <cell r="D2068">
            <v>5.41</v>
          </cell>
        </row>
        <row r="2069">
          <cell r="A2069" t="str">
            <v>A07113B</v>
          </cell>
          <cell r="B2069">
            <v>7.33</v>
          </cell>
          <cell r="C2069">
            <v>4.18</v>
          </cell>
          <cell r="D2069">
            <v>6.33</v>
          </cell>
        </row>
        <row r="2070">
          <cell r="A2070" t="str">
            <v>A07158</v>
          </cell>
          <cell r="B2070">
            <v>82.66</v>
          </cell>
          <cell r="C2070">
            <v>3.52</v>
          </cell>
          <cell r="D2070">
            <v>5.15</v>
          </cell>
        </row>
        <row r="2071">
          <cell r="A2071" t="str">
            <v>A07206</v>
          </cell>
          <cell r="B2071">
            <v>5.49</v>
          </cell>
          <cell r="C2071">
            <v>3.8</v>
          </cell>
          <cell r="D2071">
            <v>5.83</v>
          </cell>
        </row>
        <row r="2072">
          <cell r="A2072" t="str">
            <v>A07234B</v>
          </cell>
          <cell r="B2072">
            <v>11.63</v>
          </cell>
          <cell r="C2072">
            <v>7.19</v>
          </cell>
          <cell r="D2072">
            <v>9.77</v>
          </cell>
        </row>
        <row r="2073">
          <cell r="A2073" t="str">
            <v>A07235B</v>
          </cell>
          <cell r="B2073">
            <v>15.14</v>
          </cell>
          <cell r="C2073">
            <v>7.61</v>
          </cell>
          <cell r="D2073">
            <v>10.220000000000001</v>
          </cell>
        </row>
        <row r="2074">
          <cell r="A2074" t="str">
            <v>A07335C</v>
          </cell>
          <cell r="B2074">
            <v>8.9700000000000006</v>
          </cell>
          <cell r="C2074">
            <v>8.3800000000000008</v>
          </cell>
          <cell r="D2074">
            <v>8.56</v>
          </cell>
        </row>
        <row r="2075">
          <cell r="A2075" t="str">
            <v>A07409</v>
          </cell>
          <cell r="B2075">
            <v>23.67</v>
          </cell>
          <cell r="C2075">
            <v>2.88</v>
          </cell>
          <cell r="D2075">
            <v>4.75</v>
          </cell>
        </row>
        <row r="2076">
          <cell r="A2076" t="str">
            <v>A07441</v>
          </cell>
          <cell r="B2076">
            <v>95.44</v>
          </cell>
          <cell r="C2076">
            <v>3.86</v>
          </cell>
          <cell r="D2076">
            <v>5.89</v>
          </cell>
        </row>
        <row r="2077">
          <cell r="A2077" t="str">
            <v>A07460</v>
          </cell>
          <cell r="B2077">
            <v>1.63</v>
          </cell>
          <cell r="C2077">
            <v>0.69</v>
          </cell>
          <cell r="D2077">
            <v>1.28</v>
          </cell>
        </row>
        <row r="2078">
          <cell r="A2078" t="str">
            <v>A07481</v>
          </cell>
          <cell r="B2078">
            <v>2.4</v>
          </cell>
          <cell r="C2078">
            <v>1.46</v>
          </cell>
          <cell r="D2078">
            <v>2.12</v>
          </cell>
        </row>
        <row r="2079">
          <cell r="A2079" t="str">
            <v>A07486B</v>
          </cell>
          <cell r="B2079">
            <v>8.02</v>
          </cell>
          <cell r="C2079">
            <v>3.46</v>
          </cell>
          <cell r="D2079">
            <v>5.86</v>
          </cell>
        </row>
        <row r="2080">
          <cell r="A2080" t="str">
            <v>A07487B</v>
          </cell>
          <cell r="B2080">
            <v>9.0500000000000007</v>
          </cell>
          <cell r="C2080">
            <v>5.58</v>
          </cell>
          <cell r="D2080">
            <v>7.51</v>
          </cell>
        </row>
        <row r="2081">
          <cell r="A2081" t="str">
            <v>A07488B</v>
          </cell>
          <cell r="B2081">
            <v>9.9700000000000006</v>
          </cell>
          <cell r="C2081">
            <v>5.56</v>
          </cell>
          <cell r="D2081">
            <v>7.43</v>
          </cell>
        </row>
        <row r="2082">
          <cell r="A2082" t="str">
            <v>A07505B</v>
          </cell>
          <cell r="B2082">
            <v>6.42</v>
          </cell>
          <cell r="C2082">
            <v>6.49</v>
          </cell>
          <cell r="D2082">
            <v>9.4499999999999993</v>
          </cell>
        </row>
        <row r="2083">
          <cell r="A2083" t="str">
            <v>A07509B</v>
          </cell>
          <cell r="B2083">
            <v>22.06</v>
          </cell>
          <cell r="C2083">
            <v>3.97</v>
          </cell>
          <cell r="D2083">
            <v>6.11</v>
          </cell>
        </row>
        <row r="2084">
          <cell r="A2084" t="str">
            <v>K10003807F</v>
          </cell>
          <cell r="B2084">
            <v>15</v>
          </cell>
          <cell r="C2084">
            <v>0</v>
          </cell>
          <cell r="D2084">
            <v>0</v>
          </cell>
        </row>
        <row r="2085">
          <cell r="A2085" t="str">
            <v>K10004008F</v>
          </cell>
          <cell r="B2085">
            <v>15</v>
          </cell>
          <cell r="C2085">
            <v>0</v>
          </cell>
          <cell r="D2085">
            <v>0</v>
          </cell>
        </row>
        <row r="2086">
          <cell r="A2086" t="str">
            <v>K100040T6F</v>
          </cell>
          <cell r="B2086">
            <v>15</v>
          </cell>
          <cell r="C2086">
            <v>0</v>
          </cell>
          <cell r="D2086">
            <v>0</v>
          </cell>
        </row>
        <row r="2087">
          <cell r="A2087" t="str">
            <v>K100040T8F</v>
          </cell>
          <cell r="B2087">
            <v>15</v>
          </cell>
          <cell r="C2087">
            <v>0</v>
          </cell>
          <cell r="D2087">
            <v>0</v>
          </cell>
        </row>
        <row r="2088">
          <cell r="A2088" t="str">
            <v>K10004508F</v>
          </cell>
          <cell r="B2088">
            <v>10</v>
          </cell>
          <cell r="C2088">
            <v>0</v>
          </cell>
          <cell r="D2088">
            <v>0</v>
          </cell>
        </row>
        <row r="2089">
          <cell r="A2089" t="str">
            <v>K100045T7F</v>
          </cell>
          <cell r="B2089">
            <v>15</v>
          </cell>
          <cell r="C2089">
            <v>0</v>
          </cell>
          <cell r="D2089">
            <v>0</v>
          </cell>
        </row>
        <row r="2090">
          <cell r="A2090" t="str">
            <v>K100045T9F</v>
          </cell>
          <cell r="B2090">
            <v>15</v>
          </cell>
          <cell r="C2090">
            <v>0</v>
          </cell>
          <cell r="D2090">
            <v>0</v>
          </cell>
        </row>
        <row r="2091">
          <cell r="A2091" t="str">
            <v>K10005005F</v>
          </cell>
          <cell r="B2091">
            <v>10.5</v>
          </cell>
          <cell r="C2091">
            <v>0</v>
          </cell>
          <cell r="D2091">
            <v>0</v>
          </cell>
        </row>
        <row r="2092">
          <cell r="A2092" t="str">
            <v>K10005008F</v>
          </cell>
          <cell r="B2092">
            <v>10.5</v>
          </cell>
          <cell r="C2092">
            <v>0</v>
          </cell>
          <cell r="D2092">
            <v>0</v>
          </cell>
        </row>
        <row r="2093">
          <cell r="A2093" t="str">
            <v>K10005010F</v>
          </cell>
          <cell r="B2093">
            <v>10.5</v>
          </cell>
          <cell r="C2093">
            <v>0</v>
          </cell>
          <cell r="D2093">
            <v>0</v>
          </cell>
        </row>
        <row r="2094">
          <cell r="A2094" t="str">
            <v>K1000501TF</v>
          </cell>
          <cell r="B2094">
            <v>15</v>
          </cell>
          <cell r="C2094">
            <v>0</v>
          </cell>
          <cell r="D2094">
            <v>0</v>
          </cell>
        </row>
        <row r="2095">
          <cell r="A2095" t="str">
            <v>K100050T8F</v>
          </cell>
          <cell r="B2095">
            <v>15</v>
          </cell>
          <cell r="C2095">
            <v>0</v>
          </cell>
          <cell r="D2095">
            <v>0</v>
          </cell>
        </row>
        <row r="2096">
          <cell r="A2096" t="str">
            <v>K10006016F</v>
          </cell>
          <cell r="B2096">
            <v>15</v>
          </cell>
          <cell r="C2096">
            <v>0</v>
          </cell>
          <cell r="D2096">
            <v>0</v>
          </cell>
        </row>
        <row r="2097">
          <cell r="A2097" t="str">
            <v>KE1000505F</v>
          </cell>
          <cell r="B2097">
            <v>10.5</v>
          </cell>
          <cell r="C2097">
            <v>0</v>
          </cell>
          <cell r="D2097">
            <v>0</v>
          </cell>
        </row>
        <row r="2098">
          <cell r="A2098" t="str">
            <v>KE1000506F</v>
          </cell>
          <cell r="B2098">
            <v>10.5</v>
          </cell>
          <cell r="C2098">
            <v>0</v>
          </cell>
          <cell r="D2098">
            <v>0</v>
          </cell>
        </row>
        <row r="2099">
          <cell r="A2099" t="str">
            <v>KE1000508F</v>
          </cell>
          <cell r="B2099">
            <v>10.5</v>
          </cell>
          <cell r="C2099">
            <v>0</v>
          </cell>
          <cell r="D2099">
            <v>0</v>
          </cell>
        </row>
        <row r="2100">
          <cell r="A2100" t="str">
            <v>MC0005TF</v>
          </cell>
          <cell r="B2100">
            <v>23</v>
          </cell>
          <cell r="C2100">
            <v>0</v>
          </cell>
          <cell r="D2100">
            <v>0</v>
          </cell>
        </row>
        <row r="2101">
          <cell r="A2101" t="str">
            <v>PF135274J4</v>
          </cell>
          <cell r="B2101">
            <v>6.82</v>
          </cell>
          <cell r="C2101">
            <v>0.38</v>
          </cell>
          <cell r="D2101">
            <v>1.1499999999999999</v>
          </cell>
        </row>
        <row r="2102">
          <cell r="A2102" t="str">
            <v>PF136058J1</v>
          </cell>
          <cell r="B2102">
            <v>3.04</v>
          </cell>
          <cell r="C2102">
            <v>0.37</v>
          </cell>
          <cell r="D2102">
            <v>1.1599999999999999</v>
          </cell>
        </row>
        <row r="2103">
          <cell r="A2103" t="str">
            <v>PF136262J4</v>
          </cell>
          <cell r="B2103">
            <v>7.82</v>
          </cell>
          <cell r="C2103">
            <v>0.33</v>
          </cell>
          <cell r="D2103">
            <v>1</v>
          </cell>
        </row>
        <row r="2104">
          <cell r="A2104" t="str">
            <v>PF136272J0</v>
          </cell>
          <cell r="B2104">
            <v>7.65</v>
          </cell>
          <cell r="C2104">
            <v>0.53</v>
          </cell>
          <cell r="D2104">
            <v>1.43</v>
          </cell>
        </row>
        <row r="2105">
          <cell r="A2105" t="str">
            <v>PF136272J2</v>
          </cell>
          <cell r="B2105">
            <v>7.91</v>
          </cell>
          <cell r="C2105">
            <v>0.55000000000000004</v>
          </cell>
          <cell r="D2105">
            <v>1.48</v>
          </cell>
        </row>
        <row r="2106">
          <cell r="A2106" t="str">
            <v>PF13627862</v>
          </cell>
          <cell r="B2106">
            <v>8.98</v>
          </cell>
          <cell r="C2106">
            <v>0.31</v>
          </cell>
          <cell r="D2106">
            <v>0.95</v>
          </cell>
        </row>
        <row r="2107">
          <cell r="A2107" t="str">
            <v>PF250236J0</v>
          </cell>
          <cell r="B2107">
            <v>6.17</v>
          </cell>
          <cell r="C2107">
            <v>0.32</v>
          </cell>
          <cell r="D2107">
            <v>0.98</v>
          </cell>
        </row>
        <row r="2108">
          <cell r="A2108" t="str">
            <v>PF250256J0</v>
          </cell>
          <cell r="B2108">
            <v>4.3099999999999996</v>
          </cell>
          <cell r="C2108">
            <v>0.34</v>
          </cell>
          <cell r="D2108">
            <v>1.06</v>
          </cell>
        </row>
        <row r="2109">
          <cell r="A2109" t="str">
            <v>PF25045000</v>
          </cell>
          <cell r="B2109">
            <v>6.8</v>
          </cell>
          <cell r="C2109">
            <v>0.38</v>
          </cell>
          <cell r="D2109">
            <v>1.2</v>
          </cell>
        </row>
        <row r="2110">
          <cell r="A2110" t="str">
            <v>T313810100</v>
          </cell>
          <cell r="B2110">
            <v>3.24</v>
          </cell>
          <cell r="C2110">
            <v>0</v>
          </cell>
          <cell r="D2110">
            <v>0.08</v>
          </cell>
        </row>
        <row r="2111">
          <cell r="A2111" t="str">
            <v>T9433220MF</v>
          </cell>
          <cell r="B2111">
            <v>3.6</v>
          </cell>
          <cell r="C2111">
            <v>0</v>
          </cell>
          <cell r="D2111">
            <v>0</v>
          </cell>
        </row>
        <row r="2112">
          <cell r="A2112" t="str">
            <v>Z0002257MF</v>
          </cell>
          <cell r="B2112">
            <v>28.2</v>
          </cell>
          <cell r="C2112">
            <v>0</v>
          </cell>
          <cell r="D2112">
            <v>0</v>
          </cell>
        </row>
        <row r="2113">
          <cell r="A2113" t="str">
            <v>Z0002257NF</v>
          </cell>
          <cell r="B2113">
            <v>28.2</v>
          </cell>
          <cell r="C2113">
            <v>0</v>
          </cell>
          <cell r="D2113">
            <v>0</v>
          </cell>
        </row>
      </sheetData>
      <sheetData sheetId="18"/>
    </sheetDataSet>
  </externalBook>
</externalLink>
</file>

<file path=xl/externalLinks/externalLink49.xml><?xml version="1.0" encoding="utf-8"?>
<externalLink xmlns:r="http://schemas.openxmlformats.org/officeDocument/2006/relationships" xmlns="http://schemas.openxmlformats.org/spreadsheetml/2006/main">
  <externalBook r:id="rId0">
    <sheetNames>
      <sheetName val="MOD rates EPR general norms"/>
      <sheetName val="DL working time EPR norms"/>
      <sheetName val="DL costs rates 2003 EPR v1"/>
      <sheetName val="DL working time 2003 EPR v1 (2)"/>
      <sheetName val="variable1"/>
      <sheetName val="variable 1"/>
      <sheetName val="DL working time 2003 EPRv1 PRT"/>
      <sheetName val="DL working time 2003 EPR v1 PRT"/>
      <sheetName val="DL working time 2003 EPR v1"/>
      <sheetName val="DL costs rates 2003 EPR draft"/>
      <sheetName val="DL working time 2003"/>
      <sheetName val="DL working time 2003 EPR draft2"/>
      <sheetName val="MOD rates 2003 1st calculation"/>
      <sheetName val="DL costs and rates 2003"/>
      <sheetName val="DL working time 2003 EPR draft1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NOM</v>
          </cell>
        </row>
        <row r="2">
          <cell r="A2" t="str">
            <v>PIE</v>
          </cell>
        </row>
        <row r="3">
          <cell r="A3" t="str">
            <v>BRI</v>
          </cell>
        </row>
        <row r="4">
          <cell r="A4" t="str">
            <v>CER</v>
          </cell>
        </row>
        <row r="5">
          <cell r="A5" t="str">
            <v>NGV</v>
          </cell>
        </row>
        <row r="6">
          <cell r="A6" t="str">
            <v>SNR</v>
          </cell>
        </row>
        <row r="7">
          <cell r="A7" t="str">
            <v>SHG</v>
          </cell>
        </row>
        <row r="8">
          <cell r="A8" t="str">
            <v>GEI</v>
          </cell>
        </row>
        <row r="9">
          <cell r="A9" t="str">
            <v>UNN</v>
          </cell>
        </row>
        <row r="10">
          <cell r="A10" t="str">
            <v>BAR</v>
          </cell>
        </row>
        <row r="11">
          <cell r="A11" t="str">
            <v>MAD</v>
          </cell>
        </row>
        <row r="12">
          <cell r="A12" t="str">
            <v>SJM</v>
          </cell>
        </row>
        <row r="13">
          <cell r="A13" t="str">
            <v>GRO</v>
          </cell>
        </row>
        <row r="14">
          <cell r="A14" t="str">
            <v>WAL</v>
          </cell>
        </row>
        <row r="15">
          <cell r="A15" t="str">
            <v>FRA</v>
          </cell>
        </row>
        <row r="16">
          <cell r="A16" t="str">
            <v>GER</v>
          </cell>
        </row>
        <row r="17">
          <cell r="A17" t="str">
            <v>SPA</v>
          </cell>
        </row>
        <row r="18">
          <cell r="A18" t="str">
            <v>POL</v>
          </cell>
        </row>
        <row r="19">
          <cell r="A19" t="str">
            <v>DIV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0.xml><?xml version="1.0" encoding="utf-8"?>
<externalLink xmlns:r="http://schemas.openxmlformats.org/officeDocument/2006/relationships" xmlns="http://schemas.openxmlformats.org/spreadsheetml/2006/main">
  <externalBook r:id="rId0">
    <sheetNames>
      <sheetName val="31.12.03"/>
      <sheetName val="Accounting 12.03"/>
      <sheetName val="30.06.04"/>
      <sheetName val="Accounting 06.04"/>
      <sheetName val="Summary"/>
    </sheetNames>
    <sheetDataSet>
      <sheetData sheetId="0" refreshError="1">
        <row r="20">
          <cell r="N20">
            <v>50027.000000000786</v>
          </cell>
          <cell r="O20">
            <v>-378145.45946666843</v>
          </cell>
        </row>
        <row r="31">
          <cell r="N31">
            <v>423123.0000000021</v>
          </cell>
          <cell r="O31">
            <v>-86316.781668748677</v>
          </cell>
        </row>
        <row r="50">
          <cell r="N50">
            <v>507118.50000000058</v>
          </cell>
          <cell r="O50">
            <v>-3852.6849413042219</v>
          </cell>
        </row>
        <row r="54">
          <cell r="N54">
            <v>301364.40000000037</v>
          </cell>
          <cell r="O54">
            <v>-6140.0770673900843</v>
          </cell>
        </row>
        <row r="58">
          <cell r="N58">
            <v>425109.00000000047</v>
          </cell>
          <cell r="O58">
            <v>-4752.4684913022211</v>
          </cell>
        </row>
        <row r="62">
          <cell r="N62">
            <v>378810.00000000047</v>
          </cell>
          <cell r="O62">
            <v>1178.9035714285565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:r="http://schemas.openxmlformats.org/officeDocument/2006/relationships" xmlns="http://schemas.openxmlformats.org/spreadsheetml/2006/main">
  <externalBook r:id="rId0">
    <sheetNames>
      <sheetName val="Conception"/>
      <sheetName val="Summary"/>
      <sheetName val="Page 22"/>
      <sheetName val="Page 23"/>
      <sheetName val="Page 24"/>
      <sheetName val="Page 25"/>
      <sheetName val="Page 26"/>
      <sheetName val="Page 27"/>
      <sheetName val="Page 28 "/>
      <sheetName val="Page 29"/>
      <sheetName val="Page 30"/>
      <sheetName val="Page 31"/>
      <sheetName val="Page 32"/>
      <sheetName val="Page 33-A"/>
      <sheetName val="Page 33-B"/>
      <sheetName val="Page 34"/>
      <sheetName val="Page 35"/>
      <sheetName val="Page 36"/>
      <sheetName val="Page 37"/>
      <sheetName val="Page 38"/>
      <sheetName val="Page 39"/>
      <sheetName val="Page 40"/>
      <sheetName val="Page 41"/>
      <sheetName val="Page 42"/>
      <sheetName val="Page 43"/>
      <sheetName val="Page 44"/>
    </sheetNames>
    <sheetDataSet>
      <sheetData sheetId="0" refreshError="1"/>
      <sheetData sheetId="1" refreshError="1"/>
      <sheetData sheetId="2" refreshError="1"/>
      <sheetData sheetId="3" refreshError="1">
        <row r="22">
          <cell r="D22" t="str">
            <v>VW240</v>
          </cell>
          <cell r="E22" t="str">
            <v>AB2</v>
          </cell>
          <cell r="F22" t="str">
            <v>PQ35</v>
          </cell>
          <cell r="G22" t="str">
            <v>B6</v>
          </cell>
          <cell r="H22" t="str">
            <v>B6 Cabrio</v>
          </cell>
          <cell r="I22" t="str">
            <v>D1</v>
          </cell>
          <cell r="J22" t="str">
            <v>U222</v>
          </cell>
          <cell r="K22" t="str">
            <v>GMT 360</v>
          </cell>
          <cell r="L22" t="str">
            <v>Epsilon Wide &amp; Narrow</v>
          </cell>
          <cell r="M22" t="str">
            <v>Honda HJ/MG</v>
          </cell>
          <cell r="N22" t="str">
            <v>E60/65</v>
          </cell>
        </row>
        <row r="25">
          <cell r="D25" t="str">
            <v>VW240</v>
          </cell>
          <cell r="E25" t="str">
            <v>AB2</v>
          </cell>
          <cell r="F25" t="str">
            <v>PQ35</v>
          </cell>
          <cell r="G25" t="str">
            <v>B6</v>
          </cell>
          <cell r="H25" t="str">
            <v>B6 Cabrio</v>
          </cell>
          <cell r="I25" t="str">
            <v>D1</v>
          </cell>
          <cell r="J25" t="str">
            <v>U222</v>
          </cell>
          <cell r="K25" t="str">
            <v>GMT 360</v>
          </cell>
          <cell r="L25" t="str">
            <v>Epsilon Wide &amp; Narrow</v>
          </cell>
          <cell r="M25" t="str">
            <v>Honda HJ/MG</v>
          </cell>
          <cell r="N25" t="str">
            <v>E60/65</v>
          </cell>
        </row>
        <row r="26">
          <cell r="C26" t="str">
            <v>Actual</v>
          </cell>
          <cell r="D26">
            <v>0</v>
          </cell>
          <cell r="E26">
            <v>2.37</v>
          </cell>
          <cell r="F26">
            <v>3.6</v>
          </cell>
          <cell r="G26">
            <v>14.4</v>
          </cell>
          <cell r="H26">
            <v>10.6</v>
          </cell>
          <cell r="I26">
            <v>12.58</v>
          </cell>
          <cell r="J26">
            <v>17.350000000000001</v>
          </cell>
          <cell r="K26">
            <v>11.88</v>
          </cell>
          <cell r="L26">
            <v>13.45</v>
          </cell>
          <cell r="M26">
            <v>2.9</v>
          </cell>
          <cell r="N26">
            <v>26.94</v>
          </cell>
        </row>
        <row r="27">
          <cell r="C27" t="str">
            <v>Forecast</v>
          </cell>
          <cell r="D27">
            <v>1.8</v>
          </cell>
          <cell r="E27">
            <v>14.31</v>
          </cell>
          <cell r="F27">
            <v>17.8</v>
          </cell>
          <cell r="G27">
            <v>19.649999999999999</v>
          </cell>
          <cell r="H27">
            <v>15.7</v>
          </cell>
          <cell r="I27">
            <v>13</v>
          </cell>
          <cell r="J27">
            <v>18.23</v>
          </cell>
          <cell r="K27">
            <v>11.88</v>
          </cell>
          <cell r="L27">
            <v>27.04</v>
          </cell>
          <cell r="M27">
            <v>3.67</v>
          </cell>
          <cell r="N27">
            <v>32.57</v>
          </cell>
        </row>
        <row r="28">
          <cell r="C28" t="str">
            <v>Budget</v>
          </cell>
          <cell r="D28">
            <v>1.8</v>
          </cell>
          <cell r="G28">
            <v>11.2</v>
          </cell>
          <cell r="H28">
            <v>10.9</v>
          </cell>
          <cell r="I28">
            <v>9.6</v>
          </cell>
          <cell r="J28">
            <v>11.61</v>
          </cell>
          <cell r="K28">
            <v>6</v>
          </cell>
          <cell r="L28">
            <v>37.11</v>
          </cell>
          <cell r="M28">
            <v>1.48</v>
          </cell>
          <cell r="N28">
            <v>23.8</v>
          </cell>
        </row>
      </sheetData>
      <sheetData sheetId="4" refreshError="1">
        <row r="6">
          <cell r="B6" t="str">
            <v>Status</v>
          </cell>
          <cell r="C6" t="str">
            <v>Customer</v>
          </cell>
          <cell r="D6" t="str">
            <v>Program</v>
          </cell>
          <cell r="E6" t="str">
            <v>Product</v>
          </cell>
          <cell r="F6" t="str">
            <v>Problem description</v>
          </cell>
          <cell r="G6" t="str">
            <v>Action plan</v>
          </cell>
          <cell r="H6" t="str">
            <v>Date of  expected results</v>
          </cell>
          <cell r="I6" t="str">
            <v>Comment</v>
          </cell>
        </row>
        <row r="7">
          <cell r="B7" t="str">
            <v>C</v>
          </cell>
          <cell r="C7" t="str">
            <v>JCI</v>
          </cell>
          <cell r="D7" t="str">
            <v>GMT 360</v>
          </cell>
          <cell r="E7" t="str">
            <v>Adjusters</v>
          </cell>
          <cell r="F7" t="str">
            <v>Pricing Issues over:</v>
          </cell>
          <cell r="G7" t="str">
            <v>JCI and Faurecia have agreed to</v>
          </cell>
          <cell r="I7" t="str">
            <v>Meeting held with JCI  Executives.</v>
          </cell>
        </row>
        <row r="8">
          <cell r="F8" t="str">
            <v>- Disputed Program Change</v>
          </cell>
          <cell r="G8" t="str">
            <v>arbitrate disputed program change.</v>
          </cell>
          <cell r="H8" t="str">
            <v>Dec</v>
          </cell>
          <cell r="I8" t="str">
            <v>Future meeting scheduled in November</v>
          </cell>
        </row>
        <row r="9">
          <cell r="G9" t="str">
            <v>Potentially tie into LTA renoegotiation.</v>
          </cell>
          <cell r="I9" t="str">
            <v>for resolution.</v>
          </cell>
        </row>
        <row r="10">
          <cell r="B10" t="str">
            <v>C</v>
          </cell>
          <cell r="C10" t="str">
            <v>Visteon</v>
          </cell>
          <cell r="D10" t="str">
            <v>U222</v>
          </cell>
          <cell r="E10" t="str">
            <v>Seat Frames &amp; mechanisms</v>
          </cell>
          <cell r="F10" t="str">
            <v>- Open commercial pricing issues</v>
          </cell>
          <cell r="G10" t="str">
            <v>Continued active involment of mgmt.</v>
          </cell>
          <cell r="I10" t="str">
            <v>Most commercial issues closed.</v>
          </cell>
        </row>
        <row r="11">
          <cell r="F11" t="str">
            <v>- Visteon has indicated interest in</v>
          </cell>
          <cell r="G11" t="str">
            <v>&amp; Executive involvement.</v>
          </cell>
          <cell r="I11" t="str">
            <v>Final LTA terms being negotiated.</v>
          </cell>
        </row>
        <row r="12">
          <cell r="F12" t="str">
            <v>selling seating business</v>
          </cell>
          <cell r="H12">
            <v>37165</v>
          </cell>
        </row>
        <row r="14">
          <cell r="F14" t="str">
            <v>- Ford not accepting to pay for Product</v>
          </cell>
          <cell r="G14" t="str">
            <v>Provide Visteon support for changes</v>
          </cell>
        </row>
        <row r="15">
          <cell r="F15" t="str">
            <v>changes</v>
          </cell>
          <cell r="G15" t="str">
            <v>&amp; hold Visteon responsible for payment.</v>
          </cell>
        </row>
      </sheetData>
      <sheetData sheetId="5" refreshError="1">
        <row r="6">
          <cell r="Q6" t="str">
            <v>Comments</v>
          </cell>
        </row>
        <row r="8">
          <cell r="R8" t="str">
            <v>Reported savings are on a</v>
          </cell>
        </row>
        <row r="9">
          <cell r="R9" t="str">
            <v>full-year basis</v>
          </cell>
        </row>
        <row r="11">
          <cell r="R11" t="str">
            <v>Spherotech tools launched (plastic balls</v>
          </cell>
        </row>
        <row r="12">
          <cell r="R12" t="str">
            <v>bearings for slides). Economy of</v>
          </cell>
        </row>
        <row r="13">
          <cell r="R13" t="str">
            <v>15 Keuros/month from 02/2002</v>
          </cell>
        </row>
        <row r="15">
          <cell r="R15" t="str">
            <v>Transfer of tool form Garconnet to</v>
          </cell>
        </row>
        <row r="16">
          <cell r="R16" t="str">
            <v>Sanjo (stampings)</v>
          </cell>
        </row>
        <row r="27">
          <cell r="B27" t="str">
            <v>In million euros</v>
          </cell>
          <cell r="C27" t="str">
            <v>J</v>
          </cell>
          <cell r="D27" t="str">
            <v>F</v>
          </cell>
          <cell r="E27" t="str">
            <v>M</v>
          </cell>
          <cell r="F27" t="str">
            <v>A</v>
          </cell>
          <cell r="G27" t="str">
            <v>M</v>
          </cell>
          <cell r="H27" t="str">
            <v>J</v>
          </cell>
          <cell r="I27" t="str">
            <v>J</v>
          </cell>
          <cell r="J27" t="str">
            <v>A</v>
          </cell>
          <cell r="K27" t="str">
            <v>S</v>
          </cell>
          <cell r="L27" t="str">
            <v>O</v>
          </cell>
          <cell r="M27" t="str">
            <v>N</v>
          </cell>
          <cell r="N27" t="str">
            <v>D</v>
          </cell>
          <cell r="O27" t="str">
            <v>Target 2001</v>
          </cell>
          <cell r="Q27" t="str">
            <v>Progress status</v>
          </cell>
        </row>
        <row r="28">
          <cell r="B28" t="str">
            <v>Cutting/stamping</v>
          </cell>
          <cell r="E28">
            <v>0.2</v>
          </cell>
          <cell r="F28">
            <v>0.2</v>
          </cell>
          <cell r="G28">
            <v>0.2</v>
          </cell>
          <cell r="H28">
            <v>0.2</v>
          </cell>
          <cell r="I28">
            <v>0.2</v>
          </cell>
          <cell r="J28">
            <v>0.2</v>
          </cell>
          <cell r="K28">
            <v>0.4</v>
          </cell>
          <cell r="L28">
            <v>0.6</v>
          </cell>
          <cell r="O28">
            <v>0.5</v>
          </cell>
          <cell r="S28" t="str">
            <v>L</v>
          </cell>
        </row>
        <row r="29">
          <cell r="B29" t="str">
            <v>Plastic parts</v>
          </cell>
          <cell r="E29">
            <v>0.9</v>
          </cell>
          <cell r="F29">
            <v>0.9</v>
          </cell>
          <cell r="G29">
            <v>0.9</v>
          </cell>
          <cell r="H29">
            <v>1.7</v>
          </cell>
          <cell r="I29">
            <v>1.7</v>
          </cell>
          <cell r="J29">
            <v>1.7</v>
          </cell>
          <cell r="K29">
            <v>1.9</v>
          </cell>
          <cell r="L29">
            <v>1.9</v>
          </cell>
          <cell r="O29">
            <v>3.8</v>
          </cell>
          <cell r="S29" t="str">
            <v>L</v>
          </cell>
        </row>
        <row r="30">
          <cell r="B30" t="str">
            <v>Mechanical components</v>
          </cell>
          <cell r="E30">
            <v>2.6</v>
          </cell>
          <cell r="F30">
            <v>2.7</v>
          </cell>
          <cell r="G30">
            <v>2.7</v>
          </cell>
          <cell r="H30">
            <v>2.7</v>
          </cell>
          <cell r="I30">
            <v>2.7</v>
          </cell>
          <cell r="J30">
            <v>2.7</v>
          </cell>
          <cell r="K30">
            <v>2.8</v>
          </cell>
          <cell r="L30">
            <v>2.8</v>
          </cell>
          <cell r="O30">
            <v>2.2999999999999998</v>
          </cell>
          <cell r="S30" t="str">
            <v>J</v>
          </cell>
        </row>
        <row r="31">
          <cell r="B31" t="str">
            <v>Indirect spending</v>
          </cell>
          <cell r="G31">
            <v>0.41</v>
          </cell>
          <cell r="H31">
            <v>0.41</v>
          </cell>
          <cell r="I31">
            <v>0.41</v>
          </cell>
          <cell r="J31">
            <v>0.41</v>
          </cell>
          <cell r="K31">
            <v>0.4</v>
          </cell>
          <cell r="L31">
            <v>0.4</v>
          </cell>
          <cell r="O31">
            <v>0.2</v>
          </cell>
          <cell r="S31" t="str">
            <v>J</v>
          </cell>
        </row>
        <row r="32">
          <cell r="B32" t="str">
            <v>Target</v>
          </cell>
          <cell r="O32">
            <v>6.8</v>
          </cell>
        </row>
      </sheetData>
      <sheetData sheetId="6" refreshError="1">
        <row r="23">
          <cell r="C23" t="str">
            <v>J</v>
          </cell>
          <cell r="D23" t="str">
            <v>F</v>
          </cell>
          <cell r="E23" t="str">
            <v>M</v>
          </cell>
          <cell r="F23" t="str">
            <v>A</v>
          </cell>
          <cell r="G23" t="str">
            <v>M</v>
          </cell>
          <cell r="H23" t="str">
            <v>J</v>
          </cell>
          <cell r="I23" t="str">
            <v>J</v>
          </cell>
          <cell r="J23" t="str">
            <v>A</v>
          </cell>
          <cell r="K23" t="str">
            <v>S</v>
          </cell>
          <cell r="L23" t="str">
            <v>O</v>
          </cell>
          <cell r="M23" t="str">
            <v>N</v>
          </cell>
          <cell r="N23" t="str">
            <v>D</v>
          </cell>
        </row>
        <row r="24">
          <cell r="B24" t="str">
            <v>Y-1 (year to date)</v>
          </cell>
          <cell r="C24">
            <v>0.16357396785244624</v>
          </cell>
          <cell r="D24">
            <v>0.8314294037735257</v>
          </cell>
          <cell r="E24">
            <v>2.0802278307976332</v>
          </cell>
          <cell r="F24">
            <v>3.3168483378303213</v>
          </cell>
          <cell r="G24">
            <v>4.9655647972677528</v>
          </cell>
          <cell r="H24">
            <v>6.4908724925946313</v>
          </cell>
          <cell r="I24">
            <v>8.1852018172548977</v>
          </cell>
          <cell r="J24">
            <v>9.4110720149361953</v>
          </cell>
          <cell r="K24">
            <v>11.676179052005374</v>
          </cell>
          <cell r="L24">
            <v>14.23467106337106</v>
          </cell>
          <cell r="M24">
            <v>17.218682816678285</v>
          </cell>
          <cell r="N24">
            <v>19.367579382430407</v>
          </cell>
        </row>
        <row r="25">
          <cell r="B25" t="str">
            <v>Y (year to date)</v>
          </cell>
          <cell r="C25">
            <v>0.5077157311327547</v>
          </cell>
          <cell r="D25">
            <v>1.4967482326917994</v>
          </cell>
          <cell r="E25">
            <v>2.5518302619952959</v>
          </cell>
          <cell r="F25">
            <v>3.7775322531327169</v>
          </cell>
          <cell r="G25">
            <v>5.1317199418539206</v>
          </cell>
          <cell r="H25">
            <v>5.9057363544825643</v>
          </cell>
          <cell r="I25">
            <v>7.2057363544825641</v>
          </cell>
          <cell r="J25">
            <v>8.4057363544825634</v>
          </cell>
          <cell r="K25">
            <v>10.505736354482563</v>
          </cell>
          <cell r="L25">
            <v>12.8</v>
          </cell>
        </row>
        <row r="27">
          <cell r="B27" t="str">
            <v>Budget (year to date)</v>
          </cell>
          <cell r="C27">
            <v>1.0822238693319275</v>
          </cell>
          <cell r="D27">
            <v>2.5233072447400411</v>
          </cell>
          <cell r="E27">
            <v>4.3913146878351261</v>
          </cell>
          <cell r="F27">
            <v>6.8586859065963059</v>
          </cell>
          <cell r="G27">
            <v>9.5453263171829938</v>
          </cell>
          <cell r="H27">
            <v>12.549977484876848</v>
          </cell>
          <cell r="I27">
            <v>16.112934874183122</v>
          </cell>
          <cell r="J27">
            <v>18.270582616817808</v>
          </cell>
          <cell r="K27">
            <v>22.154579035916043</v>
          </cell>
          <cell r="L27">
            <v>26.054579035916042</v>
          </cell>
          <cell r="M27">
            <v>30.383525175391604</v>
          </cell>
          <cell r="N27">
            <v>34.608544818501038</v>
          </cell>
        </row>
        <row r="32">
          <cell r="B32" t="str">
            <v>Y-1</v>
          </cell>
          <cell r="C32">
            <v>0.16357396785244624</v>
          </cell>
          <cell r="D32">
            <v>0.66785543592107943</v>
          </cell>
          <cell r="E32">
            <v>1.2487984270241073</v>
          </cell>
          <cell r="F32">
            <v>1.2366205070326883</v>
          </cell>
          <cell r="G32">
            <v>1.6487164594374317</v>
          </cell>
          <cell r="H32">
            <v>1.5253076953268783</v>
          </cell>
          <cell r="I32">
            <v>1.694329324660266</v>
          </cell>
          <cell r="J32">
            <v>1.2258701976812971</v>
          </cell>
          <cell r="K32">
            <v>2.2651070370691779</v>
          </cell>
          <cell r="L32">
            <v>2.5584920113656873</v>
          </cell>
          <cell r="M32">
            <v>2.9840117533072243</v>
          </cell>
          <cell r="N32">
            <v>2.1488965657521208</v>
          </cell>
        </row>
        <row r="33">
          <cell r="B33" t="str">
            <v>Y</v>
          </cell>
          <cell r="C33">
            <v>0.5077157311327547</v>
          </cell>
          <cell r="D33">
            <v>0.98903250155904454</v>
          </cell>
          <cell r="E33">
            <v>1.0550820293034966</v>
          </cell>
          <cell r="F33">
            <v>1.225701991137421</v>
          </cell>
          <cell r="G33">
            <v>1.3541876887212039</v>
          </cell>
          <cell r="H33">
            <v>0.77401641262864374</v>
          </cell>
          <cell r="I33">
            <v>1.3</v>
          </cell>
          <cell r="J33">
            <v>1.2</v>
          </cell>
          <cell r="K33">
            <v>2.1</v>
          </cell>
        </row>
        <row r="34">
          <cell r="B34" t="str">
            <v>Budget</v>
          </cell>
          <cell r="C34">
            <v>1.0822238693319275</v>
          </cell>
          <cell r="D34">
            <v>1.4410833754081136</v>
          </cell>
          <cell r="E34">
            <v>1.868007443095085</v>
          </cell>
          <cell r="F34">
            <v>2.4673712187611798</v>
          </cell>
          <cell r="G34">
            <v>2.686640410586687</v>
          </cell>
          <cell r="H34">
            <v>3.0046511676938548</v>
          </cell>
          <cell r="I34">
            <v>3.5629573893062738</v>
          </cell>
          <cell r="J34">
            <v>2.1576477426346874</v>
          </cell>
          <cell r="K34">
            <v>3.8839964190982332</v>
          </cell>
          <cell r="L34">
            <v>3.9</v>
          </cell>
          <cell r="M34">
            <v>4.3289461394755611</v>
          </cell>
          <cell r="N34">
            <v>4.225019643109432</v>
          </cell>
        </row>
        <row r="35">
          <cell r="H35" t="str">
            <v>(including 10/10 Sourcing actions)</v>
          </cell>
          <cell r="J35" t="str">
            <v>S2 Budget</v>
          </cell>
        </row>
      </sheetData>
      <sheetData sheetId="7" refreshError="1"/>
      <sheetData sheetId="8" refreshError="1"/>
      <sheetData sheetId="9" refreshError="1"/>
      <sheetData sheetId="10" refreshError="1">
        <row r="6">
          <cell r="Q6" t="str">
            <v>Monthly Critical CNQ
Top 10 plants
(% sales)</v>
          </cell>
        </row>
        <row r="7">
          <cell r="Q7" t="str">
            <v>Flers</v>
          </cell>
          <cell r="R7">
            <v>4.2</v>
          </cell>
        </row>
        <row r="8">
          <cell r="Q8" t="str">
            <v>St Nicolas</v>
          </cell>
          <cell r="R8">
            <v>3.65</v>
          </cell>
        </row>
        <row r="9">
          <cell r="Q9" t="str">
            <v>Pierrepont struct.</v>
          </cell>
          <cell r="R9">
            <v>2.12</v>
          </cell>
        </row>
        <row r="10">
          <cell r="Q10" t="str">
            <v>Pologne méc.</v>
          </cell>
          <cell r="R10">
            <v>2.02</v>
          </cell>
        </row>
        <row r="11">
          <cell r="Q11" t="str">
            <v>Commetsa</v>
          </cell>
          <cell r="R11">
            <v>1.92</v>
          </cell>
        </row>
        <row r="12">
          <cell r="Q12" t="str">
            <v>ICF</v>
          </cell>
          <cell r="R12">
            <v>1.27</v>
          </cell>
        </row>
        <row r="13">
          <cell r="Q13" t="str">
            <v>Bradford</v>
          </cell>
          <cell r="R13">
            <v>1.2</v>
          </cell>
        </row>
        <row r="14">
          <cell r="Q14" t="str">
            <v>SJM C/C</v>
          </cell>
          <cell r="R14">
            <v>1.18</v>
          </cell>
        </row>
        <row r="15">
          <cell r="Q15" t="str">
            <v>Magny</v>
          </cell>
          <cell r="R15">
            <v>1.17</v>
          </cell>
        </row>
        <row r="16">
          <cell r="Q16" t="str">
            <v>Dynamec</v>
          </cell>
          <cell r="R16">
            <v>0.94</v>
          </cell>
        </row>
        <row r="18">
          <cell r="Q18" t="str">
            <v>Critical CNQ - Top 10 plants
(Millions euros) Cumul</v>
          </cell>
        </row>
        <row r="19">
          <cell r="Q19" t="str">
            <v>Flers</v>
          </cell>
          <cell r="R19">
            <v>4.7119999999999997</v>
          </cell>
        </row>
        <row r="20">
          <cell r="Q20" t="str">
            <v>Magny</v>
          </cell>
          <cell r="R20">
            <v>2.6139999999999999</v>
          </cell>
        </row>
        <row r="21">
          <cell r="Q21" t="str">
            <v>Brières</v>
          </cell>
          <cell r="R21">
            <v>1.841</v>
          </cell>
        </row>
        <row r="22">
          <cell r="Q22" t="str">
            <v>St Nicolas</v>
          </cell>
          <cell r="R22">
            <v>1.4910000000000001</v>
          </cell>
        </row>
        <row r="23">
          <cell r="Q23" t="str">
            <v>Pologne méc.</v>
          </cell>
          <cell r="R23">
            <v>1.002</v>
          </cell>
        </row>
        <row r="24">
          <cell r="Q24" t="str">
            <v>Bradford</v>
          </cell>
          <cell r="R24">
            <v>0.89</v>
          </cell>
        </row>
        <row r="25">
          <cell r="Q25" t="str">
            <v>Vipond</v>
          </cell>
          <cell r="R25">
            <v>0.57399999999999995</v>
          </cell>
        </row>
        <row r="26">
          <cell r="Q26" t="str">
            <v>Dynamec</v>
          </cell>
          <cell r="R26">
            <v>0.56699999999999995</v>
          </cell>
        </row>
        <row r="27">
          <cell r="B27" t="str">
            <v>% sales</v>
          </cell>
          <cell r="C27" t="str">
            <v>O</v>
          </cell>
          <cell r="D27" t="str">
            <v>N</v>
          </cell>
          <cell r="E27" t="str">
            <v>D</v>
          </cell>
          <cell r="F27" t="str">
            <v>J</v>
          </cell>
          <cell r="G27" t="str">
            <v>F</v>
          </cell>
          <cell r="H27" t="str">
            <v>M</v>
          </cell>
          <cell r="I27" t="str">
            <v>A</v>
          </cell>
          <cell r="J27" t="str">
            <v>M</v>
          </cell>
          <cell r="K27" t="str">
            <v>J</v>
          </cell>
          <cell r="L27" t="str">
            <v>J/A</v>
          </cell>
          <cell r="M27" t="str">
            <v>S</v>
          </cell>
          <cell r="N27" t="str">
            <v>O</v>
          </cell>
          <cell r="O27" t="str">
            <v>Actual YTD</v>
          </cell>
          <cell r="Q27" t="str">
            <v>Cercy</v>
          </cell>
          <cell r="R27">
            <v>0.56599999999999995</v>
          </cell>
        </row>
        <row r="30">
          <cell r="C30" t="str">
            <v>O</v>
          </cell>
          <cell r="D30" t="str">
            <v>N</v>
          </cell>
          <cell r="E30" t="str">
            <v>D</v>
          </cell>
          <cell r="F30" t="str">
            <v>J</v>
          </cell>
          <cell r="G30" t="str">
            <v>F</v>
          </cell>
          <cell r="H30" t="str">
            <v>M</v>
          </cell>
          <cell r="I30" t="str">
            <v>A</v>
          </cell>
          <cell r="J30" t="str">
            <v>M</v>
          </cell>
          <cell r="K30" t="str">
            <v>J</v>
          </cell>
          <cell r="L30" t="str">
            <v>J/A</v>
          </cell>
          <cell r="M30" t="str">
            <v>S</v>
          </cell>
          <cell r="N30" t="str">
            <v>O</v>
          </cell>
          <cell r="O30" t="str">
            <v>Cumul.</v>
          </cell>
        </row>
        <row r="31">
          <cell r="B31" t="str">
            <v>Non Quality cost</v>
          </cell>
          <cell r="C31">
            <v>1.63</v>
          </cell>
          <cell r="D31">
            <v>2.2799999999999998</v>
          </cell>
          <cell r="E31">
            <v>1.76</v>
          </cell>
          <cell r="F31">
            <v>2.0245300000000004</v>
          </cell>
          <cell r="G31">
            <v>1.458</v>
          </cell>
          <cell r="H31">
            <v>2.13</v>
          </cell>
          <cell r="I31">
            <v>1.331</v>
          </cell>
          <cell r="J31">
            <v>1.4810000000000001</v>
          </cell>
          <cell r="K31">
            <v>2.5419999999999998</v>
          </cell>
          <cell r="L31">
            <v>2.3359999999999999</v>
          </cell>
          <cell r="M31">
            <v>2.5499999999999998</v>
          </cell>
          <cell r="N31">
            <v>2.13</v>
          </cell>
          <cell r="O31">
            <v>23.652529999999999</v>
          </cell>
        </row>
        <row r="33">
          <cell r="C33" t="str">
            <v>O</v>
          </cell>
          <cell r="D33" t="str">
            <v>N</v>
          </cell>
          <cell r="E33" t="str">
            <v>D</v>
          </cell>
          <cell r="F33" t="str">
            <v>J</v>
          </cell>
          <cell r="G33" t="str">
            <v>F</v>
          </cell>
          <cell r="H33" t="str">
            <v>M</v>
          </cell>
          <cell r="I33" t="str">
            <v>A</v>
          </cell>
          <cell r="J33" t="str">
            <v>M</v>
          </cell>
          <cell r="K33" t="str">
            <v>J</v>
          </cell>
          <cell r="L33" t="str">
            <v>J/A</v>
          </cell>
          <cell r="M33" t="str">
            <v>S</v>
          </cell>
          <cell r="N33" t="str">
            <v>O</v>
          </cell>
          <cell r="O33" t="str">
            <v>Cumul.</v>
          </cell>
        </row>
        <row r="34">
          <cell r="B34" t="str">
            <v>Sales</v>
          </cell>
          <cell r="C34">
            <v>163.54</v>
          </cell>
          <cell r="D34">
            <v>192.86</v>
          </cell>
          <cell r="E34">
            <v>139.9</v>
          </cell>
          <cell r="F34">
            <v>167.02</v>
          </cell>
          <cell r="G34">
            <v>157.97999999999999</v>
          </cell>
          <cell r="H34">
            <v>199.31</v>
          </cell>
          <cell r="I34">
            <v>145.07</v>
          </cell>
          <cell r="J34">
            <v>177.08</v>
          </cell>
          <cell r="K34">
            <v>208.47</v>
          </cell>
          <cell r="L34">
            <v>213.97</v>
          </cell>
          <cell r="M34">
            <v>194.95</v>
          </cell>
          <cell r="N34">
            <v>203.46</v>
          </cell>
          <cell r="O34">
            <v>2163.6099999999997</v>
          </cell>
        </row>
        <row r="36">
          <cell r="B36" t="str">
            <v>Target</v>
          </cell>
          <cell r="C36">
            <v>6.0000000000000001E-3</v>
          </cell>
          <cell r="D36">
            <v>6.0000000000000001E-3</v>
          </cell>
          <cell r="E36">
            <v>6.0000000000000001E-3</v>
          </cell>
          <cell r="F36">
            <v>6.0000000000000001E-3</v>
          </cell>
          <cell r="G36">
            <v>6.0000000000000001E-3</v>
          </cell>
          <cell r="H36">
            <v>6.0000000000000001E-3</v>
          </cell>
          <cell r="I36">
            <v>6.0000000000000001E-3</v>
          </cell>
          <cell r="J36">
            <v>6.0000000000000001E-3</v>
          </cell>
          <cell r="K36">
            <v>6.0000000000000001E-3</v>
          </cell>
          <cell r="L36">
            <v>6.0000000000000001E-3</v>
          </cell>
          <cell r="M36">
            <v>8.9999999999999993E-3</v>
          </cell>
          <cell r="N36">
            <v>8.9999999999999993E-3</v>
          </cell>
          <cell r="O36">
            <v>6.0000000000000001E-3</v>
          </cell>
        </row>
        <row r="37">
          <cell r="B37" t="str">
            <v>Excellence</v>
          </cell>
          <cell r="C37">
            <v>3.0000000000000001E-3</v>
          </cell>
          <cell r="D37">
            <v>3.0000000000000001E-3</v>
          </cell>
          <cell r="E37">
            <v>3.0000000000000001E-3</v>
          </cell>
          <cell r="F37">
            <v>3.0000000000000001E-3</v>
          </cell>
          <cell r="G37">
            <v>3.0000000000000001E-3</v>
          </cell>
          <cell r="H37">
            <v>3.0000000000000001E-3</v>
          </cell>
          <cell r="I37">
            <v>3.0000000000000001E-3</v>
          </cell>
          <cell r="J37">
            <v>3.0000000000000001E-3</v>
          </cell>
          <cell r="K37">
            <v>3.0000000000000001E-3</v>
          </cell>
          <cell r="L37">
            <v>3.0000000000000001E-3</v>
          </cell>
          <cell r="M37">
            <v>6.0000000000000001E-3</v>
          </cell>
          <cell r="N37">
            <v>6.0000000000000001E-3</v>
          </cell>
          <cell r="O37">
            <v>3.0000000000000001E-3</v>
          </cell>
        </row>
      </sheetData>
      <sheetData sheetId="11" refreshError="1">
        <row r="6">
          <cell r="Q6" t="str">
            <v>Critical CNQ - Top 10 plants (% sales)</v>
          </cell>
        </row>
        <row r="7">
          <cell r="Q7" t="str">
            <v>Sieto</v>
          </cell>
          <cell r="R7">
            <v>1.57</v>
          </cell>
        </row>
        <row r="8">
          <cell r="Q8" t="str">
            <v>Valladolid</v>
          </cell>
          <cell r="R8">
            <v>0.79</v>
          </cell>
        </row>
        <row r="9">
          <cell r="Q9" t="str">
            <v>Pierrepont RSA</v>
          </cell>
          <cell r="R9">
            <v>0.74</v>
          </cell>
        </row>
        <row r="10">
          <cell r="Q10" t="str">
            <v>Sielest</v>
          </cell>
          <cell r="R10">
            <v>0.66</v>
          </cell>
        </row>
        <row r="11">
          <cell r="Q11" t="str">
            <v>Sieloir</v>
          </cell>
          <cell r="R11">
            <v>0.56999999999999995</v>
          </cell>
        </row>
        <row r="12">
          <cell r="Q12" t="str">
            <v>Tecnoconfort</v>
          </cell>
          <cell r="R12">
            <v>0.54</v>
          </cell>
        </row>
        <row r="13">
          <cell r="Q13" t="str">
            <v>Siemar</v>
          </cell>
          <cell r="R13">
            <v>0.53</v>
          </cell>
        </row>
        <row r="14">
          <cell r="Q14" t="str">
            <v>Bad Abbach</v>
          </cell>
          <cell r="R14">
            <v>0.43</v>
          </cell>
        </row>
        <row r="15">
          <cell r="Q15" t="str">
            <v>Sotexo</v>
          </cell>
          <cell r="R15">
            <v>0.37</v>
          </cell>
        </row>
        <row r="16">
          <cell r="Q16" t="str">
            <v>Siedoubs</v>
          </cell>
          <cell r="R16">
            <v>0.3</v>
          </cell>
        </row>
        <row r="18">
          <cell r="Q18" t="str">
            <v>Critical CNQ - Top 10 JIT (Millions euros)
cumul</v>
          </cell>
        </row>
        <row r="19">
          <cell r="Q19" t="str">
            <v>Siemar</v>
          </cell>
          <cell r="R19">
            <v>1.0820000000000001</v>
          </cell>
        </row>
        <row r="20">
          <cell r="Q20" t="str">
            <v>Sotexo</v>
          </cell>
          <cell r="R20">
            <v>0.92400000000000004</v>
          </cell>
        </row>
        <row r="21">
          <cell r="Q21" t="str">
            <v>Neuburg</v>
          </cell>
          <cell r="R21">
            <v>0.77300000000000002</v>
          </cell>
        </row>
        <row r="22">
          <cell r="Q22" t="str">
            <v>Siedoubs</v>
          </cell>
          <cell r="R22">
            <v>0.35</v>
          </cell>
        </row>
        <row r="23">
          <cell r="Q23" t="str">
            <v>Valladolid</v>
          </cell>
          <cell r="R23">
            <v>0.34399999999999997</v>
          </cell>
        </row>
        <row r="24">
          <cell r="Q24" t="str">
            <v>Bad Abbach</v>
          </cell>
          <cell r="R24">
            <v>0.307</v>
          </cell>
        </row>
        <row r="25">
          <cell r="Q25" t="str">
            <v>Sieto</v>
          </cell>
          <cell r="R25">
            <v>0.26700000000000002</v>
          </cell>
        </row>
        <row r="26">
          <cell r="Q26" t="str">
            <v>Crevin</v>
          </cell>
          <cell r="R26">
            <v>0.222</v>
          </cell>
        </row>
        <row r="27">
          <cell r="B27" t="str">
            <v>% sales</v>
          </cell>
          <cell r="C27" t="str">
            <v>O</v>
          </cell>
          <cell r="D27" t="str">
            <v>N</v>
          </cell>
          <cell r="E27" t="str">
            <v>D</v>
          </cell>
          <cell r="F27" t="str">
            <v>J</v>
          </cell>
          <cell r="G27" t="str">
            <v>F</v>
          </cell>
          <cell r="H27" t="str">
            <v>M</v>
          </cell>
          <cell r="I27" t="str">
            <v>A</v>
          </cell>
          <cell r="J27" t="str">
            <v>M</v>
          </cell>
          <cell r="K27" t="str">
            <v>J</v>
          </cell>
          <cell r="L27" t="str">
            <v>J/A</v>
          </cell>
          <cell r="M27" t="str">
            <v>S</v>
          </cell>
          <cell r="N27" t="str">
            <v>O</v>
          </cell>
          <cell r="O27" t="str">
            <v>Actual YTD</v>
          </cell>
          <cell r="Q27" t="str">
            <v>Siebret</v>
          </cell>
          <cell r="R27">
            <v>0.18</v>
          </cell>
        </row>
        <row r="28">
          <cell r="B28" t="str">
            <v>Seating</v>
          </cell>
          <cell r="C28">
            <v>3.9667107412304581E-3</v>
          </cell>
          <cell r="D28">
            <v>3.3559299281830995E-3</v>
          </cell>
          <cell r="E28">
            <v>3.3914728682170538E-3</v>
          </cell>
          <cell r="F28">
            <v>3.9009523809523808E-3</v>
          </cell>
          <cell r="G28">
            <v>2.4830552659019815E-3</v>
          </cell>
          <cell r="H28">
            <v>3.7668021256642699E-3</v>
          </cell>
          <cell r="I28">
            <v>3.143730168057351E-3</v>
          </cell>
          <cell r="J28">
            <v>3.148137352066694E-3</v>
          </cell>
          <cell r="K28">
            <v>2.9922235996844358E-3</v>
          </cell>
          <cell r="L28">
            <v>4.1967627985448419E-3</v>
          </cell>
          <cell r="M28">
            <v>3.6012347090431007E-3</v>
          </cell>
          <cell r="N28">
            <v>3.4777956126270733E-3</v>
          </cell>
          <cell r="O28">
            <v>3.4531941267692558E-3</v>
          </cell>
          <cell r="Q28" t="str">
            <v>Tecnoconfort</v>
          </cell>
          <cell r="R28">
            <v>0.15</v>
          </cell>
        </row>
        <row r="30">
          <cell r="C30" t="str">
            <v>O</v>
          </cell>
          <cell r="D30" t="str">
            <v>N</v>
          </cell>
          <cell r="E30" t="str">
            <v>D</v>
          </cell>
          <cell r="F30" t="str">
            <v>J</v>
          </cell>
          <cell r="G30" t="str">
            <v>F</v>
          </cell>
          <cell r="H30" t="str">
            <v>M</v>
          </cell>
          <cell r="I30" t="str">
            <v>A</v>
          </cell>
          <cell r="J30" t="str">
            <v>M</v>
          </cell>
          <cell r="K30" t="str">
            <v>J</v>
          </cell>
          <cell r="L30" t="str">
            <v>J/A</v>
          </cell>
          <cell r="M30" t="str">
            <v>S</v>
          </cell>
          <cell r="N30" t="str">
            <v>O</v>
          </cell>
          <cell r="O30" t="str">
            <v>Cumul.</v>
          </cell>
        </row>
        <row r="31">
          <cell r="B31" t="str">
            <v>Non Quality cost</v>
          </cell>
          <cell r="C31">
            <v>0.51</v>
          </cell>
          <cell r="D31">
            <v>0.5</v>
          </cell>
          <cell r="E31">
            <v>0.35</v>
          </cell>
          <cell r="F31">
            <v>0.51200000000000001</v>
          </cell>
          <cell r="G31">
            <v>0.38100000000000001</v>
          </cell>
          <cell r="H31">
            <v>0.72299999999999998</v>
          </cell>
          <cell r="I31">
            <v>0.53500000000000003</v>
          </cell>
          <cell r="J31">
            <v>0.54</v>
          </cell>
          <cell r="K31">
            <v>0.53100000000000003</v>
          </cell>
          <cell r="L31">
            <v>0.79600000000000004</v>
          </cell>
          <cell r="M31">
            <v>0.63</v>
          </cell>
          <cell r="N31">
            <v>0.65</v>
          </cell>
          <cell r="O31">
            <v>6.6580000000000004</v>
          </cell>
        </row>
        <row r="33">
          <cell r="C33" t="str">
            <v>O</v>
          </cell>
          <cell r="D33" t="str">
            <v>N</v>
          </cell>
          <cell r="E33" t="str">
            <v>D</v>
          </cell>
          <cell r="F33" t="str">
            <v>J</v>
          </cell>
          <cell r="G33" t="str">
            <v>F</v>
          </cell>
          <cell r="H33" t="str">
            <v>M</v>
          </cell>
          <cell r="I33" t="str">
            <v>A</v>
          </cell>
          <cell r="J33" t="str">
            <v>M</v>
          </cell>
          <cell r="K33" t="str">
            <v>J</v>
          </cell>
          <cell r="L33" t="str">
            <v>J/A</v>
          </cell>
          <cell r="M33" t="str">
            <v>S</v>
          </cell>
          <cell r="N33" t="str">
            <v>O</v>
          </cell>
          <cell r="O33" t="str">
            <v>Cumul.</v>
          </cell>
        </row>
        <row r="34">
          <cell r="B34" t="str">
            <v>Sales</v>
          </cell>
          <cell r="C34">
            <v>128.57</v>
          </cell>
          <cell r="D34">
            <v>148.99</v>
          </cell>
          <cell r="E34">
            <v>103.2</v>
          </cell>
          <cell r="F34">
            <v>131.25</v>
          </cell>
          <cell r="G34">
            <v>153.44</v>
          </cell>
          <cell r="H34">
            <v>191.94</v>
          </cell>
          <cell r="I34">
            <v>170.18</v>
          </cell>
          <cell r="J34">
            <v>171.53</v>
          </cell>
          <cell r="K34">
            <v>177.46</v>
          </cell>
          <cell r="L34">
            <v>189.67</v>
          </cell>
          <cell r="M34">
            <v>174.94</v>
          </cell>
          <cell r="N34">
            <v>186.9</v>
          </cell>
          <cell r="O34">
            <v>1928.0700000000004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6">
          <cell r="B6" t="str">
            <v>Products</v>
          </cell>
          <cell r="C6" t="str">
            <v>Current facility impacted</v>
          </cell>
          <cell r="D6" t="str">
            <v>Future location</v>
          </cell>
          <cell r="E6" t="str">
            <v>Key success factors</v>
          </cell>
          <cell r="G6" t="str">
            <v>Lead time</v>
          </cell>
          <cell r="H6" t="str">
            <v>Investment (M Euros)</v>
          </cell>
          <cell r="I6" t="str">
            <v>Implementation cost (M Euros)</v>
          </cell>
          <cell r="J6" t="str">
            <v>Identified annualized savings (M Euros)</v>
          </cell>
        </row>
        <row r="32">
          <cell r="B32" t="str">
            <v>Period</v>
          </cell>
          <cell r="C32" t="str">
            <v>Q1 2001</v>
          </cell>
          <cell r="D32" t="str">
            <v>Q2 2001</v>
          </cell>
          <cell r="E32" t="str">
            <v>Q3 2001</v>
          </cell>
          <cell r="F32" t="str">
            <v>Q4 2001</v>
          </cell>
          <cell r="G32" t="str">
            <v>Q1 2002</v>
          </cell>
          <cell r="H32" t="str">
            <v>Q2 2002</v>
          </cell>
          <cell r="I32" t="str">
            <v>Q3 2002</v>
          </cell>
          <cell r="J32" t="str">
            <v>Q4 2002</v>
          </cell>
        </row>
        <row r="33">
          <cell r="B33" t="str">
            <v>Savings-Implemented</v>
          </cell>
          <cell r="C33">
            <v>0</v>
          </cell>
          <cell r="D33">
            <v>0.5</v>
          </cell>
        </row>
        <row r="34">
          <cell r="B34" t="str">
            <v>Savings-Identified</v>
          </cell>
          <cell r="C34">
            <v>0</v>
          </cell>
          <cell r="D34">
            <v>0</v>
          </cell>
          <cell r="E34">
            <v>0.8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J34">
            <v>1</v>
          </cell>
        </row>
        <row r="35">
          <cell r="B35" t="str">
            <v>Investment</v>
          </cell>
          <cell r="C35">
            <v>0</v>
          </cell>
          <cell r="D35">
            <v>-2.2999999999999998</v>
          </cell>
        </row>
        <row r="36">
          <cell r="B36" t="str">
            <v>Implementation cost</v>
          </cell>
          <cell r="D36">
            <v>-0.4</v>
          </cell>
          <cell r="E36">
            <v>-0.3</v>
          </cell>
        </row>
        <row r="37">
          <cell r="B37" t="str">
            <v>Impact on the period</v>
          </cell>
          <cell r="C37">
            <v>0</v>
          </cell>
          <cell r="D37">
            <v>-2.1999999999999997</v>
          </cell>
          <cell r="E37">
            <v>0.5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</row>
      </sheetData>
      <sheetData sheetId="19" refreshError="1"/>
      <sheetData sheetId="20" refreshError="1">
        <row r="24">
          <cell r="C24" t="str">
            <v>Headcount</v>
          </cell>
          <cell r="D24" t="str">
            <v>S</v>
          </cell>
          <cell r="E24" t="str">
            <v>S-1</v>
          </cell>
          <cell r="I24" t="str">
            <v>M Euros</v>
          </cell>
          <cell r="J24" t="str">
            <v>S</v>
          </cell>
          <cell r="K24" t="str">
            <v>S-1</v>
          </cell>
        </row>
        <row r="25">
          <cell r="C25" t="str">
            <v>Support functions employees</v>
          </cell>
          <cell r="D25">
            <v>7339</v>
          </cell>
          <cell r="E25">
            <v>7145</v>
          </cell>
          <cell r="I25" t="str">
            <v>Support functions cost</v>
          </cell>
          <cell r="J25">
            <v>148</v>
          </cell>
          <cell r="K25">
            <v>135</v>
          </cell>
        </row>
        <row r="26">
          <cell r="C26" t="str">
            <v>Total employees</v>
          </cell>
          <cell r="D26">
            <v>23421</v>
          </cell>
          <cell r="E26">
            <v>22734</v>
          </cell>
          <cell r="I26" t="str">
            <v>Sales</v>
          </cell>
          <cell r="J26">
            <v>1460</v>
          </cell>
          <cell r="K26">
            <v>1383</v>
          </cell>
        </row>
        <row r="27">
          <cell r="C27" t="str">
            <v>including interim</v>
          </cell>
          <cell r="I27" t="str">
            <v>including interim</v>
          </cell>
        </row>
        <row r="29">
          <cell r="E29" t="str">
            <v>NON SIGNIFICATIF. PAS D'INFORMATION RECUES A CE SUJET LA DEPUIS AVRIL, VOIRE AVANT.</v>
          </cell>
        </row>
        <row r="32">
          <cell r="D32" t="str">
            <v>S</v>
          </cell>
          <cell r="E32" t="str">
            <v>S-1</v>
          </cell>
          <cell r="F32" t="str">
            <v>Target</v>
          </cell>
          <cell r="J32" t="str">
            <v>S</v>
          </cell>
          <cell r="K32" t="str">
            <v>S-1</v>
          </cell>
          <cell r="L32" t="str">
            <v>Target</v>
          </cell>
        </row>
        <row r="33">
          <cell r="C33" t="str">
            <v>Support function employees %</v>
          </cell>
          <cell r="D33">
            <v>31</v>
          </cell>
          <cell r="E33">
            <v>31</v>
          </cell>
          <cell r="I33" t="str">
            <v>Support function cost %</v>
          </cell>
          <cell r="J33">
            <v>10.136986301369863</v>
          </cell>
          <cell r="K33">
            <v>9.7613882863340571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2.xml><?xml version="1.0" encoding="utf-8"?>
<externalLink xmlns:r="http://schemas.openxmlformats.org/officeDocument/2006/relationships" xmlns="http://schemas.openxmlformats.org/spreadsheetml/2006/main">
  <externalBook r:id="rId0">
    <sheetNames>
      <sheetName val="Guidelines"/>
      <sheetName val="Intro"/>
      <sheetName val="Page 0"/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Page 10"/>
      <sheetName val="Page 11"/>
      <sheetName val="Page 12"/>
      <sheetName val="Page 13-A"/>
      <sheetName val="Page 13-B"/>
      <sheetName val="Page 14-A"/>
      <sheetName val="Page 14-B"/>
      <sheetName val="Page 15-A"/>
      <sheetName val="Page 15-B"/>
      <sheetName val="Conception"/>
      <sheetName val="Page 16"/>
      <sheetName val="Page 17"/>
      <sheetName val="Page 18"/>
      <sheetName val="Page 19"/>
      <sheetName val="Page 20"/>
      <sheetName val="Page 21-A"/>
      <sheetName val="Page 21-B"/>
      <sheetName val="Page 22"/>
      <sheetName val="Page 23"/>
      <sheetName val="Page 24"/>
      <sheetName val="Page 25"/>
      <sheetName val="Page 26"/>
      <sheetName val="Page 27"/>
      <sheetName val="Page 28"/>
      <sheetName val="Page 29"/>
      <sheetName val="Page 30"/>
      <sheetName val="Page 31"/>
      <sheetName val="Page 32"/>
      <sheetName val="Page 33-A"/>
      <sheetName val="Page 33-B"/>
      <sheetName val="Page 34"/>
      <sheetName val="Page 35"/>
      <sheetName val="Page 36"/>
      <sheetName val="Page 37"/>
      <sheetName val="Page 38"/>
      <sheetName val="Page 39"/>
      <sheetName val="Page 40"/>
      <sheetName val="Page 41"/>
      <sheetName val="Page 42"/>
      <sheetName val="Page 43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6">
          <cell r="C6" t="str">
            <v>Client</v>
          </cell>
          <cell r="D6" t="str">
            <v>Program platform</v>
          </cell>
          <cell r="E6" t="str">
            <v>Problem description</v>
          </cell>
          <cell r="F6" t="str">
            <v>Date of complain</v>
          </cell>
          <cell r="G6" t="str">
            <v>Last contact</v>
          </cell>
          <cell r="H6" t="str">
            <v>Action plan</v>
          </cell>
          <cell r="I6" t="str">
            <v>Date of expected results</v>
          </cell>
          <cell r="J6" t="str">
            <v>Comments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 filterMode="1"/>
  <dimension ref="AM329"/>
  <sheetViews>
    <sheetView showGridLines="1" tabSelected="0" zoomScale="85" zoomScaleNormal="85" workbookViewId="0">
      <pane xSplit="10" ySplit="1" topLeftCell="K2" activePane="bottomRight" state="frozen"/>
    </sheetView>
  </sheetViews>
  <sheetFormatPr defaultColWidth="31.375" defaultRowHeight="12.75" outlineLevelCol="1"/>
  <cols>
    <col min="1" max="1" width="12.125" style="157" customWidth="1"/>
    <col min="2" max="2" width="38.8906" style="158" customWidth="1"/>
    <col min="3" max="5" width="11.625" style="158" customWidth="1"/>
    <col min="6" max="6" width="7.375" style="158" customWidth="1"/>
    <col min="7" max="7" width="8.70312" style="158" customWidth="1"/>
    <col min="8" max="8" width="10.25" style="159" customWidth="1"/>
    <col min="9" max="9" width="11.625" style="160" customWidth="1"/>
    <col min="10" max="10" width="9.96094" style="161" customWidth="1"/>
    <col min="11" max="11" width="11.625" style="162" customWidth="1"/>
    <col min="12" max="12" width="8.46094" style="162" customWidth="1"/>
    <col min="13" max="17" width="11.625" style="162" customWidth="1"/>
    <col min="18" max="18" width="4.25" style="163" customWidth="1"/>
    <col min="19" max="25" width="11.625" style="162" customWidth="1" outlineLevel="1"/>
    <col min="26" max="26" width="11.625" style="162" customWidth="1" collapsed="0"/>
    <col min="27" max="27" width="8.95312" style="162" customWidth="1"/>
    <col min="28" max="28" width="10.125" style="162" customWidth="1"/>
    <col min="29" max="29" width="3.75" style="164" customWidth="1"/>
    <col min="30" max="36" width="11.625" style="162" customWidth="1"/>
    <col min="37" max="39" width="11.625" style="165" customWidth="1"/>
  </cols>
  <sheetData>
    <row r="1" spans="1:39" ht="12.95" customHeight="1">
      <c r="A1" s="4" t="s">
        <v>713</v>
      </c>
      <c r="B1" s="5" t="s">
        <v>714</v>
      </c>
      <c r="C1" s="5" t="s">
        <v>715</v>
      </c>
      <c r="D1" s="5" t="s">
        <v>716</v>
      </c>
      <c r="E1" s="5" t="s">
        <v>717</v>
      </c>
      <c r="F1" s="5" t="s">
        <v>718</v>
      </c>
      <c r="G1" s="6" t="s">
        <v>719</v>
      </c>
      <c r="H1" s="7" t="s">
        <v>720</v>
      </c>
      <c r="I1" s="8" t="s">
        <v>721</v>
      </c>
      <c r="J1" s="9" t="s">
        <v>722</v>
      </c>
      <c r="K1" s="10" t="s">
        <v>723</v>
      </c>
      <c r="L1" s="10" t="s">
        <v>724</v>
      </c>
      <c r="M1" s="10" t="s">
        <v>725</v>
      </c>
      <c r="N1" s="10" t="s">
        <v>726</v>
      </c>
      <c r="O1" s="10" t="s">
        <v>727</v>
      </c>
      <c r="P1" s="10" t="s">
        <v>728</v>
      </c>
      <c r="Q1" s="10" t="s">
        <v>729</v>
      </c>
      <c r="R1" s="11" t="s">
        <v>730</v>
      </c>
      <c r="S1" s="12" t="s">
        <v>723</v>
      </c>
      <c r="T1" s="12" t="s">
        <v>724</v>
      </c>
      <c r="U1" s="12" t="s">
        <v>725</v>
      </c>
      <c r="V1" s="12" t="s">
        <v>726</v>
      </c>
      <c r="W1" s="12" t="s">
        <v>727</v>
      </c>
      <c r="X1" s="12" t="s">
        <v>728</v>
      </c>
      <c r="Y1" s="12" t="s">
        <v>729</v>
      </c>
      <c r="Z1" s="13" t="s">
        <v>731</v>
      </c>
      <c r="AA1" s="14" t="s">
        <v>732</v>
      </c>
      <c r="AB1" s="13" t="s">
        <v>733</v>
      </c>
      <c r="AC1" s="15" t="s">
        <v>734</v>
      </c>
      <c r="AD1" s="12" t="s">
        <v>723</v>
      </c>
      <c r="AE1" s="12" t="s">
        <v>724</v>
      </c>
      <c r="AF1" s="12" t="s">
        <v>725</v>
      </c>
      <c r="AG1" s="12" t="s">
        <v>726</v>
      </c>
      <c r="AH1" s="12" t="s">
        <v>727</v>
      </c>
      <c r="AI1" s="12" t="s">
        <v>728</v>
      </c>
      <c r="AJ1" s="12" t="s">
        <v>729</v>
      </c>
      <c r="AK1" s="16" t="s">
        <v>1</v>
      </c>
      <c r="AL1" s="16" t="s">
        <v>2</v>
      </c>
      <c r="AM1" s="16" t="s"/>
    </row>
    <row r="2" spans="1:39" s="155" customFormat="1" ht="12.95" customHeight="1">
      <c r="A2" s="17">
        <v>999910000132</v>
      </c>
      <c r="B2" s="18" t="s">
        <v>3</v>
      </c>
      <c r="C2" s="18" t="s">
        <v>4</v>
      </c>
      <c r="D2" s="18" t="s">
        <v>4</v>
      </c>
      <c r="E2" s="18" t="s">
        <v>4</v>
      </c>
      <c r="F2" s="18" t="s">
        <v>5</v>
      </c>
      <c r="G2" s="19" t="s">
        <v>6</v>
      </c>
      <c r="H2" s="20" t="s">
        <v>4</v>
      </c>
      <c r="I2" s="21" t="s">
        <v>7</v>
      </c>
      <c r="J2" s="22">
        <f>=SUM(K2:Q2)</f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4" t="s"/>
      <c r="S2" s="25" t="s"/>
      <c r="T2" s="25" t="s"/>
      <c r="U2" s="25" t="s"/>
      <c r="V2" s="25" t="s"/>
      <c r="W2" s="25" t="s"/>
      <c r="X2" s="25" t="s"/>
      <c r="Y2" s="25" t="s"/>
      <c r="Z2" s="23">
        <v>0</v>
      </c>
      <c r="AA2" s="23">
        <v>0</v>
      </c>
      <c r="AB2" s="25" t="s"/>
      <c r="AC2" s="26" t="s"/>
      <c r="AD2" s="23">
        <v>0</v>
      </c>
      <c r="AE2" s="23">
        <v>0</v>
      </c>
      <c r="AF2" s="23">
        <v>0</v>
      </c>
      <c r="AG2" s="23">
        <v>0</v>
      </c>
      <c r="AH2" s="23">
        <v>0</v>
      </c>
      <c r="AI2" s="23">
        <v>0</v>
      </c>
      <c r="AJ2" s="23">
        <v>0</v>
      </c>
      <c r="AK2" s="27" t="s"/>
      <c r="AL2" s="27" t="s"/>
      <c r="AM2" s="27" t="s"/>
    </row>
    <row r="3" spans="1:39" s="155" customFormat="1" ht="12.95" customHeight="1">
      <c r="A3" s="17" t="s">
        <v>8</v>
      </c>
      <c r="B3" s="18" t="s">
        <v>9</v>
      </c>
      <c r="C3" s="18" t="s">
        <v>4</v>
      </c>
      <c r="D3" s="18" t="s">
        <v>4</v>
      </c>
      <c r="E3" s="18" t="s">
        <v>10</v>
      </c>
      <c r="F3" s="18" t="s">
        <v>11</v>
      </c>
      <c r="G3" s="19" t="s">
        <v>6</v>
      </c>
      <c r="H3" s="20" t="s">
        <v>4</v>
      </c>
      <c r="I3" s="21" t="s"/>
      <c r="J3" s="28">
        <f>=SUM(K3:Q3)</f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4" t="s"/>
      <c r="S3" s="25" t="s"/>
      <c r="T3" s="25" t="s"/>
      <c r="U3" s="25" t="s"/>
      <c r="V3" s="25" t="s"/>
      <c r="W3" s="25" t="s"/>
      <c r="X3" s="25" t="s"/>
      <c r="Y3" s="25" t="s"/>
      <c r="Z3" s="23">
        <v>0</v>
      </c>
      <c r="AA3" s="23">
        <v>0</v>
      </c>
      <c r="AB3" s="25" t="s"/>
      <c r="AC3" s="26" t="s"/>
      <c r="AD3" s="23">
        <v>0</v>
      </c>
      <c r="AE3" s="23">
        <v>0</v>
      </c>
      <c r="AF3" s="23">
        <v>0</v>
      </c>
      <c r="AG3" s="23">
        <v>0</v>
      </c>
      <c r="AH3" s="23">
        <v>0</v>
      </c>
      <c r="AI3" s="23">
        <v>0</v>
      </c>
      <c r="AJ3" s="23">
        <v>0</v>
      </c>
      <c r="AK3" s="27" t="s"/>
      <c r="AL3" s="27" t="s"/>
      <c r="AM3" s="27" t="s"/>
    </row>
    <row r="4" spans="1:39" s="155" customFormat="1" ht="12.95" customHeight="1">
      <c r="A4" s="17" t="s">
        <v>12</v>
      </c>
      <c r="B4" s="18" t="s">
        <v>13</v>
      </c>
      <c r="C4" s="18" t="s">
        <v>4</v>
      </c>
      <c r="D4" s="18" t="s">
        <v>4</v>
      </c>
      <c r="E4" s="18" t="s">
        <v>14</v>
      </c>
      <c r="F4" s="18" t="s">
        <v>15</v>
      </c>
      <c r="G4" s="19" t="s">
        <v>6</v>
      </c>
      <c r="H4" s="20" t="s">
        <v>4</v>
      </c>
      <c r="I4" s="21" t="s"/>
      <c r="J4" s="28">
        <f>=SUM(K4:Q4)</f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4" t="s"/>
      <c r="S4" s="25" t="s"/>
      <c r="T4" s="25" t="s"/>
      <c r="U4" s="25" t="s"/>
      <c r="V4" s="25" t="s"/>
      <c r="W4" s="25" t="s"/>
      <c r="X4" s="25" t="s"/>
      <c r="Y4" s="25" t="s"/>
      <c r="Z4" s="23">
        <v>0</v>
      </c>
      <c r="AA4" s="23">
        <v>0</v>
      </c>
      <c r="AB4" s="25" t="s"/>
      <c r="AC4" s="26" t="s"/>
      <c r="AD4" s="23">
        <v>0</v>
      </c>
      <c r="AE4" s="23">
        <v>0</v>
      </c>
      <c r="AF4" s="23">
        <v>0</v>
      </c>
      <c r="AG4" s="23">
        <v>0</v>
      </c>
      <c r="AH4" s="23">
        <v>0</v>
      </c>
      <c r="AI4" s="23">
        <v>0</v>
      </c>
      <c r="AJ4" s="23">
        <v>0</v>
      </c>
      <c r="AK4" s="27" t="s"/>
      <c r="AL4" s="27" t="s"/>
      <c r="AM4" s="27" t="s"/>
    </row>
    <row r="5" spans="1:39" s="155" customFormat="1" ht="12.95" customHeight="1">
      <c r="A5" s="17" t="s">
        <v>12</v>
      </c>
      <c r="B5" s="18" t="s">
        <v>16</v>
      </c>
      <c r="C5" s="18" t="s">
        <v>4</v>
      </c>
      <c r="D5" s="18" t="s">
        <v>4</v>
      </c>
      <c r="E5" s="18" t="s">
        <v>14</v>
      </c>
      <c r="F5" s="18" t="s">
        <v>15</v>
      </c>
      <c r="G5" s="19" t="s">
        <v>6</v>
      </c>
      <c r="H5" s="20" t="s">
        <v>4</v>
      </c>
      <c r="I5" s="21" t="s"/>
      <c r="J5" s="28">
        <f>=SUM(K5:Q5)</f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4" t="s"/>
      <c r="S5" s="25" t="s"/>
      <c r="T5" s="25" t="s"/>
      <c r="U5" s="25" t="s"/>
      <c r="V5" s="25" t="s"/>
      <c r="W5" s="25" t="s"/>
      <c r="X5" s="25" t="s"/>
      <c r="Y5" s="25" t="s"/>
      <c r="Z5" s="23">
        <v>0</v>
      </c>
      <c r="AA5" s="23">
        <v>0</v>
      </c>
      <c r="AB5" s="25" t="s"/>
      <c r="AC5" s="26" t="s"/>
      <c r="AD5" s="23">
        <v>0</v>
      </c>
      <c r="AE5" s="23">
        <v>0</v>
      </c>
      <c r="AF5" s="23">
        <v>0</v>
      </c>
      <c r="AG5" s="23">
        <v>0</v>
      </c>
      <c r="AH5" s="23">
        <v>0</v>
      </c>
      <c r="AI5" s="23">
        <v>0</v>
      </c>
      <c r="AJ5" s="23">
        <v>0</v>
      </c>
      <c r="AK5" s="27" t="s"/>
      <c r="AL5" s="27" t="s"/>
      <c r="AM5" s="27" t="s"/>
    </row>
    <row r="6" spans="1:39" s="155" customFormat="1" ht="12.95" customHeight="1">
      <c r="A6" s="17" t="s">
        <v>17</v>
      </c>
      <c r="B6" s="18" t="s">
        <v>18</v>
      </c>
      <c r="C6" s="18" t="s">
        <v>19</v>
      </c>
      <c r="D6" s="18" t="s">
        <v>20</v>
      </c>
      <c r="E6" s="18" t="s">
        <v>10</v>
      </c>
      <c r="F6" s="18" t="s">
        <v>11</v>
      </c>
      <c r="G6" s="19" t="s">
        <v>7</v>
      </c>
      <c r="H6" s="20" t="s">
        <v>21</v>
      </c>
      <c r="I6" s="21">
        <v>45748</v>
      </c>
      <c r="J6" s="28">
        <f>=SUM(K6:Q6)</f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4" t="s"/>
      <c r="S6" s="25" t="s"/>
      <c r="T6" s="25" t="s"/>
      <c r="U6" s="25" t="s"/>
      <c r="V6" s="25" t="s"/>
      <c r="W6" s="25" t="s"/>
      <c r="X6" s="25" t="s"/>
      <c r="Y6" s="25" t="s"/>
      <c r="Z6" s="23">
        <v>0</v>
      </c>
      <c r="AA6" s="23">
        <v>0</v>
      </c>
      <c r="AB6" s="25" t="s"/>
      <c r="AC6" s="26" t="s"/>
      <c r="AD6" s="23">
        <v>0</v>
      </c>
      <c r="AE6" s="23">
        <v>0</v>
      </c>
      <c r="AF6" s="23">
        <v>0</v>
      </c>
      <c r="AG6" s="23">
        <v>0</v>
      </c>
      <c r="AH6" s="23">
        <v>0</v>
      </c>
      <c r="AI6" s="23">
        <v>0</v>
      </c>
      <c r="AJ6" s="23">
        <v>0</v>
      </c>
      <c r="AK6" s="27" t="s"/>
      <c r="AL6" s="27" t="s"/>
      <c r="AM6" s="27" t="s"/>
    </row>
    <row r="7" spans="1:39" s="155" customFormat="1" ht="12.95" customHeight="1">
      <c r="A7" s="17" t="s">
        <v>17</v>
      </c>
      <c r="B7" s="18" t="s">
        <v>22</v>
      </c>
      <c r="C7" s="18" t="s">
        <v>23</v>
      </c>
      <c r="D7" s="18" t="s">
        <v>24</v>
      </c>
      <c r="E7" s="18" t="s">
        <v>10</v>
      </c>
      <c r="F7" s="18" t="s">
        <v>11</v>
      </c>
      <c r="G7" s="19" t="s">
        <v>7</v>
      </c>
      <c r="H7" s="20" t="s">
        <v>21</v>
      </c>
      <c r="I7" s="21">
        <v>46021</v>
      </c>
      <c r="J7" s="28">
        <f>=SUM(K7:Q7)</f>
        <v>764163.451886793</v>
      </c>
      <c r="K7" s="23">
        <v>151026.88</v>
      </c>
      <c r="L7" s="23">
        <v>0</v>
      </c>
      <c r="M7" s="23">
        <v>424528.301886793</v>
      </c>
      <c r="N7" s="23">
        <v>150000</v>
      </c>
      <c r="O7" s="23">
        <v>20000</v>
      </c>
      <c r="P7" s="23">
        <v>0</v>
      </c>
      <c r="Q7" s="23">
        <v>18608.27</v>
      </c>
      <c r="R7" s="24" t="s"/>
      <c r="S7" s="25" t="s"/>
      <c r="T7" s="25" t="s"/>
      <c r="U7" s="25" t="s"/>
      <c r="V7" s="25" t="s"/>
      <c r="W7" s="25" t="s"/>
      <c r="X7" s="25" t="s"/>
      <c r="Y7" s="25" t="s"/>
      <c r="Z7" s="23">
        <v>0</v>
      </c>
      <c r="AA7" s="23">
        <v>0</v>
      </c>
      <c r="AB7" s="25" t="s"/>
      <c r="AC7" s="26" t="s"/>
      <c r="AD7" s="23">
        <v>96901.55</v>
      </c>
      <c r="AE7" s="23">
        <v>315935.12</v>
      </c>
      <c r="AF7" s="23">
        <v>17486.8</v>
      </c>
      <c r="AG7" s="23">
        <v>65445.37</v>
      </c>
      <c r="AH7" s="23">
        <v>222836.62</v>
      </c>
      <c r="AI7" s="23">
        <v>147724.28</v>
      </c>
      <c r="AJ7" s="23">
        <v>13116.29</v>
      </c>
      <c r="AK7" s="27" t="s"/>
      <c r="AL7" s="27" t="s"/>
      <c r="AM7" s="27" t="s"/>
    </row>
    <row r="8" spans="1:39" s="155" customFormat="1" ht="12.95" customHeight="1">
      <c r="A8" s="17" t="s">
        <v>17</v>
      </c>
      <c r="B8" s="18" t="s">
        <v>25</v>
      </c>
      <c r="C8" s="18" t="s">
        <v>19</v>
      </c>
      <c r="D8" s="18" t="s">
        <v>20</v>
      </c>
      <c r="E8" s="18" t="s">
        <v>14</v>
      </c>
      <c r="F8" s="18" t="s">
        <v>26</v>
      </c>
      <c r="G8" s="19" t="s">
        <v>7</v>
      </c>
      <c r="H8" s="20" t="s">
        <v>27</v>
      </c>
      <c r="I8" s="21">
        <v>45762</v>
      </c>
      <c r="J8" s="28">
        <f>=SUM(K8:Q8)</f>
        <v>9543544</v>
      </c>
      <c r="K8" s="23">
        <v>2728870</v>
      </c>
      <c r="L8" s="23">
        <v>3258080</v>
      </c>
      <c r="M8" s="23">
        <v>1373440</v>
      </c>
      <c r="N8" s="23">
        <v>246400</v>
      </c>
      <c r="O8" s="23">
        <v>90000</v>
      </c>
      <c r="P8" s="23">
        <v>1814554</v>
      </c>
      <c r="Q8" s="23">
        <v>32200</v>
      </c>
      <c r="R8" s="24" t="s"/>
      <c r="S8" s="25" t="s"/>
      <c r="T8" s="25" t="s"/>
      <c r="U8" s="25" t="s"/>
      <c r="V8" s="25" t="s"/>
      <c r="W8" s="25" t="s"/>
      <c r="X8" s="25" t="s"/>
      <c r="Y8" s="25" t="s"/>
      <c r="Z8" s="23">
        <v>0</v>
      </c>
      <c r="AA8" s="23">
        <v>0</v>
      </c>
      <c r="AB8" s="25" t="s"/>
      <c r="AC8" s="26" t="s"/>
      <c r="AD8" s="23">
        <v>2754769.22</v>
      </c>
      <c r="AE8" s="23">
        <v>3423576.34</v>
      </c>
      <c r="AF8" s="23">
        <v>433747.02</v>
      </c>
      <c r="AG8" s="23">
        <v>262693.96</v>
      </c>
      <c r="AH8" s="23">
        <v>84832.33</v>
      </c>
      <c r="AI8" s="23">
        <v>1600000</v>
      </c>
      <c r="AJ8" s="23">
        <v>33506.6</v>
      </c>
      <c r="AK8" s="27" t="s"/>
      <c r="AL8" s="27" t="s"/>
      <c r="AM8" s="27" t="s"/>
    </row>
    <row r="9" spans="1:39" s="155" customFormat="1" ht="12.95" customHeight="1">
      <c r="A9" s="17" t="s">
        <v>17</v>
      </c>
      <c r="B9" s="18" t="s">
        <v>28</v>
      </c>
      <c r="C9" s="18" t="s">
        <v>19</v>
      </c>
      <c r="D9" s="18" t="s">
        <v>20</v>
      </c>
      <c r="E9" s="18" t="s">
        <v>29</v>
      </c>
      <c r="F9" s="18" t="s">
        <v>26</v>
      </c>
      <c r="G9" s="19" t="s">
        <v>7</v>
      </c>
      <c r="H9" s="20" t="s">
        <v>27</v>
      </c>
      <c r="I9" s="21">
        <v>45762</v>
      </c>
      <c r="J9" s="28">
        <f>=SUM(K9:Q9)</f>
        <v>3232013.03</v>
      </c>
      <c r="K9" s="23">
        <v>342471.03</v>
      </c>
      <c r="L9" s="23">
        <v>1208336</v>
      </c>
      <c r="M9" s="23">
        <v>821040</v>
      </c>
      <c r="N9" s="23">
        <v>52500</v>
      </c>
      <c r="O9" s="23">
        <v>20000</v>
      </c>
      <c r="P9" s="23">
        <v>777666</v>
      </c>
      <c r="Q9" s="23">
        <v>10000</v>
      </c>
      <c r="R9" s="24" t="s"/>
      <c r="S9" s="25" t="s"/>
      <c r="T9" s="25" t="s"/>
      <c r="U9" s="25" t="s"/>
      <c r="V9" s="25" t="s"/>
      <c r="W9" s="25" t="s"/>
      <c r="X9" s="25" t="s"/>
      <c r="Y9" s="25" t="s"/>
      <c r="Z9" s="23">
        <v>10200</v>
      </c>
      <c r="AA9" s="23">
        <v>0</v>
      </c>
      <c r="AB9" s="25" t="s"/>
      <c r="AC9" s="26" t="s"/>
      <c r="AD9" s="23">
        <v>259535.57</v>
      </c>
      <c r="AE9" s="23">
        <v>1653099.5</v>
      </c>
      <c r="AF9" s="23">
        <v>337443.54</v>
      </c>
      <c r="AG9" s="23">
        <v>70912.75</v>
      </c>
      <c r="AH9" s="23">
        <v>12100</v>
      </c>
      <c r="AI9" s="23">
        <v>460000</v>
      </c>
      <c r="AJ9" s="23">
        <v>8996.57</v>
      </c>
      <c r="AK9" s="27" t="s"/>
      <c r="AL9" s="27" t="s"/>
      <c r="AM9" s="27" t="s"/>
    </row>
    <row r="10" spans="1:39" s="155" customFormat="1" ht="12.95" customHeight="1">
      <c r="A10" s="17" t="s">
        <v>17</v>
      </c>
      <c r="B10" s="18" t="s">
        <v>30</v>
      </c>
      <c r="C10" s="18" t="s">
        <v>31</v>
      </c>
      <c r="D10" s="18" t="s">
        <v>32</v>
      </c>
      <c r="E10" s="18" t="s">
        <v>33</v>
      </c>
      <c r="F10" s="18" t="s">
        <v>11</v>
      </c>
      <c r="G10" s="19" t="s">
        <v>7</v>
      </c>
      <c r="H10" s="20" t="s">
        <v>21</v>
      </c>
      <c r="I10" s="21">
        <v>45778</v>
      </c>
      <c r="J10" s="28">
        <f>=SUM(K10:Q10)</f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4" t="s"/>
      <c r="S10" s="25" t="s"/>
      <c r="T10" s="25" t="s"/>
      <c r="U10" s="25" t="s"/>
      <c r="V10" s="25" t="s"/>
      <c r="W10" s="25" t="s"/>
      <c r="X10" s="25" t="s"/>
      <c r="Y10" s="25" t="s"/>
      <c r="Z10" s="23">
        <v>0</v>
      </c>
      <c r="AA10" s="23">
        <v>0</v>
      </c>
      <c r="AB10" s="25" t="s"/>
      <c r="AC10" s="26" t="s"/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7" t="s"/>
      <c r="AL10" s="27" t="s"/>
      <c r="AM10" s="27" t="s"/>
    </row>
    <row r="11" spans="1:39" s="155" customFormat="1" ht="12.95" customHeight="1">
      <c r="A11" s="17" t="s">
        <v>17</v>
      </c>
      <c r="B11" s="18" t="s">
        <v>34</v>
      </c>
      <c r="C11" s="18" t="s">
        <v>23</v>
      </c>
      <c r="D11" s="18" t="s">
        <v>35</v>
      </c>
      <c r="E11" s="18" t="s">
        <v>14</v>
      </c>
      <c r="F11" s="18" t="s">
        <v>26</v>
      </c>
      <c r="G11" s="19" t="s">
        <v>7</v>
      </c>
      <c r="H11" s="20" t="s">
        <v>27</v>
      </c>
      <c r="I11" s="21">
        <v>45880</v>
      </c>
      <c r="J11" s="28">
        <f>=SUM(K11:Q11)</f>
        <v>7407968</v>
      </c>
      <c r="K11" s="23">
        <v>2886160</v>
      </c>
      <c r="L11" s="23">
        <v>1782808</v>
      </c>
      <c r="M11" s="23">
        <v>709000</v>
      </c>
      <c r="N11" s="23">
        <v>150000</v>
      </c>
      <c r="O11" s="23">
        <v>50000</v>
      </c>
      <c r="P11" s="23">
        <v>1800000</v>
      </c>
      <c r="Q11" s="23">
        <v>30000</v>
      </c>
      <c r="R11" s="24" t="s"/>
      <c r="S11" s="25" t="s"/>
      <c r="T11" s="25" t="s"/>
      <c r="U11" s="25" t="s"/>
      <c r="V11" s="25" t="s"/>
      <c r="W11" s="25" t="s"/>
      <c r="X11" s="25" t="s"/>
      <c r="Y11" s="25" t="s"/>
      <c r="Z11" s="23">
        <v>250000</v>
      </c>
      <c r="AA11" s="23">
        <v>0</v>
      </c>
      <c r="AB11" s="25" t="s"/>
      <c r="AC11" s="26" t="s"/>
      <c r="AD11" s="23">
        <v>2245256.33</v>
      </c>
      <c r="AE11" s="23">
        <v>3247801.2</v>
      </c>
      <c r="AF11" s="23">
        <v>113035.52</v>
      </c>
      <c r="AG11" s="23">
        <v>276235.29</v>
      </c>
      <c r="AH11" s="23">
        <v>20069</v>
      </c>
      <c r="AI11" s="23">
        <v>1620000</v>
      </c>
      <c r="AJ11" s="23">
        <v>37309.57</v>
      </c>
      <c r="AK11" s="27" t="s"/>
      <c r="AL11" s="27" t="s"/>
      <c r="AM11" s="27" t="s"/>
    </row>
    <row r="12" spans="1:39" s="155" customFormat="1" ht="12.95" customHeight="1">
      <c r="A12" s="17" t="s">
        <v>17</v>
      </c>
      <c r="B12" s="18" t="s">
        <v>36</v>
      </c>
      <c r="C12" s="18" t="s">
        <v>37</v>
      </c>
      <c r="D12" s="18" t="s">
        <v>38</v>
      </c>
      <c r="E12" s="18" t="s">
        <v>10</v>
      </c>
      <c r="F12" s="18" t="s">
        <v>11</v>
      </c>
      <c r="G12" s="19" t="s">
        <v>7</v>
      </c>
      <c r="H12" s="20" t="s">
        <v>21</v>
      </c>
      <c r="I12" s="21">
        <v>45839</v>
      </c>
      <c r="J12" s="28">
        <f>=SUM(K12:Q12)</f>
        <v>444084.97754717</v>
      </c>
      <c r="K12" s="23">
        <v>107363.5</v>
      </c>
      <c r="L12" s="23">
        <v>0</v>
      </c>
      <c r="M12" s="23">
        <v>198113.20754717</v>
      </c>
      <c r="N12" s="23">
        <v>100000</v>
      </c>
      <c r="O12" s="23">
        <v>20000</v>
      </c>
      <c r="P12" s="23">
        <v>0</v>
      </c>
      <c r="Q12" s="23">
        <v>18608.27</v>
      </c>
      <c r="R12" s="24" t="s"/>
      <c r="S12" s="25" t="s"/>
      <c r="T12" s="25" t="s"/>
      <c r="U12" s="25" t="s"/>
      <c r="V12" s="25" t="s"/>
      <c r="W12" s="25" t="s"/>
      <c r="X12" s="25" t="s"/>
      <c r="Y12" s="25" t="s"/>
      <c r="Z12" s="23">
        <v>0</v>
      </c>
      <c r="AA12" s="23">
        <v>0</v>
      </c>
      <c r="AB12" s="25" t="s"/>
      <c r="AC12" s="26" t="s"/>
      <c r="AD12" s="23">
        <v>69444.69</v>
      </c>
      <c r="AE12" s="23">
        <v>177168.93</v>
      </c>
      <c r="AF12" s="23">
        <v>141544.34</v>
      </c>
      <c r="AG12" s="23">
        <v>64295.47</v>
      </c>
      <c r="AH12" s="23">
        <v>2736</v>
      </c>
      <c r="AI12" s="23">
        <v>0</v>
      </c>
      <c r="AJ12" s="23">
        <v>28731.2</v>
      </c>
      <c r="AK12" s="27" t="s"/>
      <c r="AL12" s="27" t="s"/>
      <c r="AM12" s="27" t="s"/>
    </row>
    <row r="13" spans="1:39" s="155" customFormat="1" ht="12.95" customHeight="1">
      <c r="A13" s="17" t="s">
        <v>17</v>
      </c>
      <c r="B13" s="18" t="s">
        <v>39</v>
      </c>
      <c r="C13" s="18" t="s">
        <v>40</v>
      </c>
      <c r="D13" s="18" t="s">
        <v>41</v>
      </c>
      <c r="E13" s="18" t="s">
        <v>14</v>
      </c>
      <c r="F13" s="18" t="s">
        <v>42</v>
      </c>
      <c r="G13" s="19" t="s">
        <v>7</v>
      </c>
      <c r="H13" s="20" t="s">
        <v>27</v>
      </c>
      <c r="I13" s="21">
        <v>45536</v>
      </c>
      <c r="J13" s="28">
        <f>=SUM(K13:Q13)</f>
        <v>7325846.98850549</v>
      </c>
      <c r="K13" s="23">
        <v>705641.988505488</v>
      </c>
      <c r="L13" s="23">
        <v>2636560</v>
      </c>
      <c r="M13" s="23">
        <v>678720</v>
      </c>
      <c r="N13" s="23">
        <v>556925</v>
      </c>
      <c r="O13" s="23">
        <v>100000</v>
      </c>
      <c r="P13" s="23">
        <v>2546000</v>
      </c>
      <c r="Q13" s="23">
        <v>102000</v>
      </c>
      <c r="R13" s="24" t="s"/>
      <c r="S13" s="25" t="s"/>
      <c r="T13" s="25" t="s"/>
      <c r="U13" s="25" t="s"/>
      <c r="V13" s="25" t="s"/>
      <c r="W13" s="25" t="s"/>
      <c r="X13" s="25" t="s"/>
      <c r="Y13" s="25" t="s"/>
      <c r="Z13" s="23">
        <v>1457843</v>
      </c>
      <c r="AA13" s="23">
        <v>0</v>
      </c>
      <c r="AB13" s="25" t="s"/>
      <c r="AC13" s="26" t="s"/>
      <c r="AD13" s="23">
        <v>485232.26</v>
      </c>
      <c r="AE13" s="23">
        <v>2223033</v>
      </c>
      <c r="AF13" s="23">
        <v>403062.83</v>
      </c>
      <c r="AG13" s="23">
        <v>290349.31</v>
      </c>
      <c r="AH13" s="23">
        <v>22157.24</v>
      </c>
      <c r="AI13" s="23">
        <v>2180000</v>
      </c>
      <c r="AJ13" s="23">
        <v>10407.28</v>
      </c>
      <c r="AK13" s="27" t="s"/>
      <c r="AL13" s="27" t="s"/>
      <c r="AM13" s="27" t="s"/>
    </row>
    <row r="14" spans="1:39" s="155" customFormat="1" ht="12.95" customHeight="1">
      <c r="A14" s="17" t="s">
        <v>17</v>
      </c>
      <c r="B14" s="18" t="s">
        <v>43</v>
      </c>
      <c r="C14" s="18" t="s">
        <v>40</v>
      </c>
      <c r="D14" s="18" t="s">
        <v>44</v>
      </c>
      <c r="E14" s="18" t="s">
        <v>10</v>
      </c>
      <c r="F14" s="18" t="s">
        <v>11</v>
      </c>
      <c r="G14" s="19" t="s">
        <v>7</v>
      </c>
      <c r="H14" s="20" t="s">
        <v>21</v>
      </c>
      <c r="I14" s="21">
        <v>45658</v>
      </c>
      <c r="J14" s="28">
        <f>=SUM(K14:Q14)</f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4" t="s"/>
      <c r="S14" s="25" t="s"/>
      <c r="T14" s="25" t="s"/>
      <c r="U14" s="25" t="s"/>
      <c r="V14" s="25" t="s"/>
      <c r="W14" s="25" t="s"/>
      <c r="X14" s="25" t="s"/>
      <c r="Y14" s="25" t="s"/>
      <c r="Z14" s="23">
        <v>0</v>
      </c>
      <c r="AA14" s="23">
        <v>0</v>
      </c>
      <c r="AB14" s="25" t="s"/>
      <c r="AC14" s="26" t="s"/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7" t="s"/>
      <c r="AL14" s="27" t="s"/>
      <c r="AM14" s="27" t="s"/>
    </row>
    <row r="15" spans="1:39" s="155" customFormat="1" ht="12.95" customHeight="1">
      <c r="A15" s="17" t="s">
        <v>17</v>
      </c>
      <c r="B15" s="18" t="s">
        <v>45</v>
      </c>
      <c r="C15" s="18" t="s">
        <v>40</v>
      </c>
      <c r="D15" s="18" t="s">
        <v>46</v>
      </c>
      <c r="E15" s="18" t="s">
        <v>47</v>
      </c>
      <c r="F15" s="18" t="s">
        <v>11</v>
      </c>
      <c r="G15" s="19" t="s">
        <v>7</v>
      </c>
      <c r="H15" s="20" t="s">
        <v>21</v>
      </c>
      <c r="I15" s="21">
        <v>45413</v>
      </c>
      <c r="J15" s="28">
        <f>=SUM(K15:Q15)</f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4" t="s"/>
      <c r="S15" s="25" t="s"/>
      <c r="T15" s="25" t="s"/>
      <c r="U15" s="25" t="s"/>
      <c r="V15" s="25" t="s"/>
      <c r="W15" s="25" t="s"/>
      <c r="X15" s="25" t="s"/>
      <c r="Y15" s="25" t="s"/>
      <c r="Z15" s="23">
        <v>0</v>
      </c>
      <c r="AA15" s="23">
        <v>0</v>
      </c>
      <c r="AB15" s="25" t="s"/>
      <c r="AC15" s="26" t="s"/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7" t="s"/>
      <c r="AL15" s="27" t="s"/>
      <c r="AM15" s="27" t="s"/>
    </row>
    <row r="16" spans="1:39" s="155" customFormat="1" ht="12.95" customHeight="1">
      <c r="A16" s="17" t="s">
        <v>17</v>
      </c>
      <c r="B16" s="18" t="s">
        <v>48</v>
      </c>
      <c r="C16" s="18" t="s">
        <v>49</v>
      </c>
      <c r="D16" s="18" t="s">
        <v>50</v>
      </c>
      <c r="E16" s="18" t="s">
        <v>10</v>
      </c>
      <c r="F16" s="18" t="s">
        <v>11</v>
      </c>
      <c r="G16" s="19" t="s">
        <v>7</v>
      </c>
      <c r="H16" s="20" t="s">
        <v>21</v>
      </c>
      <c r="I16" s="21">
        <v>45717</v>
      </c>
      <c r="J16" s="28">
        <f>=SUM(K16:Q16)</f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4" t="s"/>
      <c r="S16" s="25" t="s"/>
      <c r="T16" s="25" t="s"/>
      <c r="U16" s="25" t="s"/>
      <c r="V16" s="25" t="s"/>
      <c r="W16" s="25" t="s"/>
      <c r="X16" s="25" t="s"/>
      <c r="Y16" s="25" t="s"/>
      <c r="Z16" s="23">
        <v>0</v>
      </c>
      <c r="AA16" s="23">
        <v>0</v>
      </c>
      <c r="AB16" s="25" t="s"/>
      <c r="AC16" s="26" t="s"/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7" t="s"/>
      <c r="AL16" s="27" t="s"/>
      <c r="AM16" s="27" t="s"/>
    </row>
    <row r="17" spans="1:39" s="155" customFormat="1" ht="12.95" customHeight="1">
      <c r="A17" s="17" t="s">
        <v>17</v>
      </c>
      <c r="B17" s="18" t="s">
        <v>51</v>
      </c>
      <c r="C17" s="18" t="s">
        <v>52</v>
      </c>
      <c r="D17" s="18" t="s">
        <v>53</v>
      </c>
      <c r="E17" s="18" t="s">
        <v>10</v>
      </c>
      <c r="F17" s="18" t="s">
        <v>11</v>
      </c>
      <c r="G17" s="19" t="s">
        <v>7</v>
      </c>
      <c r="H17" s="20" t="s">
        <v>21</v>
      </c>
      <c r="I17" s="21">
        <v>45809</v>
      </c>
      <c r="J17" s="28">
        <f>=SUM(K17:Q17)</f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4" t="s"/>
      <c r="S17" s="25" t="s"/>
      <c r="T17" s="25" t="s"/>
      <c r="U17" s="25" t="s"/>
      <c r="V17" s="25" t="s"/>
      <c r="W17" s="25" t="s"/>
      <c r="X17" s="25" t="s"/>
      <c r="Y17" s="25" t="s"/>
      <c r="Z17" s="23">
        <v>0</v>
      </c>
      <c r="AA17" s="23">
        <v>0</v>
      </c>
      <c r="AB17" s="25" t="s"/>
      <c r="AC17" s="26" t="s"/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7" t="s"/>
      <c r="AL17" s="27" t="s"/>
      <c r="AM17" s="27" t="s"/>
    </row>
    <row r="18" spans="1:39" s="155" customFormat="1" ht="12.95" customHeight="1">
      <c r="A18" s="17" t="s">
        <v>17</v>
      </c>
      <c r="B18" s="18" t="s">
        <v>54</v>
      </c>
      <c r="C18" s="18" t="s">
        <v>55</v>
      </c>
      <c r="D18" s="18" t="s">
        <v>56</v>
      </c>
      <c r="E18" s="18" t="s">
        <v>10</v>
      </c>
      <c r="F18" s="18" t="s">
        <v>11</v>
      </c>
      <c r="G18" s="19" t="s">
        <v>7</v>
      </c>
      <c r="H18" s="20" t="s">
        <v>21</v>
      </c>
      <c r="I18" s="21">
        <v>45960</v>
      </c>
      <c r="J18" s="28">
        <f>=SUM(K18:Q18)</f>
        <v>1067636.90528302</v>
      </c>
      <c r="K18" s="23">
        <v>165762.23</v>
      </c>
      <c r="L18" s="23">
        <v>0</v>
      </c>
      <c r="M18" s="23">
        <v>495283.02</v>
      </c>
      <c r="N18" s="23">
        <v>150000</v>
      </c>
      <c r="O18" s="23">
        <v>40000</v>
      </c>
      <c r="P18" s="23">
        <v>188679.245283019</v>
      </c>
      <c r="Q18" s="23">
        <v>27912.41</v>
      </c>
      <c r="R18" s="24" t="s"/>
      <c r="S18" s="25" t="s"/>
      <c r="T18" s="25" t="s"/>
      <c r="U18" s="25" t="s"/>
      <c r="V18" s="25" t="s"/>
      <c r="W18" s="25" t="s"/>
      <c r="X18" s="25" t="s"/>
      <c r="Y18" s="25" t="s"/>
      <c r="Z18" s="23">
        <v>0</v>
      </c>
      <c r="AA18" s="23">
        <v>0</v>
      </c>
      <c r="AB18" s="25" t="s"/>
      <c r="AC18" s="26" t="s"/>
      <c r="AD18" s="23">
        <v>284811.91</v>
      </c>
      <c r="AE18" s="23">
        <v>250441.28</v>
      </c>
      <c r="AF18" s="23">
        <v>215507.35</v>
      </c>
      <c r="AG18" s="23">
        <v>176132.2</v>
      </c>
      <c r="AH18" s="23">
        <v>47245</v>
      </c>
      <c r="AI18" s="23">
        <v>230500.65</v>
      </c>
      <c r="AJ18" s="23">
        <v>63749.8</v>
      </c>
      <c r="AK18" s="27" t="s"/>
      <c r="AL18" s="27" t="s"/>
      <c r="AM18" s="27" t="s"/>
    </row>
    <row r="19" spans="1:39" s="155" customFormat="1" ht="12.95" customHeight="1">
      <c r="A19" s="17" t="s">
        <v>17</v>
      </c>
      <c r="B19" s="18" t="s">
        <v>57</v>
      </c>
      <c r="C19" s="18" t="s">
        <v>4</v>
      </c>
      <c r="D19" s="18" t="s">
        <v>58</v>
      </c>
      <c r="E19" s="18" t="s">
        <v>4</v>
      </c>
      <c r="F19" s="18" t="s">
        <v>59</v>
      </c>
      <c r="G19" s="19" t="s">
        <v>7</v>
      </c>
      <c r="H19" s="20" t="s">
        <v>21</v>
      </c>
      <c r="I19" s="21">
        <v>46203</v>
      </c>
      <c r="J19" s="28">
        <f>=SUM(K19:Q19)</f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4" t="s"/>
      <c r="S19" s="25" t="s"/>
      <c r="T19" s="25" t="s"/>
      <c r="U19" s="25" t="s"/>
      <c r="V19" s="25" t="s"/>
      <c r="W19" s="25" t="s"/>
      <c r="X19" s="25" t="s"/>
      <c r="Y19" s="25" t="s"/>
      <c r="Z19" s="23">
        <v>0</v>
      </c>
      <c r="AA19" s="23">
        <v>0</v>
      </c>
      <c r="AB19" s="25" t="s"/>
      <c r="AC19" s="26" t="s"/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7" t="s"/>
      <c r="AL19" s="27" t="s"/>
      <c r="AM19" s="27" t="s"/>
    </row>
    <row r="20" spans="1:39" s="155" customFormat="1" ht="12.95" customHeight="1">
      <c r="A20" s="17" t="s">
        <v>17</v>
      </c>
      <c r="B20" s="18" t="s">
        <v>60</v>
      </c>
      <c r="C20" s="18" t="s">
        <v>61</v>
      </c>
      <c r="D20" s="18" t="s">
        <v>62</v>
      </c>
      <c r="E20" s="18" t="s">
        <v>14</v>
      </c>
      <c r="F20" s="18" t="s">
        <v>59</v>
      </c>
      <c r="G20" s="19" t="s">
        <v>7</v>
      </c>
      <c r="H20" s="20" t="s">
        <v>21</v>
      </c>
      <c r="I20" s="21">
        <v>45474</v>
      </c>
      <c r="J20" s="28">
        <f>=SUM(K20:Q20)</f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4" t="s"/>
      <c r="S20" s="25" t="s"/>
      <c r="T20" s="25" t="s"/>
      <c r="U20" s="25" t="s"/>
      <c r="V20" s="25" t="s"/>
      <c r="W20" s="25" t="s"/>
      <c r="X20" s="25" t="s"/>
      <c r="Y20" s="25" t="s"/>
      <c r="Z20" s="23">
        <v>2652598</v>
      </c>
      <c r="AA20" s="23">
        <v>0</v>
      </c>
      <c r="AB20" s="25" t="s"/>
      <c r="AC20" s="26" t="s"/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7" t="s"/>
      <c r="AL20" s="27" t="s"/>
      <c r="AM20" s="27" t="s"/>
    </row>
    <row r="21" spans="1:39" s="155" customFormat="1" ht="12.95" customHeight="1">
      <c r="A21" s="17" t="s">
        <v>17</v>
      </c>
      <c r="B21" s="18" t="s">
        <v>63</v>
      </c>
      <c r="C21" s="18" t="s">
        <v>64</v>
      </c>
      <c r="D21" s="18" t="s">
        <v>65</v>
      </c>
      <c r="E21" s="18" t="s">
        <v>14</v>
      </c>
      <c r="F21" s="18" t="s">
        <v>5</v>
      </c>
      <c r="G21" s="19" t="s">
        <v>7</v>
      </c>
      <c r="H21" s="20" t="s">
        <v>27</v>
      </c>
      <c r="I21" s="21">
        <v>45901</v>
      </c>
      <c r="J21" s="28">
        <f>=SUM(K21:Q21)</f>
        <v>4671440</v>
      </c>
      <c r="K21" s="23">
        <v>947740</v>
      </c>
      <c r="L21" s="23">
        <v>1978220</v>
      </c>
      <c r="M21" s="23">
        <v>780480</v>
      </c>
      <c r="N21" s="23">
        <v>250000</v>
      </c>
      <c r="O21" s="23">
        <v>80000</v>
      </c>
      <c r="P21" s="23">
        <v>600000</v>
      </c>
      <c r="Q21" s="23">
        <v>35000</v>
      </c>
      <c r="R21" s="24" t="s"/>
      <c r="S21" s="25" t="s"/>
      <c r="T21" s="25" t="s"/>
      <c r="U21" s="25" t="s"/>
      <c r="V21" s="25" t="s"/>
      <c r="W21" s="25" t="s"/>
      <c r="X21" s="25" t="s"/>
      <c r="Y21" s="25" t="s"/>
      <c r="Z21" s="23">
        <v>20000</v>
      </c>
      <c r="AA21" s="23">
        <v>0</v>
      </c>
      <c r="AB21" s="25" t="s"/>
      <c r="AC21" s="26" t="s"/>
      <c r="AD21" s="23">
        <v>461488.75</v>
      </c>
      <c r="AE21" s="23">
        <v>2236428.18</v>
      </c>
      <c r="AF21" s="23">
        <v>1144022.92</v>
      </c>
      <c r="AG21" s="23">
        <v>268909.5</v>
      </c>
      <c r="AH21" s="23">
        <v>1771</v>
      </c>
      <c r="AI21" s="23">
        <v>150000</v>
      </c>
      <c r="AJ21" s="23">
        <v>22169.4</v>
      </c>
      <c r="AK21" s="27" t="s"/>
      <c r="AL21" s="27" t="s"/>
      <c r="AM21" s="27" t="s"/>
    </row>
    <row r="22" spans="1:39" s="155" customFormat="1" ht="12.95" customHeight="1">
      <c r="A22" s="17" t="s">
        <v>17</v>
      </c>
      <c r="B22" s="18" t="s">
        <v>66</v>
      </c>
      <c r="C22" s="18" t="s">
        <v>67</v>
      </c>
      <c r="D22" s="18" t="s">
        <v>68</v>
      </c>
      <c r="E22" s="18" t="s">
        <v>29</v>
      </c>
      <c r="F22" s="18" t="s">
        <v>69</v>
      </c>
      <c r="G22" s="19" t="s">
        <v>7</v>
      </c>
      <c r="H22" s="20" t="s">
        <v>70</v>
      </c>
      <c r="I22" s="21">
        <v>45901</v>
      </c>
      <c r="J22" s="28">
        <f>=SUM(K22:Q22)</f>
        <v>1574052.64793651</v>
      </c>
      <c r="K22" s="23">
        <v>413277.528888889</v>
      </c>
      <c r="L22" s="23">
        <v>300775.119047619</v>
      </c>
      <c r="M22" s="23">
        <v>0</v>
      </c>
      <c r="N22" s="23">
        <v>300000</v>
      </c>
      <c r="O22" s="23">
        <v>0</v>
      </c>
      <c r="P22" s="23">
        <v>360000</v>
      </c>
      <c r="Q22" s="23">
        <v>200000</v>
      </c>
      <c r="R22" s="24" t="s"/>
      <c r="S22" s="25" t="s"/>
      <c r="T22" s="25" t="s"/>
      <c r="U22" s="25" t="s"/>
      <c r="V22" s="25" t="s"/>
      <c r="W22" s="25" t="s"/>
      <c r="X22" s="25" t="s"/>
      <c r="Y22" s="25" t="s"/>
      <c r="Z22" s="23">
        <v>20000</v>
      </c>
      <c r="AA22" s="23">
        <v>0</v>
      </c>
      <c r="AB22" s="25" t="s"/>
      <c r="AC22" s="26" t="s"/>
      <c r="AD22" s="23">
        <v>44788.44</v>
      </c>
      <c r="AE22" s="23">
        <v>130669</v>
      </c>
      <c r="AF22" s="23">
        <v>131803</v>
      </c>
      <c r="AG22" s="23">
        <v>125347</v>
      </c>
      <c r="AH22" s="23">
        <v>0</v>
      </c>
      <c r="AI22" s="23">
        <v>0</v>
      </c>
      <c r="AJ22" s="23">
        <v>157</v>
      </c>
      <c r="AK22" s="27" t="s"/>
      <c r="AL22" s="27" t="s"/>
      <c r="AM22" s="27" t="s"/>
    </row>
    <row r="23" spans="1:39" s="155" customFormat="1" ht="12.95" customHeight="1">
      <c r="A23" s="17" t="s">
        <v>17</v>
      </c>
      <c r="B23" s="18" t="s">
        <v>71</v>
      </c>
      <c r="C23" s="18" t="s">
        <v>67</v>
      </c>
      <c r="D23" s="18" t="s">
        <v>72</v>
      </c>
      <c r="E23" s="18" t="s">
        <v>14</v>
      </c>
      <c r="F23" s="18" t="s">
        <v>69</v>
      </c>
      <c r="G23" s="19" t="s">
        <v>7</v>
      </c>
      <c r="H23" s="20" t="s">
        <v>70</v>
      </c>
      <c r="I23" s="21">
        <v>45901</v>
      </c>
      <c r="J23" s="28">
        <f>=SUM(K23:Q23)</f>
        <v>5739680.46022447</v>
      </c>
      <c r="K23" s="23">
        <v>1082563.87241085</v>
      </c>
      <c r="L23" s="23">
        <v>3204116.58781362</v>
      </c>
      <c r="M23" s="23">
        <v>90000</v>
      </c>
      <c r="N23" s="23">
        <v>486000</v>
      </c>
      <c r="O23" s="23">
        <v>77000</v>
      </c>
      <c r="P23" s="23">
        <v>0</v>
      </c>
      <c r="Q23" s="23">
        <v>800000</v>
      </c>
      <c r="R23" s="24" t="s"/>
      <c r="S23" s="25" t="s"/>
      <c r="T23" s="25" t="s"/>
      <c r="U23" s="25" t="s"/>
      <c r="V23" s="25" t="s"/>
      <c r="W23" s="25" t="s"/>
      <c r="X23" s="25" t="s"/>
      <c r="Y23" s="25" t="s"/>
      <c r="Z23" s="23">
        <v>140000</v>
      </c>
      <c r="AA23" s="23">
        <v>0</v>
      </c>
      <c r="AB23" s="25" t="s"/>
      <c r="AC23" s="26" t="s"/>
      <c r="AD23" s="23">
        <v>4629254.59</v>
      </c>
      <c r="AE23" s="23">
        <v>1139050</v>
      </c>
      <c r="AF23" s="23">
        <v>53080</v>
      </c>
      <c r="AG23" s="23">
        <v>408963</v>
      </c>
      <c r="AH23" s="23">
        <v>58889</v>
      </c>
      <c r="AI23" s="23">
        <v>0</v>
      </c>
      <c r="AJ23" s="23">
        <v>19140</v>
      </c>
      <c r="AK23" s="27" t="s"/>
      <c r="AL23" s="27" t="s"/>
      <c r="AM23" s="27" t="s"/>
    </row>
    <row r="24" spans="1:39" s="155" customFormat="1" ht="12.95" customHeight="1">
      <c r="A24" s="17" t="s">
        <v>17</v>
      </c>
      <c r="B24" s="18" t="s">
        <v>73</v>
      </c>
      <c r="C24" s="18" t="s">
        <v>67</v>
      </c>
      <c r="D24" s="18" t="s">
        <v>72</v>
      </c>
      <c r="E24" s="18" t="s">
        <v>74</v>
      </c>
      <c r="F24" s="18" t="s">
        <v>69</v>
      </c>
      <c r="G24" s="19" t="s">
        <v>7</v>
      </c>
      <c r="H24" s="20" t="s">
        <v>70</v>
      </c>
      <c r="I24" s="21">
        <v>45901</v>
      </c>
      <c r="J24" s="28">
        <f>=SUM(K24:Q24)</f>
        <v>5569860.58577345</v>
      </c>
      <c r="K24" s="23">
        <v>491479.585773446</v>
      </c>
      <c r="L24" s="23">
        <v>4152881</v>
      </c>
      <c r="M24" s="23">
        <v>80000</v>
      </c>
      <c r="N24" s="23">
        <v>468000</v>
      </c>
      <c r="O24" s="23">
        <v>147000</v>
      </c>
      <c r="P24" s="23">
        <v>130500</v>
      </c>
      <c r="Q24" s="23">
        <v>100000</v>
      </c>
      <c r="R24" s="24" t="s"/>
      <c r="S24" s="25" t="s"/>
      <c r="T24" s="25" t="s"/>
      <c r="U24" s="25" t="s"/>
      <c r="V24" s="25" t="s"/>
      <c r="W24" s="25" t="s"/>
      <c r="X24" s="25" t="s"/>
      <c r="Y24" s="25" t="s"/>
      <c r="Z24" s="23">
        <v>179500</v>
      </c>
      <c r="AA24" s="23">
        <v>0</v>
      </c>
      <c r="AB24" s="25" t="s"/>
      <c r="AC24" s="26" t="s"/>
      <c r="AD24" s="23">
        <v>4039742.31</v>
      </c>
      <c r="AE24" s="23">
        <v>2517278</v>
      </c>
      <c r="AF24" s="23">
        <v>1280632</v>
      </c>
      <c r="AG24" s="23">
        <v>355818</v>
      </c>
      <c r="AH24" s="23">
        <v>1876</v>
      </c>
      <c r="AI24" s="23">
        <v>-20000</v>
      </c>
      <c r="AJ24" s="23">
        <v>443444</v>
      </c>
      <c r="AK24" s="27" t="s"/>
      <c r="AL24" s="27" t="s"/>
      <c r="AM24" s="27" t="s"/>
    </row>
    <row r="25" spans="1:39" s="155" customFormat="1" ht="12.95" customHeight="1">
      <c r="A25" s="17" t="s">
        <v>17</v>
      </c>
      <c r="B25" s="18" t="s">
        <v>75</v>
      </c>
      <c r="C25" s="18" t="s">
        <v>67</v>
      </c>
      <c r="D25" s="18" t="s">
        <v>72</v>
      </c>
      <c r="E25" s="18" t="s">
        <v>76</v>
      </c>
      <c r="F25" s="18" t="s">
        <v>69</v>
      </c>
      <c r="G25" s="19" t="s">
        <v>7</v>
      </c>
      <c r="H25" s="20" t="s">
        <v>70</v>
      </c>
      <c r="I25" s="21">
        <v>45901</v>
      </c>
      <c r="J25" s="28">
        <f>=SUM(K25:Q25)</f>
        <v>927540.653868564</v>
      </c>
      <c r="K25" s="23">
        <v>213402.653223403</v>
      </c>
      <c r="L25" s="23">
        <v>524138.000645161</v>
      </c>
      <c r="M25" s="23">
        <v>90000</v>
      </c>
      <c r="N25" s="23">
        <v>50000</v>
      </c>
      <c r="O25" s="23">
        <v>0</v>
      </c>
      <c r="P25" s="23">
        <v>0</v>
      </c>
      <c r="Q25" s="23">
        <v>50000</v>
      </c>
      <c r="R25" s="24" t="s"/>
      <c r="S25" s="25" t="s"/>
      <c r="T25" s="25" t="s"/>
      <c r="U25" s="25" t="s"/>
      <c r="V25" s="25" t="s"/>
      <c r="W25" s="25" t="s"/>
      <c r="X25" s="25" t="s"/>
      <c r="Y25" s="25" t="s"/>
      <c r="Z25" s="23">
        <v>0</v>
      </c>
      <c r="AA25" s="23">
        <v>0</v>
      </c>
      <c r="AB25" s="25" t="s"/>
      <c r="AC25" s="26" t="s"/>
      <c r="AD25" s="23">
        <v>1131057.93</v>
      </c>
      <c r="AE25" s="23">
        <v>450056</v>
      </c>
      <c r="AF25" s="23">
        <v>0</v>
      </c>
      <c r="AG25" s="23">
        <v>255092</v>
      </c>
      <c r="AH25" s="23">
        <v>237</v>
      </c>
      <c r="AI25" s="23">
        <v>0</v>
      </c>
      <c r="AJ25" s="23">
        <v>40</v>
      </c>
      <c r="AK25" s="27" t="s"/>
      <c r="AL25" s="27" t="s"/>
      <c r="AM25" s="27" t="s"/>
    </row>
    <row r="26" spans="1:39" s="155" customFormat="1" ht="12.95" customHeight="1">
      <c r="A26" s="17" t="s">
        <v>17</v>
      </c>
      <c r="B26" s="18" t="s">
        <v>77</v>
      </c>
      <c r="C26" s="18" t="s">
        <v>67</v>
      </c>
      <c r="D26" s="18" t="s">
        <v>72</v>
      </c>
      <c r="E26" s="18" t="s">
        <v>29</v>
      </c>
      <c r="F26" s="18" t="s">
        <v>69</v>
      </c>
      <c r="G26" s="19" t="s">
        <v>7</v>
      </c>
      <c r="H26" s="20" t="s">
        <v>70</v>
      </c>
      <c r="I26" s="21">
        <v>45901</v>
      </c>
      <c r="J26" s="28">
        <f>=SUM(K26:Q26)</f>
        <v>2151056.44956279</v>
      </c>
      <c r="K26" s="23">
        <v>359878.734078922</v>
      </c>
      <c r="L26" s="23">
        <v>1521177.71548387</v>
      </c>
      <c r="M26" s="23">
        <v>170000</v>
      </c>
      <c r="N26" s="23">
        <v>50000</v>
      </c>
      <c r="O26" s="23">
        <v>0</v>
      </c>
      <c r="P26" s="23">
        <v>0</v>
      </c>
      <c r="Q26" s="23">
        <v>50000</v>
      </c>
      <c r="R26" s="24" t="s"/>
      <c r="S26" s="25" t="s"/>
      <c r="T26" s="25" t="s"/>
      <c r="U26" s="25" t="s"/>
      <c r="V26" s="25" t="s"/>
      <c r="W26" s="25" t="s"/>
      <c r="X26" s="25" t="s"/>
      <c r="Y26" s="25" t="s"/>
      <c r="Z26" s="23">
        <v>20000</v>
      </c>
      <c r="AA26" s="23">
        <v>0</v>
      </c>
      <c r="AB26" s="25" t="s"/>
      <c r="AC26" s="26" t="s"/>
      <c r="AD26" s="23">
        <v>2096074.21</v>
      </c>
      <c r="AE26" s="23">
        <v>696949.73</v>
      </c>
      <c r="AF26" s="23">
        <v>0</v>
      </c>
      <c r="AG26" s="23">
        <v>121748</v>
      </c>
      <c r="AH26" s="23">
        <v>8657</v>
      </c>
      <c r="AI26" s="23">
        <v>0</v>
      </c>
      <c r="AJ26" s="23">
        <v>444</v>
      </c>
      <c r="AK26" s="27" t="s"/>
      <c r="AL26" s="27" t="s"/>
      <c r="AM26" s="27" t="s"/>
    </row>
    <row r="27" spans="1:39" s="155" customFormat="1" ht="12.95" customHeight="1">
      <c r="A27" s="17" t="s">
        <v>17</v>
      </c>
      <c r="B27" s="18" t="s">
        <v>78</v>
      </c>
      <c r="C27" s="18" t="s">
        <v>23</v>
      </c>
      <c r="D27" s="18" t="s">
        <v>79</v>
      </c>
      <c r="E27" s="18" t="s">
        <v>10</v>
      </c>
      <c r="F27" s="18" t="s">
        <v>11</v>
      </c>
      <c r="G27" s="19" t="s">
        <v>7</v>
      </c>
      <c r="H27" s="20" t="s">
        <v>21</v>
      </c>
      <c r="I27" s="21">
        <v>45839</v>
      </c>
      <c r="J27" s="28">
        <f>=SUM(K27:Q27)</f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4" t="s"/>
      <c r="S27" s="25" t="s"/>
      <c r="T27" s="25" t="s"/>
      <c r="U27" s="25" t="s"/>
      <c r="V27" s="25" t="s"/>
      <c r="W27" s="25" t="s"/>
      <c r="X27" s="25" t="s"/>
      <c r="Y27" s="25" t="s"/>
      <c r="Z27" s="23">
        <v>0</v>
      </c>
      <c r="AA27" s="23">
        <v>0</v>
      </c>
      <c r="AB27" s="25" t="s"/>
      <c r="AC27" s="26" t="s"/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7" t="s"/>
      <c r="AL27" s="27" t="s"/>
      <c r="AM27" s="27" t="s"/>
    </row>
    <row r="28" spans="1:39" s="155" customFormat="1" ht="12.95" customHeight="1">
      <c r="A28" s="17" t="s">
        <v>17</v>
      </c>
      <c r="B28" s="18" t="s">
        <v>80</v>
      </c>
      <c r="C28" s="18" t="s">
        <v>81</v>
      </c>
      <c r="D28" s="18" t="s">
        <v>82</v>
      </c>
      <c r="E28" s="18" t="s">
        <v>14</v>
      </c>
      <c r="F28" s="18" t="s">
        <v>59</v>
      </c>
      <c r="G28" s="19" t="s">
        <v>7</v>
      </c>
      <c r="H28" s="20" t="s">
        <v>21</v>
      </c>
      <c r="I28" s="21">
        <v>45809</v>
      </c>
      <c r="J28" s="28">
        <f>=SUM(K28:Q28)</f>
        <v>2163382</v>
      </c>
      <c r="K28" s="23">
        <v>468873</v>
      </c>
      <c r="L28" s="23">
        <v>1001139</v>
      </c>
      <c r="M28" s="23">
        <v>85000</v>
      </c>
      <c r="N28" s="23">
        <v>42000</v>
      </c>
      <c r="O28" s="23">
        <v>48000</v>
      </c>
      <c r="P28" s="23">
        <v>482170</v>
      </c>
      <c r="Q28" s="23">
        <v>36200</v>
      </c>
      <c r="R28" s="24" t="s"/>
      <c r="S28" s="25" t="s"/>
      <c r="T28" s="25" t="s"/>
      <c r="U28" s="25" t="s"/>
      <c r="V28" s="25" t="s"/>
      <c r="W28" s="25" t="s"/>
      <c r="X28" s="25" t="s"/>
      <c r="Y28" s="25" t="s"/>
      <c r="Z28" s="23">
        <v>580000</v>
      </c>
      <c r="AA28" s="23">
        <v>0</v>
      </c>
      <c r="AB28" s="25" t="s"/>
      <c r="AC28" s="26" t="s"/>
      <c r="AD28" s="23">
        <v>151380.71</v>
      </c>
      <c r="AE28" s="23">
        <v>1042578.01</v>
      </c>
      <c r="AF28" s="23">
        <v>78365.22</v>
      </c>
      <c r="AG28" s="23">
        <v>29579.73</v>
      </c>
      <c r="AH28" s="23">
        <v>15255.25</v>
      </c>
      <c r="AI28" s="23">
        <v>450000</v>
      </c>
      <c r="AJ28" s="23">
        <v>2758.69</v>
      </c>
      <c r="AK28" s="27" t="s"/>
      <c r="AL28" s="27" t="s"/>
      <c r="AM28" s="27" t="s"/>
    </row>
    <row r="29" spans="1:39" s="155" customFormat="1" ht="12.95" customHeight="1">
      <c r="A29" s="17" t="s">
        <v>17</v>
      </c>
      <c r="B29" s="18" t="s">
        <v>83</v>
      </c>
      <c r="C29" s="18" t="s">
        <v>23</v>
      </c>
      <c r="D29" s="18" t="s">
        <v>84</v>
      </c>
      <c r="E29" s="18" t="s">
        <v>14</v>
      </c>
      <c r="F29" s="18" t="s">
        <v>85</v>
      </c>
      <c r="G29" s="19" t="s">
        <v>7</v>
      </c>
      <c r="H29" s="20" t="s">
        <v>27</v>
      </c>
      <c r="I29" s="21">
        <v>45992</v>
      </c>
      <c r="J29" s="28">
        <f>=SUM(K29:Q29)</f>
        <v>933000</v>
      </c>
      <c r="K29" s="23">
        <v>252000</v>
      </c>
      <c r="L29" s="23">
        <v>140000</v>
      </c>
      <c r="M29" s="23">
        <v>383000</v>
      </c>
      <c r="N29" s="23">
        <v>80000</v>
      </c>
      <c r="O29" s="23">
        <v>10000</v>
      </c>
      <c r="P29" s="23">
        <v>0</v>
      </c>
      <c r="Q29" s="23">
        <v>68000</v>
      </c>
      <c r="R29" s="24" t="s"/>
      <c r="S29" s="25" t="s"/>
      <c r="T29" s="25" t="s"/>
      <c r="U29" s="25" t="s"/>
      <c r="V29" s="25" t="s"/>
      <c r="W29" s="25" t="s"/>
      <c r="X29" s="25" t="s"/>
      <c r="Y29" s="25" t="s"/>
      <c r="Z29" s="23">
        <v>0</v>
      </c>
      <c r="AA29" s="23">
        <v>0</v>
      </c>
      <c r="AB29" s="25" t="s"/>
      <c r="AC29" s="26" t="s"/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7" t="s"/>
      <c r="AL29" s="27" t="s"/>
      <c r="AM29" s="27" t="s"/>
    </row>
    <row r="30" spans="1:39" s="155" customFormat="1" ht="12.95" customHeight="1">
      <c r="A30" s="17" t="s">
        <v>17</v>
      </c>
      <c r="B30" s="18" t="s">
        <v>86</v>
      </c>
      <c r="C30" s="18" t="s">
        <v>23</v>
      </c>
      <c r="D30" s="18" t="s">
        <v>87</v>
      </c>
      <c r="E30" s="18" t="s">
        <v>14</v>
      </c>
      <c r="F30" s="18" t="s">
        <v>85</v>
      </c>
      <c r="G30" s="19" t="s">
        <v>7</v>
      </c>
      <c r="H30" s="20" t="s">
        <v>27</v>
      </c>
      <c r="I30" s="21">
        <v>45474</v>
      </c>
      <c r="J30" s="28">
        <f>=SUM(K30:Q30)</f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4" t="s"/>
      <c r="S30" s="25" t="s"/>
      <c r="T30" s="25" t="s"/>
      <c r="U30" s="25" t="s"/>
      <c r="V30" s="25" t="s"/>
      <c r="W30" s="25" t="s"/>
      <c r="X30" s="25" t="s"/>
      <c r="Y30" s="25" t="s"/>
      <c r="Z30" s="23">
        <v>2308336</v>
      </c>
      <c r="AA30" s="23">
        <v>0</v>
      </c>
      <c r="AB30" s="25" t="s"/>
      <c r="AC30" s="26" t="s"/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7" t="s"/>
      <c r="AL30" s="27" t="s"/>
      <c r="AM30" s="27" t="s"/>
    </row>
    <row r="31" spans="1:39" s="155" customFormat="1" ht="12.95" customHeight="1">
      <c r="A31" s="17" t="s">
        <v>17</v>
      </c>
      <c r="B31" s="18" t="s">
        <v>88</v>
      </c>
      <c r="C31" s="18" t="s">
        <v>81</v>
      </c>
      <c r="D31" s="18" t="s">
        <v>89</v>
      </c>
      <c r="E31" s="18" t="s">
        <v>10</v>
      </c>
      <c r="F31" s="18" t="s">
        <v>11</v>
      </c>
      <c r="G31" s="19" t="s">
        <v>7</v>
      </c>
      <c r="H31" s="20" t="s">
        <v>21</v>
      </c>
      <c r="I31" s="21">
        <v>45658</v>
      </c>
      <c r="J31" s="28">
        <f>=SUM(K31:Q31)</f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4" t="s"/>
      <c r="S31" s="25" t="s"/>
      <c r="T31" s="25" t="s"/>
      <c r="U31" s="25" t="s"/>
      <c r="V31" s="25" t="s"/>
      <c r="W31" s="25" t="s"/>
      <c r="X31" s="25" t="s"/>
      <c r="Y31" s="25" t="s"/>
      <c r="Z31" s="23">
        <v>0</v>
      </c>
      <c r="AA31" s="23">
        <v>0</v>
      </c>
      <c r="AB31" s="25" t="s"/>
      <c r="AC31" s="26" t="s"/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7" t="s"/>
      <c r="AL31" s="27" t="s"/>
      <c r="AM31" s="27" t="s"/>
    </row>
    <row r="32" spans="1:39" s="155" customFormat="1" ht="12.95" customHeight="1">
      <c r="A32" s="17" t="s">
        <v>17</v>
      </c>
      <c r="B32" s="18" t="s">
        <v>90</v>
      </c>
      <c r="C32" s="18" t="s">
        <v>40</v>
      </c>
      <c r="D32" s="18" t="s">
        <v>91</v>
      </c>
      <c r="E32" s="18" t="s">
        <v>10</v>
      </c>
      <c r="F32" s="18" t="s">
        <v>11</v>
      </c>
      <c r="G32" s="19" t="s">
        <v>7</v>
      </c>
      <c r="H32" s="20" t="s">
        <v>21</v>
      </c>
      <c r="I32" s="21">
        <v>45870</v>
      </c>
      <c r="J32" s="28">
        <f>=SUM(K32:Q32)</f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4" t="s"/>
      <c r="S32" s="25" t="s"/>
      <c r="T32" s="25" t="s"/>
      <c r="U32" s="25" t="s"/>
      <c r="V32" s="25" t="s"/>
      <c r="W32" s="25" t="s"/>
      <c r="X32" s="25" t="s"/>
      <c r="Y32" s="25" t="s"/>
      <c r="Z32" s="23">
        <v>0</v>
      </c>
      <c r="AA32" s="23">
        <v>0</v>
      </c>
      <c r="AB32" s="25" t="s"/>
      <c r="AC32" s="26" t="s"/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7" t="s"/>
      <c r="AL32" s="27" t="s"/>
      <c r="AM32" s="27" t="s"/>
    </row>
    <row r="33" spans="1:39" s="155" customFormat="1" ht="12.95" customHeight="1">
      <c r="A33" s="17" t="s">
        <v>17</v>
      </c>
      <c r="B33" s="18" t="s">
        <v>92</v>
      </c>
      <c r="C33" s="18" t="s">
        <v>93</v>
      </c>
      <c r="D33" s="18" t="s">
        <v>94</v>
      </c>
      <c r="E33" s="18" t="s">
        <v>29</v>
      </c>
      <c r="F33" s="18" t="s">
        <v>42</v>
      </c>
      <c r="G33" s="19" t="s">
        <v>7</v>
      </c>
      <c r="H33" s="20" t="s">
        <v>27</v>
      </c>
      <c r="I33" s="21">
        <v>45809</v>
      </c>
      <c r="J33" s="28">
        <f>=SUM(K33:Q33)</f>
        <v>679748.3932</v>
      </c>
      <c r="K33" s="23">
        <v>104280.3932</v>
      </c>
      <c r="L33" s="23">
        <v>199888</v>
      </c>
      <c r="M33" s="23">
        <v>275580</v>
      </c>
      <c r="N33" s="23">
        <v>80000</v>
      </c>
      <c r="O33" s="23">
        <v>10000</v>
      </c>
      <c r="P33" s="23">
        <v>0</v>
      </c>
      <c r="Q33" s="23">
        <v>10000</v>
      </c>
      <c r="R33" s="24" t="s"/>
      <c r="S33" s="25" t="s"/>
      <c r="T33" s="25" t="s"/>
      <c r="U33" s="25" t="s"/>
      <c r="V33" s="25" t="s"/>
      <c r="W33" s="25" t="s"/>
      <c r="X33" s="25" t="s"/>
      <c r="Y33" s="25" t="s"/>
      <c r="Z33" s="23">
        <v>64546.4</v>
      </c>
      <c r="AA33" s="23">
        <v>0</v>
      </c>
      <c r="AB33" s="25" t="s"/>
      <c r="AC33" s="26" t="s"/>
      <c r="AD33" s="23">
        <v>81683.84</v>
      </c>
      <c r="AE33" s="23">
        <v>724727.52</v>
      </c>
      <c r="AF33" s="23">
        <v>122366.06</v>
      </c>
      <c r="AG33" s="23">
        <v>67268.81</v>
      </c>
      <c r="AH33" s="23">
        <v>5000</v>
      </c>
      <c r="AI33" s="23">
        <v>0</v>
      </c>
      <c r="AJ33" s="23">
        <v>5497.61</v>
      </c>
      <c r="AK33" s="27" t="s"/>
      <c r="AL33" s="27" t="s"/>
      <c r="AM33" s="27" t="s"/>
    </row>
    <row r="34" spans="1:39" s="155" customFormat="1" ht="12.95" customHeight="1">
      <c r="A34" s="17" t="s">
        <v>17</v>
      </c>
      <c r="B34" s="18" t="s">
        <v>95</v>
      </c>
      <c r="C34" s="18" t="s">
        <v>40</v>
      </c>
      <c r="D34" s="18" t="s">
        <v>96</v>
      </c>
      <c r="E34" s="18" t="s">
        <v>10</v>
      </c>
      <c r="F34" s="18" t="s">
        <v>11</v>
      </c>
      <c r="G34" s="19" t="s">
        <v>7</v>
      </c>
      <c r="H34" s="20" t="s">
        <v>21</v>
      </c>
      <c r="I34" s="21">
        <v>45658</v>
      </c>
      <c r="J34" s="28">
        <f>=SUM(K34:Q34)</f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4" t="s"/>
      <c r="S34" s="25" t="s"/>
      <c r="T34" s="25" t="s"/>
      <c r="U34" s="25" t="s"/>
      <c r="V34" s="25" t="s"/>
      <c r="W34" s="25" t="s"/>
      <c r="X34" s="25" t="s"/>
      <c r="Y34" s="25" t="s"/>
      <c r="Z34" s="23">
        <v>0</v>
      </c>
      <c r="AA34" s="23">
        <v>0</v>
      </c>
      <c r="AB34" s="25" t="s"/>
      <c r="AC34" s="26" t="s"/>
      <c r="AD34" s="23">
        <v>0</v>
      </c>
      <c r="AE34" s="23">
        <v>0</v>
      </c>
      <c r="AF34" s="23">
        <v>0</v>
      </c>
      <c r="AG34" s="23">
        <v>0</v>
      </c>
      <c r="AH34" s="23">
        <v>0</v>
      </c>
      <c r="AI34" s="23">
        <v>0</v>
      </c>
      <c r="AJ34" s="23">
        <v>0</v>
      </c>
      <c r="AK34" s="27" t="s"/>
      <c r="AL34" s="27" t="s"/>
      <c r="AM34" s="27" t="s"/>
    </row>
    <row r="35" spans="1:39" s="155" customFormat="1" ht="12.95" customHeight="1">
      <c r="A35" s="17" t="s">
        <v>17</v>
      </c>
      <c r="B35" s="18" t="s">
        <v>97</v>
      </c>
      <c r="C35" s="18" t="s">
        <v>40</v>
      </c>
      <c r="D35" s="18" t="s">
        <v>98</v>
      </c>
      <c r="E35" s="18" t="s">
        <v>10</v>
      </c>
      <c r="F35" s="18" t="s">
        <v>11</v>
      </c>
      <c r="G35" s="19" t="s">
        <v>7</v>
      </c>
      <c r="H35" s="20" t="s">
        <v>21</v>
      </c>
      <c r="I35" s="21">
        <v>45658</v>
      </c>
      <c r="J35" s="28">
        <f>=SUM(K35:Q35)</f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4" t="s"/>
      <c r="S35" s="25" t="s"/>
      <c r="T35" s="25" t="s"/>
      <c r="U35" s="25" t="s"/>
      <c r="V35" s="25" t="s"/>
      <c r="W35" s="25" t="s"/>
      <c r="X35" s="25" t="s"/>
      <c r="Y35" s="25" t="s"/>
      <c r="Z35" s="23">
        <v>46000</v>
      </c>
      <c r="AA35" s="23">
        <v>0</v>
      </c>
      <c r="AB35" s="25" t="s"/>
      <c r="AC35" s="26" t="s"/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3">
        <v>0</v>
      </c>
      <c r="AJ35" s="23">
        <v>0</v>
      </c>
      <c r="AK35" s="27" t="s"/>
      <c r="AL35" s="27" t="s"/>
      <c r="AM35" s="27" t="s"/>
    </row>
    <row r="36" spans="1:39" s="155" customFormat="1" ht="12.95" customHeight="1">
      <c r="A36" s="17" t="s">
        <v>17</v>
      </c>
      <c r="B36" s="18" t="s">
        <v>99</v>
      </c>
      <c r="C36" s="18" t="s">
        <v>64</v>
      </c>
      <c r="D36" s="18" t="s">
        <v>100</v>
      </c>
      <c r="E36" s="18" t="s">
        <v>14</v>
      </c>
      <c r="F36" s="18" t="s">
        <v>5</v>
      </c>
      <c r="G36" s="19" t="s">
        <v>7</v>
      </c>
      <c r="H36" s="20" t="s">
        <v>27</v>
      </c>
      <c r="I36" s="21">
        <v>45707</v>
      </c>
      <c r="J36" s="28">
        <f>=SUM(K36:Q36)</f>
        <v>9204262.65083445</v>
      </c>
      <c r="K36" s="23">
        <v>3075578.65083445</v>
      </c>
      <c r="L36" s="23">
        <v>3441024</v>
      </c>
      <c r="M36" s="23">
        <v>1826360</v>
      </c>
      <c r="N36" s="23">
        <v>240400</v>
      </c>
      <c r="O36" s="23">
        <v>70000</v>
      </c>
      <c r="P36" s="23">
        <v>515500</v>
      </c>
      <c r="Q36" s="23">
        <v>35400</v>
      </c>
      <c r="R36" s="24" t="s"/>
      <c r="S36" s="25" t="s"/>
      <c r="T36" s="25" t="s"/>
      <c r="U36" s="25" t="s"/>
      <c r="V36" s="25" t="s"/>
      <c r="W36" s="25" t="s"/>
      <c r="X36" s="25" t="s"/>
      <c r="Y36" s="25" t="s"/>
      <c r="Z36" s="23">
        <v>290600</v>
      </c>
      <c r="AA36" s="23">
        <v>0</v>
      </c>
      <c r="AB36" s="25" t="s"/>
      <c r="AC36" s="26" t="s"/>
      <c r="AD36" s="23">
        <v>2448365.62</v>
      </c>
      <c r="AE36" s="23">
        <v>2927380.19</v>
      </c>
      <c r="AF36" s="23">
        <v>1416608.23</v>
      </c>
      <c r="AG36" s="23">
        <v>445222.92</v>
      </c>
      <c r="AH36" s="23">
        <v>56825.56</v>
      </c>
      <c r="AI36" s="23">
        <v>350256.78</v>
      </c>
      <c r="AJ36" s="23">
        <v>14959.52</v>
      </c>
      <c r="AK36" s="27" t="s"/>
      <c r="AL36" s="27" t="s"/>
      <c r="AM36" s="27" t="s"/>
    </row>
    <row r="37" spans="1:39" s="155" customFormat="1" ht="12.95" customHeight="1">
      <c r="A37" s="17" t="s">
        <v>17</v>
      </c>
      <c r="B37" s="18" t="s">
        <v>101</v>
      </c>
      <c r="C37" s="18" t="s">
        <v>102</v>
      </c>
      <c r="D37" s="18" t="s">
        <v>103</v>
      </c>
      <c r="E37" s="18" t="s">
        <v>33</v>
      </c>
      <c r="F37" s="18" t="s">
        <v>11</v>
      </c>
      <c r="G37" s="19" t="s">
        <v>7</v>
      </c>
      <c r="H37" s="20" t="s">
        <v>21</v>
      </c>
      <c r="I37" s="21">
        <v>45658</v>
      </c>
      <c r="J37" s="28">
        <f>=SUM(K37:Q37)</f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4" t="s"/>
      <c r="S37" s="25" t="s"/>
      <c r="T37" s="25" t="s"/>
      <c r="U37" s="25" t="s"/>
      <c r="V37" s="25" t="s"/>
      <c r="W37" s="25" t="s"/>
      <c r="X37" s="25" t="s"/>
      <c r="Y37" s="25" t="s"/>
      <c r="Z37" s="23">
        <v>0</v>
      </c>
      <c r="AA37" s="23">
        <v>0</v>
      </c>
      <c r="AB37" s="25" t="s"/>
      <c r="AC37" s="26" t="s"/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7" t="s"/>
      <c r="AL37" s="27" t="s"/>
      <c r="AM37" s="27" t="s"/>
    </row>
    <row r="38" spans="1:39" s="155" customFormat="1" ht="12.95" customHeight="1">
      <c r="A38" s="17" t="s">
        <v>17</v>
      </c>
      <c r="B38" s="18" t="s">
        <v>104</v>
      </c>
      <c r="C38" s="18" t="s">
        <v>40</v>
      </c>
      <c r="D38" s="18" t="s">
        <v>105</v>
      </c>
      <c r="E38" s="18" t="s">
        <v>14</v>
      </c>
      <c r="F38" s="18" t="s">
        <v>106</v>
      </c>
      <c r="G38" s="19" t="s">
        <v>7</v>
      </c>
      <c r="H38" s="20" t="s">
        <v>21</v>
      </c>
      <c r="I38" s="21">
        <v>45731</v>
      </c>
      <c r="J38" s="28">
        <f>=SUM(K38:Q38)</f>
        <v>6526034.20866273</v>
      </c>
      <c r="K38" s="23">
        <v>1109346.20866273</v>
      </c>
      <c r="L38" s="23">
        <v>2183488</v>
      </c>
      <c r="M38" s="23">
        <v>632000</v>
      </c>
      <c r="N38" s="23">
        <v>605900</v>
      </c>
      <c r="O38" s="23">
        <v>50000</v>
      </c>
      <c r="P38" s="23">
        <v>1880000</v>
      </c>
      <c r="Q38" s="23">
        <v>65300</v>
      </c>
      <c r="R38" s="24" t="s"/>
      <c r="S38" s="25" t="s"/>
      <c r="T38" s="25" t="s"/>
      <c r="U38" s="25" t="s"/>
      <c r="V38" s="25" t="s"/>
      <c r="W38" s="25" t="s"/>
      <c r="X38" s="25" t="s"/>
      <c r="Y38" s="25" t="s"/>
      <c r="Z38" s="23">
        <v>946522</v>
      </c>
      <c r="AA38" s="23">
        <v>0</v>
      </c>
      <c r="AB38" s="25" t="s"/>
      <c r="AC38" s="26" t="s"/>
      <c r="AD38" s="23">
        <v>598093.09</v>
      </c>
      <c r="AE38" s="23">
        <v>2780606.29</v>
      </c>
      <c r="AF38" s="23">
        <v>324007.91</v>
      </c>
      <c r="AG38" s="23">
        <v>446557.26</v>
      </c>
      <c r="AH38" s="23">
        <v>16139.06</v>
      </c>
      <c r="AI38" s="23">
        <v>1611447.25</v>
      </c>
      <c r="AJ38" s="23">
        <v>74153.36</v>
      </c>
      <c r="AK38" s="27" t="s"/>
      <c r="AL38" s="27" t="s"/>
      <c r="AM38" s="27" t="s"/>
    </row>
    <row r="39" spans="1:39" s="155" customFormat="1" ht="12.95" customHeight="1">
      <c r="A39" s="17" t="s">
        <v>17</v>
      </c>
      <c r="B39" s="18" t="s">
        <v>107</v>
      </c>
      <c r="C39" s="18" t="s">
        <v>31</v>
      </c>
      <c r="D39" s="18" t="s">
        <v>108</v>
      </c>
      <c r="E39" s="18" t="s">
        <v>33</v>
      </c>
      <c r="F39" s="18" t="s">
        <v>11</v>
      </c>
      <c r="G39" s="19" t="s">
        <v>7</v>
      </c>
      <c r="H39" s="20" t="s">
        <v>21</v>
      </c>
      <c r="I39" s="21">
        <v>45658</v>
      </c>
      <c r="J39" s="28">
        <f>=SUM(K39:Q39)</f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4" t="s"/>
      <c r="S39" s="25" t="s"/>
      <c r="T39" s="25" t="s"/>
      <c r="U39" s="25" t="s"/>
      <c r="V39" s="25" t="s"/>
      <c r="W39" s="25" t="s"/>
      <c r="X39" s="25" t="s"/>
      <c r="Y39" s="25" t="s"/>
      <c r="Z39" s="23">
        <v>0</v>
      </c>
      <c r="AA39" s="23">
        <v>0</v>
      </c>
      <c r="AB39" s="25" t="s"/>
      <c r="AC39" s="26" t="s"/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3">
        <v>0</v>
      </c>
      <c r="AJ39" s="23">
        <v>0</v>
      </c>
      <c r="AK39" s="27" t="s"/>
      <c r="AL39" s="27" t="s"/>
      <c r="AM39" s="27" t="s"/>
    </row>
    <row r="40" spans="1:39" s="155" customFormat="1" ht="12.95" customHeight="1">
      <c r="A40" s="17" t="s">
        <v>17</v>
      </c>
      <c r="B40" s="18" t="s">
        <v>109</v>
      </c>
      <c r="C40" s="18" t="s">
        <v>31</v>
      </c>
      <c r="D40" s="18" t="s">
        <v>110</v>
      </c>
      <c r="E40" s="18" t="s">
        <v>33</v>
      </c>
      <c r="F40" s="18" t="s">
        <v>11</v>
      </c>
      <c r="G40" s="19" t="s">
        <v>7</v>
      </c>
      <c r="H40" s="20" t="s">
        <v>21</v>
      </c>
      <c r="I40" s="21">
        <v>45658</v>
      </c>
      <c r="J40" s="28">
        <f>=SUM(K40:Q40)</f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4" t="s"/>
      <c r="S40" s="25" t="s"/>
      <c r="T40" s="25" t="s"/>
      <c r="U40" s="25" t="s"/>
      <c r="V40" s="25" t="s"/>
      <c r="W40" s="25" t="s"/>
      <c r="X40" s="25" t="s"/>
      <c r="Y40" s="25" t="s"/>
      <c r="Z40" s="23">
        <v>0</v>
      </c>
      <c r="AA40" s="23">
        <v>0</v>
      </c>
      <c r="AB40" s="25" t="s"/>
      <c r="AC40" s="26" t="s"/>
      <c r="AD40" s="23">
        <v>0</v>
      </c>
      <c r="AE40" s="23">
        <v>0</v>
      </c>
      <c r="AF40" s="23">
        <v>0</v>
      </c>
      <c r="AG40" s="23">
        <v>0</v>
      </c>
      <c r="AH40" s="23">
        <v>0</v>
      </c>
      <c r="AI40" s="23">
        <v>0</v>
      </c>
      <c r="AJ40" s="23">
        <v>0</v>
      </c>
      <c r="AK40" s="27" t="s"/>
      <c r="AL40" s="27" t="s"/>
      <c r="AM40" s="27" t="s"/>
    </row>
    <row r="41" spans="1:39" s="155" customFormat="1" ht="12.95" customHeight="1">
      <c r="A41" s="17" t="s">
        <v>17</v>
      </c>
      <c r="B41" s="18" t="s">
        <v>111</v>
      </c>
      <c r="C41" s="18" t="s">
        <v>112</v>
      </c>
      <c r="D41" s="18" t="s">
        <v>113</v>
      </c>
      <c r="E41" s="18" t="s">
        <v>14</v>
      </c>
      <c r="F41" s="18" t="s">
        <v>114</v>
      </c>
      <c r="G41" s="19" t="s">
        <v>7</v>
      </c>
      <c r="H41" s="20" t="s">
        <v>115</v>
      </c>
      <c r="I41" s="21">
        <v>45901</v>
      </c>
      <c r="J41" s="28">
        <f>=SUM(K41:Q41)</f>
        <v>8003691</v>
      </c>
      <c r="K41" s="23">
        <v>1000000</v>
      </c>
      <c r="L41" s="23">
        <v>0</v>
      </c>
      <c r="M41" s="23">
        <v>964865</v>
      </c>
      <c r="N41" s="23">
        <v>0</v>
      </c>
      <c r="O41" s="23">
        <v>0</v>
      </c>
      <c r="P41" s="23">
        <v>1201325</v>
      </c>
      <c r="Q41" s="23">
        <v>4837501</v>
      </c>
      <c r="R41" s="24" t="s"/>
      <c r="S41" s="25" t="s"/>
      <c r="T41" s="25" t="s"/>
      <c r="U41" s="25" t="s"/>
      <c r="V41" s="25" t="s"/>
      <c r="W41" s="25" t="s"/>
      <c r="X41" s="25" t="s"/>
      <c r="Y41" s="25" t="s"/>
      <c r="Z41" s="23">
        <v>0</v>
      </c>
      <c r="AA41" s="23">
        <v>0</v>
      </c>
      <c r="AB41" s="25" t="s"/>
      <c r="AC41" s="26" t="s"/>
      <c r="AD41" s="23">
        <v>1684439</v>
      </c>
      <c r="AE41" s="23">
        <v>618544</v>
      </c>
      <c r="AF41" s="23">
        <v>13208</v>
      </c>
      <c r="AG41" s="23">
        <v>23296</v>
      </c>
      <c r="AH41" s="23">
        <v>4175</v>
      </c>
      <c r="AI41" s="23">
        <v>4758872.54</v>
      </c>
      <c r="AJ41" s="23">
        <v>997128</v>
      </c>
      <c r="AK41" s="27" t="s"/>
      <c r="AL41" s="27" t="s"/>
      <c r="AM41" s="27" t="s"/>
    </row>
    <row r="42" spans="1:39" s="155" customFormat="1" ht="12.95" customHeight="1">
      <c r="A42" s="17" t="s">
        <v>17</v>
      </c>
      <c r="B42" s="18" t="s">
        <v>116</v>
      </c>
      <c r="C42" s="18" t="s">
        <v>112</v>
      </c>
      <c r="D42" s="18" t="s">
        <v>117</v>
      </c>
      <c r="E42" s="18" t="s">
        <v>14</v>
      </c>
      <c r="F42" s="18" t="s">
        <v>114</v>
      </c>
      <c r="G42" s="19" t="s">
        <v>7</v>
      </c>
      <c r="H42" s="20" t="s">
        <v>115</v>
      </c>
      <c r="I42" s="21">
        <v>46266</v>
      </c>
      <c r="J42" s="28">
        <f>=SUM(K42:Q42)</f>
        <v>6852012.9854167</v>
      </c>
      <c r="K42" s="23">
        <v>969358</v>
      </c>
      <c r="L42" s="23">
        <v>2080000</v>
      </c>
      <c r="M42" s="23">
        <v>1000000</v>
      </c>
      <c r="N42" s="23">
        <v>152654.9854167</v>
      </c>
      <c r="O42" s="23">
        <v>0</v>
      </c>
      <c r="P42" s="23">
        <v>2650000</v>
      </c>
      <c r="Q42" s="23">
        <v>0</v>
      </c>
      <c r="R42" s="24" t="s"/>
      <c r="S42" s="25" t="s"/>
      <c r="T42" s="25" t="s"/>
      <c r="U42" s="25" t="s"/>
      <c r="V42" s="25" t="s"/>
      <c r="W42" s="25" t="s"/>
      <c r="X42" s="25" t="s"/>
      <c r="Y42" s="25" t="s"/>
      <c r="Z42" s="23">
        <v>0</v>
      </c>
      <c r="AA42" s="23">
        <v>0</v>
      </c>
      <c r="AB42" s="25" t="s"/>
      <c r="AC42" s="26" t="s"/>
      <c r="AD42" s="23">
        <v>926609</v>
      </c>
      <c r="AE42" s="23">
        <v>2218278</v>
      </c>
      <c r="AF42" s="23">
        <v>1490</v>
      </c>
      <c r="AG42" s="23">
        <v>179496</v>
      </c>
      <c r="AH42" s="23">
        <v>9891</v>
      </c>
      <c r="AI42" s="23">
        <v>2340918</v>
      </c>
      <c r="AJ42" s="23">
        <v>387483</v>
      </c>
      <c r="AK42" s="27" t="s"/>
      <c r="AL42" s="27" t="s"/>
      <c r="AM42" s="27" t="s"/>
    </row>
    <row r="43" spans="1:39" s="155" customFormat="1" ht="12.95" customHeight="1">
      <c r="A43" s="17" t="s">
        <v>17</v>
      </c>
      <c r="B43" s="18" t="s">
        <v>118</v>
      </c>
      <c r="C43" s="18" t="s">
        <v>112</v>
      </c>
      <c r="D43" s="18" t="s">
        <v>119</v>
      </c>
      <c r="E43" s="18" t="s">
        <v>14</v>
      </c>
      <c r="F43" s="18" t="s">
        <v>114</v>
      </c>
      <c r="G43" s="19" t="s">
        <v>7</v>
      </c>
      <c r="H43" s="20" t="s">
        <v>115</v>
      </c>
      <c r="I43" s="21">
        <v>46327</v>
      </c>
      <c r="J43" s="28">
        <f>=SUM(K43:Q43)</f>
        <v>6532924.28211716</v>
      </c>
      <c r="K43" s="23">
        <v>1510505.28723166</v>
      </c>
      <c r="L43" s="23">
        <v>0</v>
      </c>
      <c r="M43" s="23">
        <v>419584.802008794</v>
      </c>
      <c r="N43" s="23">
        <v>276739.487191578</v>
      </c>
      <c r="O43" s="23">
        <v>0</v>
      </c>
      <c r="P43" s="23">
        <v>4326094.70568513</v>
      </c>
      <c r="Q43" s="23">
        <v>0</v>
      </c>
      <c r="R43" s="24" t="s"/>
      <c r="S43" s="25" t="s"/>
      <c r="T43" s="25" t="s"/>
      <c r="U43" s="25" t="s"/>
      <c r="V43" s="25" t="s"/>
      <c r="W43" s="25" t="s"/>
      <c r="X43" s="25" t="s"/>
      <c r="Y43" s="25" t="s"/>
      <c r="Z43" s="23">
        <v>25000</v>
      </c>
      <c r="AA43" s="23">
        <v>0</v>
      </c>
      <c r="AB43" s="25" t="s"/>
      <c r="AC43" s="26" t="s"/>
      <c r="AD43" s="23">
        <v>80432</v>
      </c>
      <c r="AE43" s="23">
        <v>791315</v>
      </c>
      <c r="AF43" s="23">
        <v>0</v>
      </c>
      <c r="AG43" s="23">
        <v>73437</v>
      </c>
      <c r="AH43" s="23">
        <v>3886</v>
      </c>
      <c r="AI43" s="23">
        <v>-107315.58</v>
      </c>
      <c r="AJ43" s="23">
        <v>5592</v>
      </c>
      <c r="AK43" s="27" t="s"/>
      <c r="AL43" s="27" t="s"/>
      <c r="AM43" s="27" t="s"/>
    </row>
    <row r="44" spans="1:39" s="155" customFormat="1" ht="12.95" customHeight="1">
      <c r="A44" s="17" t="s">
        <v>17</v>
      </c>
      <c r="B44" s="18" t="s">
        <v>120</v>
      </c>
      <c r="C44" s="18" t="s">
        <v>40</v>
      </c>
      <c r="D44" s="18" t="s">
        <v>121</v>
      </c>
      <c r="E44" s="18" t="s">
        <v>10</v>
      </c>
      <c r="F44" s="18" t="s">
        <v>11</v>
      </c>
      <c r="G44" s="19" t="s">
        <v>7</v>
      </c>
      <c r="H44" s="20" t="s">
        <v>21</v>
      </c>
      <c r="I44" s="21">
        <v>45778</v>
      </c>
      <c r="J44" s="28">
        <f>=SUM(K44:Q44)</f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4" t="s"/>
      <c r="S44" s="25" t="s"/>
      <c r="T44" s="25" t="s"/>
      <c r="U44" s="25" t="s"/>
      <c r="V44" s="25" t="s"/>
      <c r="W44" s="25" t="s"/>
      <c r="X44" s="25" t="s"/>
      <c r="Y44" s="25" t="s"/>
      <c r="Z44" s="23">
        <v>0</v>
      </c>
      <c r="AA44" s="23">
        <v>0</v>
      </c>
      <c r="AB44" s="25" t="s"/>
      <c r="AC44" s="26" t="s"/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3">
        <v>0</v>
      </c>
      <c r="AJ44" s="23">
        <v>0</v>
      </c>
      <c r="AK44" s="27" t="s"/>
      <c r="AL44" s="27" t="s"/>
      <c r="AM44" s="27" t="s"/>
    </row>
    <row r="45" spans="1:39" s="155" customFormat="1" ht="12.95" customHeight="1">
      <c r="A45" s="17" t="s">
        <v>17</v>
      </c>
      <c r="B45" s="18" t="s">
        <v>122</v>
      </c>
      <c r="C45" s="18" t="s">
        <v>40</v>
      </c>
      <c r="D45" s="18" t="s">
        <v>123</v>
      </c>
      <c r="E45" s="18" t="s">
        <v>47</v>
      </c>
      <c r="F45" s="18" t="s">
        <v>11</v>
      </c>
      <c r="G45" s="19" t="s">
        <v>7</v>
      </c>
      <c r="H45" s="20" t="s">
        <v>21</v>
      </c>
      <c r="I45" s="21">
        <v>45992</v>
      </c>
      <c r="J45" s="28">
        <f>=SUM(K45:Q45)</f>
        <v>820000</v>
      </c>
      <c r="K45" s="23">
        <v>210000</v>
      </c>
      <c r="L45" s="23">
        <v>0</v>
      </c>
      <c r="M45" s="23">
        <v>300000</v>
      </c>
      <c r="N45" s="23">
        <v>200000</v>
      </c>
      <c r="O45" s="23">
        <v>25000</v>
      </c>
      <c r="P45" s="23">
        <v>0</v>
      </c>
      <c r="Q45" s="23">
        <v>85000</v>
      </c>
      <c r="R45" s="24" t="s"/>
      <c r="S45" s="25" t="s"/>
      <c r="T45" s="25" t="s"/>
      <c r="U45" s="25" t="s"/>
      <c r="V45" s="25" t="s"/>
      <c r="W45" s="25" t="s"/>
      <c r="X45" s="25" t="s"/>
      <c r="Y45" s="25" t="s"/>
      <c r="Z45" s="23">
        <v>0</v>
      </c>
      <c r="AA45" s="23">
        <v>0</v>
      </c>
      <c r="AB45" s="25" t="s"/>
      <c r="AC45" s="26" t="s"/>
      <c r="AD45" s="23">
        <v>138540.23</v>
      </c>
      <c r="AE45" s="23">
        <v>143345.34</v>
      </c>
      <c r="AF45" s="23">
        <v>163773.58</v>
      </c>
      <c r="AG45" s="23">
        <v>68831.72</v>
      </c>
      <c r="AH45" s="23">
        <v>4860</v>
      </c>
      <c r="AI45" s="23">
        <v>0</v>
      </c>
      <c r="AJ45" s="23">
        <v>76253.55</v>
      </c>
      <c r="AK45" s="27" t="s"/>
      <c r="AL45" s="27" t="s"/>
      <c r="AM45" s="27" t="s"/>
    </row>
    <row r="46" spans="1:39" s="156" customFormat="1" ht="12.95" customHeight="1">
      <c r="A46" s="29" t="s">
        <v>17</v>
      </c>
      <c r="B46" s="30" t="s">
        <v>124</v>
      </c>
      <c r="C46" s="30" t="s">
        <v>40</v>
      </c>
      <c r="D46" s="30" t="s">
        <v>125</v>
      </c>
      <c r="E46" s="30" t="s">
        <v>126</v>
      </c>
      <c r="F46" s="30" t="s">
        <v>127</v>
      </c>
      <c r="G46" s="31" t="s">
        <v>7</v>
      </c>
      <c r="H46" s="32" t="s">
        <v>70</v>
      </c>
      <c r="I46" s="33">
        <v>45658</v>
      </c>
      <c r="J46" s="34">
        <f>=SUM(K46:Q46)</f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6" t="s"/>
      <c r="S46" s="37" t="s"/>
      <c r="T46" s="37" t="s"/>
      <c r="U46" s="37" t="s"/>
      <c r="V46" s="37" t="s"/>
      <c r="W46" s="37" t="s"/>
      <c r="X46" s="37" t="s"/>
      <c r="Y46" s="37" t="s"/>
      <c r="Z46" s="35">
        <v>0</v>
      </c>
      <c r="AA46" s="35">
        <v>0</v>
      </c>
      <c r="AB46" s="37" t="s"/>
      <c r="AC46" s="37" t="s"/>
      <c r="AD46" s="35">
        <v>0</v>
      </c>
      <c r="AE46" s="35">
        <v>0</v>
      </c>
      <c r="AF46" s="35">
        <v>0</v>
      </c>
      <c r="AG46" s="35">
        <v>0</v>
      </c>
      <c r="AH46" s="35">
        <v>0</v>
      </c>
      <c r="AI46" s="35">
        <v>0</v>
      </c>
      <c r="AJ46" s="35">
        <v>0</v>
      </c>
      <c r="AK46" s="38" t="s">
        <v>128</v>
      </c>
      <c r="AL46" s="38" t="s">
        <v>129</v>
      </c>
      <c r="AM46" s="39" t="s"/>
    </row>
    <row r="47" spans="1:39" s="156" customFormat="1" ht="12.95" customHeight="1">
      <c r="A47" s="29" t="s">
        <v>17</v>
      </c>
      <c r="B47" s="30" t="s">
        <v>130</v>
      </c>
      <c r="C47" s="30" t="s">
        <v>131</v>
      </c>
      <c r="D47" s="30" t="s">
        <v>132</v>
      </c>
      <c r="E47" s="30" t="s">
        <v>74</v>
      </c>
      <c r="F47" s="30" t="s">
        <v>69</v>
      </c>
      <c r="G47" s="31" t="s">
        <v>7</v>
      </c>
      <c r="H47" s="32" t="s">
        <v>70</v>
      </c>
      <c r="I47" s="33">
        <v>45901</v>
      </c>
      <c r="J47" s="34">
        <f>=SUM(K47:Q47)</f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6" t="s"/>
      <c r="S47" s="37" t="s"/>
      <c r="T47" s="37" t="s"/>
      <c r="U47" s="37" t="s"/>
      <c r="V47" s="37" t="s"/>
      <c r="W47" s="37" t="s"/>
      <c r="X47" s="37" t="s"/>
      <c r="Y47" s="37" t="s"/>
      <c r="Z47" s="35">
        <v>0</v>
      </c>
      <c r="AA47" s="35">
        <v>0</v>
      </c>
      <c r="AB47" s="37" t="s"/>
      <c r="AC47" s="37" t="s"/>
      <c r="AD47" s="35">
        <v>36227</v>
      </c>
      <c r="AE47" s="35">
        <v>22015</v>
      </c>
      <c r="AF47" s="35">
        <v>58019</v>
      </c>
      <c r="AG47" s="35">
        <v>1202</v>
      </c>
      <c r="AH47" s="35">
        <v>0</v>
      </c>
      <c r="AI47" s="35">
        <v>305416.81</v>
      </c>
      <c r="AJ47" s="35">
        <v>9659</v>
      </c>
      <c r="AK47" s="38" t="s"/>
      <c r="AL47" s="38" t="s"/>
      <c r="AM47" s="38" t="s"/>
    </row>
    <row r="48" spans="1:39" s="156" customFormat="1" ht="12.95" customHeight="1">
      <c r="A48" s="29" t="s">
        <v>17</v>
      </c>
      <c r="B48" s="30" t="s">
        <v>133</v>
      </c>
      <c r="C48" s="30" t="s">
        <v>131</v>
      </c>
      <c r="D48" s="30" t="s">
        <v>134</v>
      </c>
      <c r="E48" s="30" t="s">
        <v>135</v>
      </c>
      <c r="F48" s="30" t="s">
        <v>69</v>
      </c>
      <c r="G48" s="31" t="s">
        <v>7</v>
      </c>
      <c r="H48" s="32" t="s">
        <v>70</v>
      </c>
      <c r="I48" s="33">
        <v>46001</v>
      </c>
      <c r="J48" s="34">
        <f>=SUM(K48:Q48)</f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6" t="s"/>
      <c r="S48" s="37" t="s"/>
      <c r="T48" s="37" t="s"/>
      <c r="U48" s="37" t="s"/>
      <c r="V48" s="37" t="s"/>
      <c r="W48" s="37" t="s"/>
      <c r="X48" s="37" t="s"/>
      <c r="Y48" s="37" t="s"/>
      <c r="Z48" s="35">
        <v>30000</v>
      </c>
      <c r="AA48" s="35">
        <v>0</v>
      </c>
      <c r="AB48" s="37" t="s"/>
      <c r="AC48" s="37" t="s"/>
      <c r="AD48" s="35">
        <v>5987</v>
      </c>
      <c r="AE48" s="35">
        <v>0</v>
      </c>
      <c r="AF48" s="35">
        <v>0</v>
      </c>
      <c r="AG48" s="35">
        <v>0</v>
      </c>
      <c r="AH48" s="35">
        <v>0</v>
      </c>
      <c r="AI48" s="35">
        <v>0</v>
      </c>
      <c r="AJ48" s="35">
        <v>0</v>
      </c>
      <c r="AK48" s="38" t="s"/>
      <c r="AL48" s="38" t="s"/>
      <c r="AM48" s="38" t="s"/>
    </row>
    <row r="49" spans="1:39" s="156" customFormat="1" ht="12.95" customHeight="1">
      <c r="A49" s="29" t="s">
        <v>17</v>
      </c>
      <c r="B49" s="30" t="s">
        <v>136</v>
      </c>
      <c r="C49" s="30" t="s">
        <v>131</v>
      </c>
      <c r="D49" s="30" t="s">
        <v>137</v>
      </c>
      <c r="E49" s="30" t="s">
        <v>14</v>
      </c>
      <c r="F49" s="30" t="s">
        <v>69</v>
      </c>
      <c r="G49" s="31" t="s">
        <v>7</v>
      </c>
      <c r="H49" s="32" t="s">
        <v>70</v>
      </c>
      <c r="I49" s="33">
        <v>46099</v>
      </c>
      <c r="J49" s="34">
        <f>=SUM(K49:Q49)</f>
        <v>2021001.4</v>
      </c>
      <c r="K49" s="35">
        <v>460000</v>
      </c>
      <c r="L49" s="35">
        <v>730958.4</v>
      </c>
      <c r="M49" s="35">
        <v>72000</v>
      </c>
      <c r="N49" s="35">
        <v>158000</v>
      </c>
      <c r="O49" s="35">
        <v>20000</v>
      </c>
      <c r="P49" s="35">
        <v>543543</v>
      </c>
      <c r="Q49" s="35">
        <v>36500</v>
      </c>
      <c r="R49" s="36" t="s"/>
      <c r="S49" s="37" t="s"/>
      <c r="T49" s="37" t="s"/>
      <c r="U49" s="37" t="s"/>
      <c r="V49" s="37" t="s"/>
      <c r="W49" s="37" t="s"/>
      <c r="X49" s="37" t="s"/>
      <c r="Y49" s="37" t="s"/>
      <c r="Z49" s="35">
        <v>0</v>
      </c>
      <c r="AA49" s="35">
        <v>0</v>
      </c>
      <c r="AB49" s="37" t="s"/>
      <c r="AC49" s="37" t="s"/>
      <c r="AD49" s="35">
        <v>-22750</v>
      </c>
      <c r="AE49" s="35">
        <v>496032</v>
      </c>
      <c r="AF49" s="35">
        <v>51174</v>
      </c>
      <c r="AG49" s="35">
        <v>170409</v>
      </c>
      <c r="AH49" s="35">
        <v>19645</v>
      </c>
      <c r="AI49" s="35">
        <v>134460</v>
      </c>
      <c r="AJ49" s="35">
        <v>20505</v>
      </c>
      <c r="AK49" s="38" t="s"/>
      <c r="AL49" s="38" t="s"/>
      <c r="AM49" s="38" t="s"/>
    </row>
    <row r="50" spans="1:39" s="156" customFormat="1" ht="12.95" customHeight="1">
      <c r="A50" s="29" t="s">
        <v>17</v>
      </c>
      <c r="B50" s="30" t="s">
        <v>138</v>
      </c>
      <c r="C50" s="30" t="s">
        <v>40</v>
      </c>
      <c r="D50" s="30" t="s">
        <v>139</v>
      </c>
      <c r="E50" s="30" t="s">
        <v>126</v>
      </c>
      <c r="F50" s="30" t="s">
        <v>42</v>
      </c>
      <c r="G50" s="31" t="s">
        <v>7</v>
      </c>
      <c r="H50" s="20" t="s">
        <v>27</v>
      </c>
      <c r="I50" s="33">
        <v>45689</v>
      </c>
      <c r="J50" s="34">
        <f>=SUM(K50:Q50)</f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6" t="s"/>
      <c r="S50" s="37" t="s"/>
      <c r="T50" s="37" t="s"/>
      <c r="U50" s="37" t="s"/>
      <c r="V50" s="37" t="s"/>
      <c r="W50" s="37" t="s"/>
      <c r="X50" s="37" t="s"/>
      <c r="Y50" s="37" t="s"/>
      <c r="Z50" s="35">
        <v>0</v>
      </c>
      <c r="AA50" s="35">
        <v>0</v>
      </c>
      <c r="AB50" s="37" t="s"/>
      <c r="AC50" s="37" t="s"/>
      <c r="AD50" s="35">
        <v>3166.87</v>
      </c>
      <c r="AE50" s="35">
        <v>0</v>
      </c>
      <c r="AF50" s="35">
        <v>1800</v>
      </c>
      <c r="AG50" s="35">
        <v>8192.82</v>
      </c>
      <c r="AH50" s="35">
        <v>0</v>
      </c>
      <c r="AI50" s="35">
        <v>0</v>
      </c>
      <c r="AJ50" s="35">
        <v>19000</v>
      </c>
      <c r="AK50" s="38" t="s">
        <v>128</v>
      </c>
      <c r="AL50" s="38" t="s">
        <v>129</v>
      </c>
      <c r="AM50" s="39" t="s"/>
    </row>
    <row r="51" spans="1:39" s="156" customFormat="1" ht="12.95" customHeight="1">
      <c r="A51" s="29" t="s">
        <v>17</v>
      </c>
      <c r="B51" s="30" t="s">
        <v>140</v>
      </c>
      <c r="C51" s="30" t="s">
        <v>37</v>
      </c>
      <c r="D51" s="30" t="s">
        <v>141</v>
      </c>
      <c r="E51" s="30" t="s">
        <v>126</v>
      </c>
      <c r="F51" s="30" t="s">
        <v>42</v>
      </c>
      <c r="G51" s="31" t="s">
        <v>7</v>
      </c>
      <c r="H51" s="20" t="s">
        <v>27</v>
      </c>
      <c r="I51" s="33">
        <v>46023</v>
      </c>
      <c r="J51" s="34">
        <f>=SUM(K51:Q51)</f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6" t="s"/>
      <c r="S51" s="37" t="s"/>
      <c r="T51" s="37" t="s"/>
      <c r="U51" s="37" t="s"/>
      <c r="V51" s="37" t="s"/>
      <c r="W51" s="37" t="s"/>
      <c r="X51" s="37" t="s"/>
      <c r="Y51" s="37" t="s"/>
      <c r="Z51" s="35">
        <v>0</v>
      </c>
      <c r="AA51" s="35">
        <v>0</v>
      </c>
      <c r="AB51" s="37" t="s"/>
      <c r="AC51" s="37" t="s"/>
      <c r="AD51" s="35">
        <v>22349.0375635</v>
      </c>
      <c r="AE51" s="35">
        <v>0</v>
      </c>
      <c r="AF51" s="35">
        <v>0</v>
      </c>
      <c r="AG51" s="35">
        <v>0</v>
      </c>
      <c r="AH51" s="35">
        <v>0</v>
      </c>
      <c r="AI51" s="35">
        <v>0</v>
      </c>
      <c r="AJ51" s="35">
        <v>2730.8</v>
      </c>
      <c r="AK51" s="40" t="s">
        <v>128</v>
      </c>
      <c r="AL51" s="38" t="s">
        <v>129</v>
      </c>
      <c r="AM51" s="41" t="s"/>
    </row>
    <row r="52" spans="1:39" s="156" customFormat="1" ht="12.95" customHeight="1">
      <c r="A52" s="29" t="s">
        <v>17</v>
      </c>
      <c r="B52" s="30" t="s">
        <v>142</v>
      </c>
      <c r="C52" s="30" t="s">
        <v>37</v>
      </c>
      <c r="D52" s="30" t="s">
        <v>143</v>
      </c>
      <c r="E52" s="30" t="s">
        <v>126</v>
      </c>
      <c r="F52" s="30" t="s">
        <v>42</v>
      </c>
      <c r="G52" s="31" t="s">
        <v>7</v>
      </c>
      <c r="H52" s="20" t="s">
        <v>27</v>
      </c>
      <c r="I52" s="33">
        <v>46013</v>
      </c>
      <c r="J52" s="34">
        <f>=SUM(K52:Q52)</f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6" t="s"/>
      <c r="S52" s="37" t="s"/>
      <c r="T52" s="37" t="s"/>
      <c r="U52" s="37" t="s"/>
      <c r="V52" s="37" t="s"/>
      <c r="W52" s="37" t="s"/>
      <c r="X52" s="37" t="s"/>
      <c r="Y52" s="37" t="s"/>
      <c r="Z52" s="35">
        <v>0</v>
      </c>
      <c r="AA52" s="35">
        <v>0</v>
      </c>
      <c r="AB52" s="37" t="s"/>
      <c r="AC52" s="37" t="s"/>
      <c r="AD52" s="35">
        <v>57717.52956</v>
      </c>
      <c r="AE52" s="35">
        <v>0</v>
      </c>
      <c r="AF52" s="35">
        <v>0</v>
      </c>
      <c r="AG52" s="35">
        <v>2703.98</v>
      </c>
      <c r="AH52" s="35">
        <v>0</v>
      </c>
      <c r="AI52" s="35">
        <v>0</v>
      </c>
      <c r="AJ52" s="35">
        <v>0</v>
      </c>
      <c r="AK52" s="40" t="s">
        <v>128</v>
      </c>
      <c r="AL52" s="38" t="s">
        <v>129</v>
      </c>
      <c r="AM52" s="41" t="s"/>
    </row>
    <row r="53" spans="1:39" s="156" customFormat="1" ht="12.95" customHeight="1">
      <c r="A53" s="29" t="s">
        <v>17</v>
      </c>
      <c r="B53" s="30" t="s">
        <v>144</v>
      </c>
      <c r="C53" s="30" t="s">
        <v>37</v>
      </c>
      <c r="D53" s="30" t="s">
        <v>145</v>
      </c>
      <c r="E53" s="30" t="s">
        <v>126</v>
      </c>
      <c r="F53" s="30" t="s">
        <v>42</v>
      </c>
      <c r="G53" s="31" t="s">
        <v>7</v>
      </c>
      <c r="H53" s="20" t="s">
        <v>27</v>
      </c>
      <c r="I53" s="33">
        <v>46113</v>
      </c>
      <c r="J53" s="34">
        <f>=SUM(K53:Q53)</f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6" t="s"/>
      <c r="S53" s="37" t="s"/>
      <c r="T53" s="37" t="s"/>
      <c r="U53" s="37" t="s"/>
      <c r="V53" s="37" t="s"/>
      <c r="W53" s="37" t="s"/>
      <c r="X53" s="37" t="s"/>
      <c r="Y53" s="37" t="s"/>
      <c r="Z53" s="35">
        <v>0</v>
      </c>
      <c r="AA53" s="35">
        <v>0</v>
      </c>
      <c r="AB53" s="37" t="s"/>
      <c r="AC53" s="37" t="s"/>
      <c r="AD53" s="35">
        <v>165609.83</v>
      </c>
      <c r="AE53" s="35">
        <v>0</v>
      </c>
      <c r="AF53" s="35">
        <v>38720</v>
      </c>
      <c r="AG53" s="35">
        <v>6022.19</v>
      </c>
      <c r="AH53" s="35">
        <v>0</v>
      </c>
      <c r="AI53" s="35">
        <v>0</v>
      </c>
      <c r="AJ53" s="35">
        <v>0</v>
      </c>
      <c r="AK53" s="40" t="s">
        <v>128</v>
      </c>
      <c r="AL53" s="38" t="s">
        <v>129</v>
      </c>
      <c r="AM53" s="41" t="s"/>
    </row>
    <row r="54" spans="1:39" s="155" customFormat="1" ht="12.95" customHeight="1">
      <c r="A54" s="17" t="s">
        <v>17</v>
      </c>
      <c r="B54" s="18" t="s">
        <v>146</v>
      </c>
      <c r="C54" s="18" t="s">
        <v>147</v>
      </c>
      <c r="D54" s="18" t="s">
        <v>148</v>
      </c>
      <c r="E54" s="18" t="s">
        <v>10</v>
      </c>
      <c r="F54" s="18" t="s">
        <v>11</v>
      </c>
      <c r="G54" s="19" t="s">
        <v>7</v>
      </c>
      <c r="H54" s="20" t="s">
        <v>21</v>
      </c>
      <c r="I54" s="21">
        <v>45717</v>
      </c>
      <c r="J54" s="28">
        <f>=SUM(K54:Q54)</f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4" t="s"/>
      <c r="S54" s="25" t="s"/>
      <c r="T54" s="25" t="s"/>
      <c r="U54" s="25" t="s"/>
      <c r="V54" s="25" t="s"/>
      <c r="W54" s="25" t="s"/>
      <c r="X54" s="25" t="s"/>
      <c r="Y54" s="25" t="s"/>
      <c r="Z54" s="23">
        <v>0</v>
      </c>
      <c r="AA54" s="23">
        <v>0</v>
      </c>
      <c r="AB54" s="25" t="s"/>
      <c r="AC54" s="26" t="s"/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7" t="s"/>
      <c r="AL54" s="27" t="s"/>
      <c r="AM54" s="27" t="s"/>
    </row>
    <row r="55" spans="1:39" s="155" customFormat="1" ht="12.95" customHeight="1">
      <c r="A55" s="17" t="s">
        <v>17</v>
      </c>
      <c r="B55" s="18" t="s">
        <v>149</v>
      </c>
      <c r="C55" s="18" t="s">
        <v>147</v>
      </c>
      <c r="D55" s="18" t="s">
        <v>150</v>
      </c>
      <c r="E55" s="18" t="s">
        <v>10</v>
      </c>
      <c r="F55" s="18" t="s">
        <v>11</v>
      </c>
      <c r="G55" s="19" t="s">
        <v>7</v>
      </c>
      <c r="H55" s="20" t="s">
        <v>21</v>
      </c>
      <c r="I55" s="21">
        <v>46233</v>
      </c>
      <c r="J55" s="28">
        <f>=SUM(K55:Q55)</f>
        <v>772696.677735849</v>
      </c>
      <c r="K55" s="23">
        <v>106194.69</v>
      </c>
      <c r="L55" s="23">
        <v>0</v>
      </c>
      <c r="M55" s="23">
        <v>490566.037735849</v>
      </c>
      <c r="N55" s="23">
        <v>60000</v>
      </c>
      <c r="O55" s="23">
        <v>6000</v>
      </c>
      <c r="P55" s="23">
        <v>0</v>
      </c>
      <c r="Q55" s="23">
        <v>109935.95</v>
      </c>
      <c r="R55" s="24" t="s"/>
      <c r="S55" s="25" t="s"/>
      <c r="T55" s="25" t="s"/>
      <c r="U55" s="25" t="s"/>
      <c r="V55" s="25" t="s"/>
      <c r="W55" s="25" t="s"/>
      <c r="X55" s="25" t="s"/>
      <c r="Y55" s="25" t="s"/>
      <c r="Z55" s="23">
        <v>0</v>
      </c>
      <c r="AA55" s="23">
        <v>0</v>
      </c>
      <c r="AB55" s="25" t="s"/>
      <c r="AC55" s="26" t="s"/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27" t="s"/>
      <c r="AL55" s="27" t="s"/>
      <c r="AM55" s="27" t="s"/>
    </row>
    <row r="56" spans="1:39" s="155" customFormat="1" ht="12.95" customHeight="1">
      <c r="A56" s="17" t="s">
        <v>17</v>
      </c>
      <c r="B56" s="18" t="s">
        <v>151</v>
      </c>
      <c r="C56" s="18" t="s">
        <v>152</v>
      </c>
      <c r="D56" s="18" t="s">
        <v>153</v>
      </c>
      <c r="E56" s="18" t="s">
        <v>154</v>
      </c>
      <c r="F56" s="18" t="s">
        <v>11</v>
      </c>
      <c r="G56" s="19" t="s">
        <v>7</v>
      </c>
      <c r="H56" s="20" t="s">
        <v>21</v>
      </c>
      <c r="I56" s="21">
        <v>45809</v>
      </c>
      <c r="J56" s="28">
        <f>=SUM(K56:Q56)</f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4" t="s"/>
      <c r="S56" s="25" t="s"/>
      <c r="T56" s="25" t="s"/>
      <c r="U56" s="25" t="s"/>
      <c r="V56" s="25" t="s"/>
      <c r="W56" s="25" t="s"/>
      <c r="X56" s="25" t="s"/>
      <c r="Y56" s="25" t="s"/>
      <c r="Z56" s="23">
        <v>0</v>
      </c>
      <c r="AA56" s="23">
        <v>0</v>
      </c>
      <c r="AB56" s="25" t="s"/>
      <c r="AC56" s="26" t="s"/>
      <c r="AD56" s="23">
        <v>0</v>
      </c>
      <c r="AE56" s="23">
        <v>0</v>
      </c>
      <c r="AF56" s="23">
        <v>0</v>
      </c>
      <c r="AG56" s="23">
        <v>0</v>
      </c>
      <c r="AH56" s="23">
        <v>0</v>
      </c>
      <c r="AI56" s="23">
        <v>0</v>
      </c>
      <c r="AJ56" s="23">
        <v>0</v>
      </c>
      <c r="AK56" s="27" t="s"/>
      <c r="AL56" s="27" t="s"/>
      <c r="AM56" s="27" t="s"/>
    </row>
    <row r="57" spans="1:39" s="155" customFormat="1" ht="12.95" customHeight="1">
      <c r="A57" s="17" t="s">
        <v>17</v>
      </c>
      <c r="B57" s="18" t="s">
        <v>155</v>
      </c>
      <c r="C57" s="18" t="s">
        <v>156</v>
      </c>
      <c r="D57" s="18" t="s">
        <v>157</v>
      </c>
      <c r="E57" s="18" t="s">
        <v>74</v>
      </c>
      <c r="F57" s="18" t="s">
        <v>69</v>
      </c>
      <c r="G57" s="19" t="s">
        <v>7</v>
      </c>
      <c r="H57" s="20" t="s">
        <v>70</v>
      </c>
      <c r="I57" s="21">
        <v>45971</v>
      </c>
      <c r="J57" s="28">
        <f>=SUM(K57:Q57)</f>
        <v>2215200</v>
      </c>
      <c r="K57" s="23">
        <v>0</v>
      </c>
      <c r="L57" s="23">
        <v>1411200</v>
      </c>
      <c r="M57" s="23">
        <v>0</v>
      </c>
      <c r="N57" s="23">
        <v>320000</v>
      </c>
      <c r="O57" s="23">
        <v>0</v>
      </c>
      <c r="P57" s="23">
        <v>0</v>
      </c>
      <c r="Q57" s="23">
        <v>484000</v>
      </c>
      <c r="R57" s="24" t="s"/>
      <c r="S57" s="25" t="s"/>
      <c r="T57" s="25" t="s"/>
      <c r="U57" s="25" t="s"/>
      <c r="V57" s="25" t="s"/>
      <c r="W57" s="25" t="s"/>
      <c r="X57" s="25" t="s"/>
      <c r="Y57" s="25" t="s"/>
      <c r="Z57" s="23">
        <v>0</v>
      </c>
      <c r="AA57" s="23">
        <v>0</v>
      </c>
      <c r="AB57" s="25" t="s"/>
      <c r="AC57" s="26" t="s"/>
      <c r="AD57" s="23">
        <v>267002</v>
      </c>
      <c r="AE57" s="23">
        <v>309019</v>
      </c>
      <c r="AF57" s="23">
        <v>12736</v>
      </c>
      <c r="AG57" s="23">
        <v>48433</v>
      </c>
      <c r="AH57" s="23">
        <v>300</v>
      </c>
      <c r="AI57" s="23">
        <v>6302524.15</v>
      </c>
      <c r="AJ57" s="23">
        <v>1411822</v>
      </c>
      <c r="AK57" s="27" t="s"/>
      <c r="AL57" s="27" t="s"/>
      <c r="AM57" s="27" t="s"/>
    </row>
    <row r="58" spans="1:39" s="155" customFormat="1" ht="12.95" customHeight="1">
      <c r="A58" s="17" t="s">
        <v>17</v>
      </c>
      <c r="B58" s="18" t="s">
        <v>158</v>
      </c>
      <c r="C58" s="18" t="s">
        <v>156</v>
      </c>
      <c r="D58" s="18" t="s">
        <v>157</v>
      </c>
      <c r="E58" s="18" t="s">
        <v>159</v>
      </c>
      <c r="F58" s="18" t="s">
        <v>69</v>
      </c>
      <c r="G58" s="19" t="s">
        <v>7</v>
      </c>
      <c r="H58" s="20" t="s">
        <v>70</v>
      </c>
      <c r="I58" s="21">
        <v>45971</v>
      </c>
      <c r="J58" s="28">
        <f>=SUM(K58:Q58)</f>
        <v>1513600</v>
      </c>
      <c r="K58" s="23">
        <v>579600</v>
      </c>
      <c r="L58" s="23">
        <v>198000</v>
      </c>
      <c r="M58" s="23">
        <v>105000</v>
      </c>
      <c r="N58" s="23">
        <v>100000</v>
      </c>
      <c r="O58" s="23">
        <v>0</v>
      </c>
      <c r="P58" s="23">
        <v>441000</v>
      </c>
      <c r="Q58" s="23">
        <v>90000</v>
      </c>
      <c r="R58" s="24" t="s"/>
      <c r="S58" s="25" t="s"/>
      <c r="T58" s="25" t="s"/>
      <c r="U58" s="25" t="s"/>
      <c r="V58" s="25" t="s"/>
      <c r="W58" s="25" t="s"/>
      <c r="X58" s="25" t="s"/>
      <c r="Y58" s="25" t="s"/>
      <c r="Z58" s="23">
        <v>22000</v>
      </c>
      <c r="AA58" s="23">
        <v>0</v>
      </c>
      <c r="AB58" s="25" t="s"/>
      <c r="AC58" s="26" t="s"/>
      <c r="AD58" s="23">
        <v>1000</v>
      </c>
      <c r="AE58" s="23">
        <v>39575</v>
      </c>
      <c r="AF58" s="23">
        <v>0</v>
      </c>
      <c r="AG58" s="23">
        <v>36024</v>
      </c>
      <c r="AH58" s="23">
        <v>1155</v>
      </c>
      <c r="AI58" s="23">
        <v>1533404</v>
      </c>
      <c r="AJ58" s="23">
        <v>0</v>
      </c>
      <c r="AK58" s="27" t="s"/>
      <c r="AL58" s="27" t="s"/>
      <c r="AM58" s="27" t="s"/>
    </row>
    <row r="59" spans="1:39" s="155" customFormat="1" ht="12.95" customHeight="1">
      <c r="A59" s="17" t="s">
        <v>17</v>
      </c>
      <c r="B59" s="18" t="s">
        <v>160</v>
      </c>
      <c r="C59" s="18" t="s">
        <v>161</v>
      </c>
      <c r="D59" s="18" t="s">
        <v>162</v>
      </c>
      <c r="E59" s="18" t="s">
        <v>10</v>
      </c>
      <c r="F59" s="18" t="s">
        <v>11</v>
      </c>
      <c r="G59" s="19" t="s">
        <v>7</v>
      </c>
      <c r="H59" s="20" t="s">
        <v>21</v>
      </c>
      <c r="I59" s="21">
        <v>45778</v>
      </c>
      <c r="J59" s="28">
        <f>=SUM(K59:Q59)</f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4" t="s"/>
      <c r="S59" s="25" t="s"/>
      <c r="T59" s="25" t="s"/>
      <c r="U59" s="25" t="s"/>
      <c r="V59" s="25" t="s"/>
      <c r="W59" s="25" t="s"/>
      <c r="X59" s="25" t="s"/>
      <c r="Y59" s="25" t="s"/>
      <c r="Z59" s="23">
        <v>0</v>
      </c>
      <c r="AA59" s="23">
        <v>0</v>
      </c>
      <c r="AB59" s="25" t="s"/>
      <c r="AC59" s="26" t="s"/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3">
        <v>0</v>
      </c>
      <c r="AJ59" s="23">
        <v>0</v>
      </c>
      <c r="AK59" s="27" t="s"/>
      <c r="AL59" s="27" t="s"/>
      <c r="AM59" s="27" t="s"/>
    </row>
    <row r="60" spans="1:39" s="155" customFormat="1" ht="12.95" customHeight="1">
      <c r="A60" s="17" t="s">
        <v>17</v>
      </c>
      <c r="B60" s="18" t="s">
        <v>163</v>
      </c>
      <c r="C60" s="18" t="s">
        <v>164</v>
      </c>
      <c r="D60" s="18" t="s">
        <v>165</v>
      </c>
      <c r="E60" s="18" t="s">
        <v>135</v>
      </c>
      <c r="F60" s="18" t="s">
        <v>26</v>
      </c>
      <c r="G60" s="19" t="s">
        <v>7</v>
      </c>
      <c r="H60" s="20" t="s">
        <v>27</v>
      </c>
      <c r="I60" s="21">
        <v>45870</v>
      </c>
      <c r="J60" s="28">
        <f>=SUM(K60:Q60)</f>
        <v>3495278.57142857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2299778.57142857</v>
      </c>
      <c r="Q60" s="23">
        <v>1195500</v>
      </c>
      <c r="R60" s="24" t="s"/>
      <c r="S60" s="25" t="s"/>
      <c r="T60" s="25" t="s"/>
      <c r="U60" s="25" t="s"/>
      <c r="V60" s="25" t="s"/>
      <c r="W60" s="25" t="s"/>
      <c r="X60" s="25" t="s"/>
      <c r="Y60" s="25" t="s"/>
      <c r="Z60" s="23">
        <v>805380</v>
      </c>
      <c r="AA60" s="23">
        <v>0</v>
      </c>
      <c r="AB60" s="25" t="s"/>
      <c r="AC60" s="26" t="s"/>
      <c r="AD60" s="23">
        <v>61205</v>
      </c>
      <c r="AE60" s="23">
        <v>1762258</v>
      </c>
      <c r="AF60" s="23">
        <v>-133100</v>
      </c>
      <c r="AG60" s="23">
        <v>257731</v>
      </c>
      <c r="AH60" s="23">
        <v>6115</v>
      </c>
      <c r="AI60" s="23">
        <v>51560</v>
      </c>
      <c r="AJ60" s="23">
        <v>201681</v>
      </c>
      <c r="AK60" s="27" t="s"/>
      <c r="AL60" s="27" t="s"/>
      <c r="AM60" s="27" t="s"/>
    </row>
    <row r="61" spans="1:39" s="155" customFormat="1" ht="12.95" customHeight="1">
      <c r="A61" s="17" t="s">
        <v>17</v>
      </c>
      <c r="B61" s="18" t="s">
        <v>166</v>
      </c>
      <c r="C61" s="18" t="s">
        <v>164</v>
      </c>
      <c r="D61" s="18" t="s">
        <v>165</v>
      </c>
      <c r="E61" s="18" t="s">
        <v>74</v>
      </c>
      <c r="F61" s="18" t="s">
        <v>26</v>
      </c>
      <c r="G61" s="19" t="s">
        <v>7</v>
      </c>
      <c r="H61" s="20" t="s">
        <v>27</v>
      </c>
      <c r="I61" s="21">
        <v>45870</v>
      </c>
      <c r="J61" s="28">
        <f>=SUM(K61:Q61)</f>
        <v>6416500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4523000</v>
      </c>
      <c r="Q61" s="23">
        <v>1893500</v>
      </c>
      <c r="R61" s="24" t="s"/>
      <c r="S61" s="25" t="s"/>
      <c r="T61" s="25" t="s"/>
      <c r="U61" s="25" t="s"/>
      <c r="V61" s="25" t="s"/>
      <c r="W61" s="25" t="s"/>
      <c r="X61" s="25" t="s"/>
      <c r="Y61" s="25" t="s"/>
      <c r="Z61" s="23">
        <v>0</v>
      </c>
      <c r="AA61" s="23">
        <v>0</v>
      </c>
      <c r="AB61" s="25" t="s"/>
      <c r="AC61" s="26" t="s"/>
      <c r="AD61" s="23">
        <v>1163386</v>
      </c>
      <c r="AE61" s="23">
        <v>2466304</v>
      </c>
      <c r="AF61" s="23">
        <v>81814</v>
      </c>
      <c r="AG61" s="23">
        <v>372848</v>
      </c>
      <c r="AH61" s="23">
        <v>3561</v>
      </c>
      <c r="AI61" s="23">
        <v>3666619.12</v>
      </c>
      <c r="AJ61" s="23">
        <v>386080</v>
      </c>
      <c r="AK61" s="27" t="s"/>
      <c r="AL61" s="27" t="s"/>
      <c r="AM61" s="27" t="s"/>
    </row>
    <row r="62" spans="1:39" s="155" customFormat="1" ht="12.95" customHeight="1">
      <c r="A62" s="17" t="s">
        <v>17</v>
      </c>
      <c r="B62" s="18" t="s">
        <v>167</v>
      </c>
      <c r="C62" s="18" t="s">
        <v>168</v>
      </c>
      <c r="D62" s="18" t="s">
        <v>169</v>
      </c>
      <c r="E62" s="18" t="s">
        <v>74</v>
      </c>
      <c r="F62" s="18" t="s">
        <v>26</v>
      </c>
      <c r="G62" s="19" t="s">
        <v>7</v>
      </c>
      <c r="H62" s="20" t="s">
        <v>27</v>
      </c>
      <c r="I62" s="21">
        <v>46174</v>
      </c>
      <c r="J62" s="28">
        <f>=SUM(K62:Q62)</f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4" t="s"/>
      <c r="S62" s="25" t="s"/>
      <c r="T62" s="25" t="s"/>
      <c r="U62" s="25" t="s"/>
      <c r="V62" s="25" t="s"/>
      <c r="W62" s="25" t="s"/>
      <c r="X62" s="25" t="s"/>
      <c r="Y62" s="25" t="s"/>
      <c r="Z62" s="23">
        <v>0</v>
      </c>
      <c r="AA62" s="23">
        <v>0</v>
      </c>
      <c r="AB62" s="25" t="s"/>
      <c r="AC62" s="26" t="s"/>
      <c r="AD62" s="23">
        <v>0</v>
      </c>
      <c r="AE62" s="23">
        <v>39393</v>
      </c>
      <c r="AF62" s="23">
        <v>0</v>
      </c>
      <c r="AG62" s="23">
        <v>11454</v>
      </c>
      <c r="AH62" s="23">
        <v>0</v>
      </c>
      <c r="AI62" s="23">
        <v>383520</v>
      </c>
      <c r="AJ62" s="23">
        <v>0</v>
      </c>
      <c r="AK62" s="27" t="s"/>
      <c r="AL62" s="27" t="s"/>
      <c r="AM62" s="27" t="s"/>
    </row>
    <row r="63" spans="1:39" s="155" customFormat="1" ht="12.95" customHeight="1">
      <c r="A63" s="17" t="s">
        <v>17</v>
      </c>
      <c r="B63" s="18" t="s">
        <v>170</v>
      </c>
      <c r="C63" s="18" t="s">
        <v>168</v>
      </c>
      <c r="D63" s="18" t="s">
        <v>171</v>
      </c>
      <c r="E63" s="18" t="s">
        <v>74</v>
      </c>
      <c r="F63" s="18" t="s">
        <v>26</v>
      </c>
      <c r="G63" s="19" t="s">
        <v>7</v>
      </c>
      <c r="H63" s="20" t="s">
        <v>27</v>
      </c>
      <c r="I63" s="21">
        <v>46174</v>
      </c>
      <c r="J63" s="28">
        <f>=SUM(K63:Q63)</f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4" t="s"/>
      <c r="S63" s="25" t="s"/>
      <c r="T63" s="25" t="s"/>
      <c r="U63" s="25" t="s"/>
      <c r="V63" s="25" t="s"/>
      <c r="W63" s="25" t="s"/>
      <c r="X63" s="25" t="s"/>
      <c r="Y63" s="25" t="s"/>
      <c r="Z63" s="23">
        <v>0</v>
      </c>
      <c r="AA63" s="23">
        <v>0</v>
      </c>
      <c r="AB63" s="25" t="s"/>
      <c r="AC63" s="26" t="s"/>
      <c r="AD63" s="23">
        <v>0</v>
      </c>
      <c r="AE63" s="23">
        <v>198659</v>
      </c>
      <c r="AF63" s="23">
        <v>44000</v>
      </c>
      <c r="AG63" s="23">
        <v>0</v>
      </c>
      <c r="AH63" s="23">
        <v>0</v>
      </c>
      <c r="AI63" s="23">
        <v>519180</v>
      </c>
      <c r="AJ63" s="23">
        <v>0</v>
      </c>
      <c r="AK63" s="27" t="s"/>
      <c r="AL63" s="27" t="s"/>
      <c r="AM63" s="27" t="s"/>
    </row>
    <row r="64" spans="1:39" s="156" customFormat="1" ht="12.95" customHeight="1">
      <c r="A64" s="29" t="s">
        <v>17</v>
      </c>
      <c r="B64" s="30" t="s">
        <v>172</v>
      </c>
      <c r="C64" s="30" t="s">
        <v>168</v>
      </c>
      <c r="D64" s="30" t="s">
        <v>173</v>
      </c>
      <c r="E64" s="30" t="s">
        <v>126</v>
      </c>
      <c r="F64" s="30" t="s">
        <v>174</v>
      </c>
      <c r="G64" s="31" t="s">
        <v>7</v>
      </c>
      <c r="H64" s="32" t="s">
        <v>115</v>
      </c>
      <c r="I64" s="33">
        <v>45383</v>
      </c>
      <c r="J64" s="34">
        <f>=SUM(K64:Q64)</f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6" t="s"/>
      <c r="S64" s="37" t="s"/>
      <c r="T64" s="37" t="s"/>
      <c r="U64" s="37" t="s"/>
      <c r="V64" s="37" t="s"/>
      <c r="W64" s="37" t="s"/>
      <c r="X64" s="37" t="s"/>
      <c r="Y64" s="37" t="s"/>
      <c r="Z64" s="35">
        <v>0</v>
      </c>
      <c r="AA64" s="35">
        <v>0</v>
      </c>
      <c r="AB64" s="37" t="s"/>
      <c r="AC64" s="37" t="s"/>
      <c r="AD64" s="35">
        <v>0</v>
      </c>
      <c r="AE64" s="35">
        <v>0</v>
      </c>
      <c r="AF64" s="35">
        <v>2619</v>
      </c>
      <c r="AG64" s="35">
        <v>2157.74</v>
      </c>
      <c r="AH64" s="35">
        <v>0</v>
      </c>
      <c r="AI64" s="35">
        <v>0</v>
      </c>
      <c r="AJ64" s="35">
        <v>0</v>
      </c>
      <c r="AK64" s="38" t="s">
        <v>175</v>
      </c>
      <c r="AL64" s="42" t="s">
        <v>176</v>
      </c>
      <c r="AM64" s="39" t="s"/>
    </row>
    <row r="65" spans="1:39" s="155" customFormat="1" ht="12.95" customHeight="1">
      <c r="A65" s="17" t="s">
        <v>17</v>
      </c>
      <c r="B65" s="18" t="s">
        <v>177</v>
      </c>
      <c r="C65" s="18" t="s">
        <v>67</v>
      </c>
      <c r="D65" s="18" t="s">
        <v>178</v>
      </c>
      <c r="E65" s="18" t="s">
        <v>14</v>
      </c>
      <c r="F65" s="18" t="s">
        <v>69</v>
      </c>
      <c r="G65" s="19" t="s">
        <v>7</v>
      </c>
      <c r="H65" s="20" t="s">
        <v>70</v>
      </c>
      <c r="I65" s="21">
        <v>45757</v>
      </c>
      <c r="J65" s="28">
        <f>=SUM(K65:Q65)</f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4" t="s"/>
      <c r="S65" s="25" t="s"/>
      <c r="T65" s="25" t="s"/>
      <c r="U65" s="25" t="s"/>
      <c r="V65" s="25" t="s"/>
      <c r="W65" s="25" t="s"/>
      <c r="X65" s="25" t="s"/>
      <c r="Y65" s="25" t="s"/>
      <c r="Z65" s="23">
        <v>0</v>
      </c>
      <c r="AA65" s="23">
        <v>0</v>
      </c>
      <c r="AB65" s="25" t="s"/>
      <c r="AC65" s="26" t="s"/>
      <c r="AD65" s="23">
        <v>1822000</v>
      </c>
      <c r="AE65" s="23">
        <v>399931</v>
      </c>
      <c r="AF65" s="23">
        <v>225406</v>
      </c>
      <c r="AG65" s="23">
        <v>7896</v>
      </c>
      <c r="AH65" s="23">
        <v>3236</v>
      </c>
      <c r="AI65" s="23">
        <v>49500</v>
      </c>
      <c r="AJ65" s="23">
        <v>7614</v>
      </c>
      <c r="AK65" s="27" t="s"/>
      <c r="AL65" s="27" t="s"/>
      <c r="AM65" s="27" t="s"/>
    </row>
    <row r="66" spans="1:39" s="155" customFormat="1" ht="12.95" customHeight="1">
      <c r="A66" s="17" t="s">
        <v>17</v>
      </c>
      <c r="B66" s="18" t="s">
        <v>179</v>
      </c>
      <c r="C66" s="18" t="s">
        <v>67</v>
      </c>
      <c r="D66" s="18" t="s">
        <v>180</v>
      </c>
      <c r="E66" s="18" t="s">
        <v>14</v>
      </c>
      <c r="F66" s="18" t="s">
        <v>69</v>
      </c>
      <c r="G66" s="19" t="s">
        <v>7</v>
      </c>
      <c r="H66" s="20" t="s">
        <v>70</v>
      </c>
      <c r="I66" s="21">
        <v>46081</v>
      </c>
      <c r="J66" s="28">
        <f>=SUM(K66:Q66)</f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4" t="s"/>
      <c r="S66" s="25" t="s"/>
      <c r="T66" s="25" t="s"/>
      <c r="U66" s="25" t="s"/>
      <c r="V66" s="25" t="s"/>
      <c r="W66" s="25" t="s"/>
      <c r="X66" s="25" t="s"/>
      <c r="Y66" s="25" t="s"/>
      <c r="Z66" s="23">
        <v>0</v>
      </c>
      <c r="AA66" s="23">
        <v>0</v>
      </c>
      <c r="AB66" s="25" t="s"/>
      <c r="AC66" s="26" t="s"/>
      <c r="AD66" s="23">
        <v>0</v>
      </c>
      <c r="AE66" s="23">
        <v>7854</v>
      </c>
      <c r="AF66" s="23">
        <v>0</v>
      </c>
      <c r="AG66" s="23">
        <v>9890</v>
      </c>
      <c r="AH66" s="23">
        <v>0</v>
      </c>
      <c r="AI66" s="23">
        <v>0</v>
      </c>
      <c r="AJ66" s="23">
        <v>0</v>
      </c>
      <c r="AK66" s="27" t="s"/>
      <c r="AL66" s="27" t="s"/>
      <c r="AM66" s="27" t="s"/>
    </row>
    <row r="67" spans="1:39" s="155" customFormat="1" ht="12.95" customHeight="1">
      <c r="A67" s="17" t="s">
        <v>17</v>
      </c>
      <c r="B67" s="18" t="s">
        <v>181</v>
      </c>
      <c r="C67" s="18" t="s">
        <v>182</v>
      </c>
      <c r="D67" s="18" t="s">
        <v>183</v>
      </c>
      <c r="E67" s="18" t="s">
        <v>10</v>
      </c>
      <c r="F67" s="18" t="s">
        <v>11</v>
      </c>
      <c r="G67" s="19" t="s">
        <v>7</v>
      </c>
      <c r="H67" s="20" t="s">
        <v>21</v>
      </c>
      <c r="I67" s="21">
        <v>45658</v>
      </c>
      <c r="J67" s="28">
        <f>=SUM(K67:Q67)</f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4" t="s"/>
      <c r="S67" s="25" t="s"/>
      <c r="T67" s="25" t="s"/>
      <c r="U67" s="25" t="s"/>
      <c r="V67" s="25" t="s"/>
      <c r="W67" s="25" t="s"/>
      <c r="X67" s="25" t="s"/>
      <c r="Y67" s="25" t="s"/>
      <c r="Z67" s="23">
        <v>0</v>
      </c>
      <c r="AA67" s="23">
        <v>0</v>
      </c>
      <c r="AB67" s="25" t="s"/>
      <c r="AC67" s="26" t="s"/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3">
        <v>0</v>
      </c>
      <c r="AJ67" s="23">
        <v>0</v>
      </c>
      <c r="AK67" s="27" t="s"/>
      <c r="AL67" s="27" t="s"/>
      <c r="AM67" s="27" t="s"/>
    </row>
    <row r="68" spans="1:39" s="156" customFormat="1" ht="12.95" customHeight="1">
      <c r="A68" s="29" t="s">
        <v>17</v>
      </c>
      <c r="B68" s="30" t="s">
        <v>184</v>
      </c>
      <c r="C68" s="30" t="s">
        <v>185</v>
      </c>
      <c r="D68" s="30" t="s">
        <v>186</v>
      </c>
      <c r="E68" s="30" t="s">
        <v>126</v>
      </c>
      <c r="F68" s="30" t="s">
        <v>114</v>
      </c>
      <c r="G68" s="31" t="s">
        <v>7</v>
      </c>
      <c r="H68" s="32" t="s">
        <v>115</v>
      </c>
      <c r="I68" s="33">
        <v>45809</v>
      </c>
      <c r="J68" s="34">
        <f>=SUM(K68:Q68)</f>
        <v>141000</v>
      </c>
      <c r="K68" s="35">
        <v>90000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51000</v>
      </c>
      <c r="R68" s="36" t="s"/>
      <c r="S68" s="37" t="s"/>
      <c r="T68" s="37" t="s"/>
      <c r="U68" s="37" t="s"/>
      <c r="V68" s="37" t="s"/>
      <c r="W68" s="37" t="s"/>
      <c r="X68" s="37" t="s"/>
      <c r="Y68" s="37" t="s"/>
      <c r="Z68" s="35">
        <v>0</v>
      </c>
      <c r="AA68" s="35">
        <v>0</v>
      </c>
      <c r="AB68" s="37" t="s"/>
      <c r="AC68" s="37" t="s"/>
      <c r="AD68" s="35">
        <v>52082.55865</v>
      </c>
      <c r="AE68" s="35">
        <v>0</v>
      </c>
      <c r="AF68" s="35">
        <v>71241.99</v>
      </c>
      <c r="AG68" s="35">
        <v>20854.85</v>
      </c>
      <c r="AH68" s="35">
        <v>3704</v>
      </c>
      <c r="AI68" s="35">
        <v>0</v>
      </c>
      <c r="AJ68" s="35">
        <v>13672.42</v>
      </c>
      <c r="AK68" s="40" t="s">
        <v>187</v>
      </c>
      <c r="AL68" s="38" t="s">
        <v>129</v>
      </c>
      <c r="AM68" s="41" t="s"/>
    </row>
    <row r="69" spans="1:39" s="156" customFormat="1" ht="12.95" customHeight="1">
      <c r="A69" s="29" t="s">
        <v>17</v>
      </c>
      <c r="B69" s="30" t="s">
        <v>188</v>
      </c>
      <c r="C69" s="30" t="s">
        <v>189</v>
      </c>
      <c r="D69" s="30" t="s">
        <v>190</v>
      </c>
      <c r="E69" s="30" t="s">
        <v>126</v>
      </c>
      <c r="F69" s="30" t="s">
        <v>191</v>
      </c>
      <c r="G69" s="31" t="s">
        <v>7</v>
      </c>
      <c r="H69" s="20" t="s">
        <v>27</v>
      </c>
      <c r="I69" s="33">
        <v>45960</v>
      </c>
      <c r="J69" s="34">
        <f>=SUM(K69:Q69)</f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6" t="s"/>
      <c r="S69" s="37" t="s"/>
      <c r="T69" s="37" t="s"/>
      <c r="U69" s="37" t="s"/>
      <c r="V69" s="37" t="s"/>
      <c r="W69" s="37" t="s"/>
      <c r="X69" s="37" t="s"/>
      <c r="Y69" s="37" t="s"/>
      <c r="Z69" s="35">
        <v>0</v>
      </c>
      <c r="AA69" s="35">
        <v>0</v>
      </c>
      <c r="AB69" s="37" t="s"/>
      <c r="AC69" s="37" t="s"/>
      <c r="AD69" s="35">
        <v>86360.22</v>
      </c>
      <c r="AE69" s="35">
        <v>0</v>
      </c>
      <c r="AF69" s="35">
        <v>4019</v>
      </c>
      <c r="AG69" s="35">
        <v>43529.82</v>
      </c>
      <c r="AH69" s="35">
        <v>5658.1</v>
      </c>
      <c r="AI69" s="35">
        <v>0</v>
      </c>
      <c r="AJ69" s="35">
        <v>12906</v>
      </c>
      <c r="AK69" s="40" t="s">
        <v>175</v>
      </c>
      <c r="AL69" s="38" t="s">
        <v>129</v>
      </c>
      <c r="AM69" s="41" t="s"/>
    </row>
    <row r="70" spans="1:39" s="156" customFormat="1" ht="12.95" customHeight="1">
      <c r="A70" s="29" t="s">
        <v>17</v>
      </c>
      <c r="B70" s="30" t="s">
        <v>192</v>
      </c>
      <c r="C70" s="30" t="s">
        <v>193</v>
      </c>
      <c r="D70" s="30" t="s">
        <v>194</v>
      </c>
      <c r="E70" s="30" t="s">
        <v>126</v>
      </c>
      <c r="F70" s="30" t="s">
        <v>191</v>
      </c>
      <c r="G70" s="31" t="s">
        <v>7</v>
      </c>
      <c r="H70" s="20" t="s">
        <v>27</v>
      </c>
      <c r="I70" s="33">
        <v>45991</v>
      </c>
      <c r="J70" s="34">
        <f>=SUM(K70:Q70)</f>
        <v>306720</v>
      </c>
      <c r="K70" s="35">
        <v>85000</v>
      </c>
      <c r="L70" s="35">
        <v>0</v>
      </c>
      <c r="M70" s="35">
        <v>70000</v>
      </c>
      <c r="N70" s="35">
        <v>20000</v>
      </c>
      <c r="O70" s="35">
        <v>0</v>
      </c>
      <c r="P70" s="35">
        <v>126720</v>
      </c>
      <c r="Q70" s="35">
        <v>5000</v>
      </c>
      <c r="R70" s="36" t="s"/>
      <c r="S70" s="37" t="s"/>
      <c r="T70" s="37" t="s"/>
      <c r="U70" s="37" t="s"/>
      <c r="V70" s="37" t="s"/>
      <c r="W70" s="37" t="s"/>
      <c r="X70" s="37" t="s"/>
      <c r="Y70" s="37" t="s"/>
      <c r="Z70" s="35">
        <v>15000</v>
      </c>
      <c r="AA70" s="35">
        <v>0</v>
      </c>
      <c r="AB70" s="37" t="s"/>
      <c r="AC70" s="37" t="s"/>
      <c r="AD70" s="35">
        <v>140985.94</v>
      </c>
      <c r="AE70" s="35">
        <v>0</v>
      </c>
      <c r="AF70" s="35">
        <v>16969.83</v>
      </c>
      <c r="AG70" s="35">
        <v>38452.59</v>
      </c>
      <c r="AH70" s="35">
        <v>3937.5</v>
      </c>
      <c r="AI70" s="35">
        <v>0</v>
      </c>
      <c r="AJ70" s="35">
        <v>8346.28</v>
      </c>
      <c r="AK70" s="38" t="s">
        <v>187</v>
      </c>
      <c r="AL70" s="38" t="s">
        <v>129</v>
      </c>
      <c r="AM70" s="41" t="s"/>
    </row>
    <row r="71" spans="1:39" s="156" customFormat="1" ht="12.95" customHeight="1">
      <c r="A71" s="29" t="s">
        <v>17</v>
      </c>
      <c r="B71" s="30" t="s">
        <v>195</v>
      </c>
      <c r="C71" s="30" t="s">
        <v>168</v>
      </c>
      <c r="D71" s="30" t="s">
        <v>196</v>
      </c>
      <c r="E71" s="30" t="s">
        <v>126</v>
      </c>
      <c r="F71" s="30" t="s">
        <v>191</v>
      </c>
      <c r="G71" s="31" t="s">
        <v>7</v>
      </c>
      <c r="H71" s="20" t="s">
        <v>27</v>
      </c>
      <c r="I71" s="33">
        <v>46142</v>
      </c>
      <c r="J71" s="34">
        <f>=SUM(K71:Q71)</f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6" t="s"/>
      <c r="S71" s="37" t="s"/>
      <c r="T71" s="37" t="s"/>
      <c r="U71" s="37" t="s"/>
      <c r="V71" s="37" t="s"/>
      <c r="W71" s="37" t="s"/>
      <c r="X71" s="37" t="s"/>
      <c r="Y71" s="37" t="s"/>
      <c r="Z71" s="35">
        <v>50000</v>
      </c>
      <c r="AA71" s="35">
        <v>0</v>
      </c>
      <c r="AB71" s="37" t="s"/>
      <c r="AC71" s="37" t="s"/>
      <c r="AD71" s="35">
        <v>312926.95</v>
      </c>
      <c r="AE71" s="35">
        <v>0</v>
      </c>
      <c r="AF71" s="35">
        <v>0</v>
      </c>
      <c r="AG71" s="35">
        <v>81644.11</v>
      </c>
      <c r="AH71" s="35">
        <v>660.32</v>
      </c>
      <c r="AI71" s="35">
        <v>10050</v>
      </c>
      <c r="AJ71" s="35">
        <v>54058</v>
      </c>
      <c r="AK71" s="38" t="s">
        <v>197</v>
      </c>
      <c r="AL71" s="38" t="s">
        <v>129</v>
      </c>
      <c r="AM71" s="41" t="s"/>
    </row>
    <row r="72" spans="1:39" s="156" customFormat="1" ht="12.95" customHeight="1">
      <c r="A72" s="29" t="s">
        <v>17</v>
      </c>
      <c r="B72" s="30" t="s">
        <v>198</v>
      </c>
      <c r="C72" s="30" t="s">
        <v>168</v>
      </c>
      <c r="D72" s="30" t="s">
        <v>199</v>
      </c>
      <c r="E72" s="30" t="s">
        <v>126</v>
      </c>
      <c r="F72" s="30" t="s">
        <v>191</v>
      </c>
      <c r="G72" s="31" t="s">
        <v>7</v>
      </c>
      <c r="H72" s="20" t="s">
        <v>27</v>
      </c>
      <c r="I72" s="33">
        <v>45910</v>
      </c>
      <c r="J72" s="34">
        <f>=SUM(K72:Q72)</f>
        <v>173000</v>
      </c>
      <c r="K72" s="35">
        <v>55000</v>
      </c>
      <c r="L72" s="35">
        <v>0</v>
      </c>
      <c r="M72" s="35">
        <v>80000</v>
      </c>
      <c r="N72" s="35">
        <v>20000</v>
      </c>
      <c r="O72" s="35">
        <v>10000</v>
      </c>
      <c r="P72" s="35">
        <v>0</v>
      </c>
      <c r="Q72" s="35">
        <v>8000</v>
      </c>
      <c r="R72" s="36" t="s"/>
      <c r="S72" s="37" t="s"/>
      <c r="T72" s="37" t="s"/>
      <c r="U72" s="37" t="s"/>
      <c r="V72" s="37" t="s"/>
      <c r="W72" s="37" t="s"/>
      <c r="X72" s="37" t="s"/>
      <c r="Y72" s="37" t="s"/>
      <c r="Z72" s="35">
        <v>0</v>
      </c>
      <c r="AA72" s="35">
        <v>0</v>
      </c>
      <c r="AB72" s="37" t="s"/>
      <c r="AC72" s="37" t="s"/>
      <c r="AD72" s="35">
        <v>21588.77</v>
      </c>
      <c r="AE72" s="35">
        <v>0</v>
      </c>
      <c r="AF72" s="35">
        <v>0</v>
      </c>
      <c r="AG72" s="35">
        <v>33598.96</v>
      </c>
      <c r="AH72" s="35">
        <v>1433</v>
      </c>
      <c r="AI72" s="35">
        <v>0</v>
      </c>
      <c r="AJ72" s="35">
        <v>9776</v>
      </c>
      <c r="AK72" s="40" t="s">
        <v>197</v>
      </c>
      <c r="AL72" s="38" t="s">
        <v>129</v>
      </c>
      <c r="AM72" s="41" t="s"/>
    </row>
    <row r="73" spans="1:39" s="156" customFormat="1" ht="12.95" customHeight="1">
      <c r="A73" s="29" t="s">
        <v>17</v>
      </c>
      <c r="B73" s="30" t="s">
        <v>200</v>
      </c>
      <c r="C73" s="30" t="s">
        <v>201</v>
      </c>
      <c r="D73" s="30" t="s">
        <v>202</v>
      </c>
      <c r="E73" s="30" t="s">
        <v>126</v>
      </c>
      <c r="F73" s="30" t="s">
        <v>15</v>
      </c>
      <c r="G73" s="31" t="s">
        <v>7</v>
      </c>
      <c r="H73" s="32" t="s">
        <v>115</v>
      </c>
      <c r="I73" s="33">
        <v>45658</v>
      </c>
      <c r="J73" s="34">
        <f>=SUM(K73:Q73)</f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6" t="s"/>
      <c r="S73" s="37" t="s"/>
      <c r="T73" s="37" t="s"/>
      <c r="U73" s="37" t="s"/>
      <c r="V73" s="37" t="s"/>
      <c r="W73" s="37" t="s"/>
      <c r="X73" s="37" t="s"/>
      <c r="Y73" s="37" t="s"/>
      <c r="Z73" s="35">
        <v>0</v>
      </c>
      <c r="AA73" s="35">
        <v>0</v>
      </c>
      <c r="AB73" s="37" t="s"/>
      <c r="AC73" s="37" t="s"/>
      <c r="AD73" s="35">
        <v>607903.42959695</v>
      </c>
      <c r="AE73" s="35">
        <v>0</v>
      </c>
      <c r="AF73" s="35">
        <v>8451.21</v>
      </c>
      <c r="AG73" s="35">
        <v>0</v>
      </c>
      <c r="AH73" s="35">
        <v>161</v>
      </c>
      <c r="AI73" s="35">
        <v>6695</v>
      </c>
      <c r="AJ73" s="35">
        <v>42673.61</v>
      </c>
      <c r="AK73" s="38" t="s">
        <v>175</v>
      </c>
      <c r="AL73" s="38" t="s">
        <v>129</v>
      </c>
      <c r="AM73" s="41" t="s"/>
    </row>
    <row r="74" spans="1:39" s="156" customFormat="1" ht="12.95" customHeight="1">
      <c r="A74" s="29" t="s">
        <v>17</v>
      </c>
      <c r="B74" s="30" t="s">
        <v>203</v>
      </c>
      <c r="C74" s="30" t="s">
        <v>201</v>
      </c>
      <c r="D74" s="30" t="s">
        <v>204</v>
      </c>
      <c r="E74" s="30" t="s">
        <v>126</v>
      </c>
      <c r="F74" s="30" t="s">
        <v>15</v>
      </c>
      <c r="G74" s="31" t="s">
        <v>7</v>
      </c>
      <c r="H74" s="32" t="s">
        <v>115</v>
      </c>
      <c r="I74" s="33">
        <v>45658</v>
      </c>
      <c r="J74" s="34">
        <f>=SUM(K74:Q74)</f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6" t="s"/>
      <c r="S74" s="37" t="s"/>
      <c r="T74" s="37" t="s"/>
      <c r="U74" s="37" t="s"/>
      <c r="V74" s="37" t="s"/>
      <c r="W74" s="37" t="s"/>
      <c r="X74" s="37" t="s"/>
      <c r="Y74" s="37" t="s"/>
      <c r="Z74" s="35">
        <v>0</v>
      </c>
      <c r="AA74" s="35">
        <v>0</v>
      </c>
      <c r="AB74" s="37" t="s"/>
      <c r="AC74" s="37" t="s"/>
      <c r="AD74" s="35">
        <v>545762.71142523</v>
      </c>
      <c r="AE74" s="35">
        <v>0</v>
      </c>
      <c r="AF74" s="35">
        <v>65334.35</v>
      </c>
      <c r="AG74" s="35">
        <v>102.68</v>
      </c>
      <c r="AH74" s="35">
        <v>197</v>
      </c>
      <c r="AI74" s="35">
        <v>0</v>
      </c>
      <c r="AJ74" s="35">
        <v>10255.91</v>
      </c>
      <c r="AK74" s="38" t="s">
        <v>175</v>
      </c>
      <c r="AL74" s="38" t="s">
        <v>129</v>
      </c>
      <c r="AM74" s="41" t="s"/>
    </row>
    <row r="75" spans="1:39" s="156" customFormat="1" ht="12.95" customHeight="1">
      <c r="A75" s="29" t="s">
        <v>17</v>
      </c>
      <c r="B75" s="30" t="s">
        <v>205</v>
      </c>
      <c r="C75" s="30" t="s">
        <v>201</v>
      </c>
      <c r="D75" s="30" t="s">
        <v>206</v>
      </c>
      <c r="E75" s="30" t="s">
        <v>126</v>
      </c>
      <c r="F75" s="30" t="s">
        <v>15</v>
      </c>
      <c r="G75" s="31" t="s">
        <v>7</v>
      </c>
      <c r="H75" s="32" t="s">
        <v>115</v>
      </c>
      <c r="I75" s="33">
        <v>45809</v>
      </c>
      <c r="J75" s="34">
        <f>=SUM(K75:Q75)</f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6" t="s"/>
      <c r="S75" s="37" t="s"/>
      <c r="T75" s="37" t="s"/>
      <c r="U75" s="37" t="s"/>
      <c r="V75" s="37" t="s"/>
      <c r="W75" s="37" t="s"/>
      <c r="X75" s="37" t="s"/>
      <c r="Y75" s="37" t="s"/>
      <c r="Z75" s="35">
        <v>0</v>
      </c>
      <c r="AA75" s="35">
        <v>0</v>
      </c>
      <c r="AB75" s="37" t="s"/>
      <c r="AC75" s="37" t="s"/>
      <c r="AD75" s="35">
        <v>625082.168222721</v>
      </c>
      <c r="AE75" s="35">
        <v>0</v>
      </c>
      <c r="AF75" s="35">
        <v>45257.26</v>
      </c>
      <c r="AG75" s="35">
        <v>4566.85</v>
      </c>
      <c r="AH75" s="35">
        <v>859</v>
      </c>
      <c r="AI75" s="35">
        <v>2500</v>
      </c>
      <c r="AJ75" s="35">
        <v>44296.24</v>
      </c>
      <c r="AK75" s="38" t="s">
        <v>175</v>
      </c>
      <c r="AL75" s="38" t="s">
        <v>129</v>
      </c>
      <c r="AM75" s="39" t="s"/>
    </row>
    <row r="76" spans="1:39" s="156" customFormat="1" ht="12.95" customHeight="1">
      <c r="A76" s="29" t="s">
        <v>17</v>
      </c>
      <c r="B76" s="30" t="s">
        <v>207</v>
      </c>
      <c r="C76" s="30" t="s">
        <v>193</v>
      </c>
      <c r="D76" s="30" t="s">
        <v>208</v>
      </c>
      <c r="E76" s="30" t="s">
        <v>126</v>
      </c>
      <c r="F76" s="30" t="s">
        <v>15</v>
      </c>
      <c r="G76" s="31" t="s">
        <v>7</v>
      </c>
      <c r="H76" s="32" t="s">
        <v>115</v>
      </c>
      <c r="I76" s="33">
        <v>45047</v>
      </c>
      <c r="J76" s="34">
        <f>=SUM(K76:Q76)</f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6" t="s"/>
      <c r="S76" s="37" t="s"/>
      <c r="T76" s="37" t="s"/>
      <c r="U76" s="37" t="s"/>
      <c r="V76" s="37" t="s"/>
      <c r="W76" s="37" t="s"/>
      <c r="X76" s="37" t="s"/>
      <c r="Y76" s="37" t="s"/>
      <c r="Z76" s="35">
        <v>0</v>
      </c>
      <c r="AA76" s="35">
        <v>0</v>
      </c>
      <c r="AB76" s="37" t="s"/>
      <c r="AC76" s="37" t="s"/>
      <c r="AD76" s="35">
        <v>0</v>
      </c>
      <c r="AE76" s="35">
        <v>0</v>
      </c>
      <c r="AF76" s="35">
        <v>0</v>
      </c>
      <c r="AG76" s="35">
        <v>0</v>
      </c>
      <c r="AH76" s="35">
        <v>2000</v>
      </c>
      <c r="AI76" s="35">
        <v>0</v>
      </c>
      <c r="AJ76" s="35">
        <v>0</v>
      </c>
      <c r="AK76" s="38" t="s">
        <v>175</v>
      </c>
      <c r="AL76" s="38" t="s">
        <v>129</v>
      </c>
      <c r="AM76" s="39" t="s"/>
    </row>
    <row r="77" spans="1:39" s="156" customFormat="1" ht="12.95" customHeight="1">
      <c r="A77" s="29" t="s">
        <v>17</v>
      </c>
      <c r="B77" s="30" t="s">
        <v>209</v>
      </c>
      <c r="C77" s="30" t="s">
        <v>37</v>
      </c>
      <c r="D77" s="30" t="s">
        <v>210</v>
      </c>
      <c r="E77" s="30" t="s">
        <v>126</v>
      </c>
      <c r="F77" s="30" t="s">
        <v>15</v>
      </c>
      <c r="G77" s="31" t="s">
        <v>7</v>
      </c>
      <c r="H77" s="32" t="s">
        <v>115</v>
      </c>
      <c r="I77" s="33">
        <v>44197</v>
      </c>
      <c r="J77" s="34">
        <f>=SUM(K77:Q77)</f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6" t="s"/>
      <c r="S77" s="37" t="s"/>
      <c r="T77" s="37" t="s"/>
      <c r="U77" s="37" t="s"/>
      <c r="V77" s="37" t="s"/>
      <c r="W77" s="37" t="s"/>
      <c r="X77" s="37" t="s"/>
      <c r="Y77" s="37" t="s"/>
      <c r="Z77" s="35">
        <v>0</v>
      </c>
      <c r="AA77" s="35">
        <v>0</v>
      </c>
      <c r="AB77" s="37" t="s"/>
      <c r="AC77" s="37" t="s"/>
      <c r="AD77" s="35">
        <v>686718.749924092</v>
      </c>
      <c r="AE77" s="35">
        <v>0</v>
      </c>
      <c r="AF77" s="35">
        <v>86439.69</v>
      </c>
      <c r="AG77" s="35">
        <v>1414.39</v>
      </c>
      <c r="AH77" s="35">
        <v>2512</v>
      </c>
      <c r="AI77" s="35">
        <v>0</v>
      </c>
      <c r="AJ77" s="35">
        <v>13927.35</v>
      </c>
      <c r="AK77" s="38" t="s">
        <v>175</v>
      </c>
      <c r="AL77" s="38" t="s">
        <v>129</v>
      </c>
      <c r="AM77" s="39" t="s"/>
    </row>
    <row r="78" spans="1:39" s="156" customFormat="1" ht="12.95" customHeight="1">
      <c r="A78" s="29" t="s">
        <v>17</v>
      </c>
      <c r="B78" s="30" t="s">
        <v>211</v>
      </c>
      <c r="C78" s="30" t="s">
        <v>37</v>
      </c>
      <c r="D78" s="30" t="s">
        <v>212</v>
      </c>
      <c r="E78" s="30" t="s">
        <v>126</v>
      </c>
      <c r="F78" s="30" t="s">
        <v>15</v>
      </c>
      <c r="G78" s="31" t="s">
        <v>7</v>
      </c>
      <c r="H78" s="32" t="s">
        <v>115</v>
      </c>
      <c r="I78" s="33">
        <v>46082</v>
      </c>
      <c r="J78" s="34">
        <f>=SUM(K78:Q78)</f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6" t="s"/>
      <c r="S78" s="37" t="s"/>
      <c r="T78" s="37" t="s"/>
      <c r="U78" s="37" t="s"/>
      <c r="V78" s="37" t="s"/>
      <c r="W78" s="37" t="s"/>
      <c r="X78" s="37" t="s"/>
      <c r="Y78" s="37" t="s"/>
      <c r="Z78" s="35">
        <v>0</v>
      </c>
      <c r="AA78" s="35">
        <v>0</v>
      </c>
      <c r="AB78" s="37" t="s"/>
      <c r="AC78" s="37" t="s"/>
      <c r="AD78" s="35">
        <v>466528.208946584</v>
      </c>
      <c r="AE78" s="35">
        <v>0</v>
      </c>
      <c r="AF78" s="35">
        <v>183797.95</v>
      </c>
      <c r="AG78" s="35">
        <v>1681.06</v>
      </c>
      <c r="AH78" s="35">
        <v>0</v>
      </c>
      <c r="AI78" s="35">
        <v>0</v>
      </c>
      <c r="AJ78" s="35">
        <v>45524.21</v>
      </c>
      <c r="AK78" s="38" t="s">
        <v>175</v>
      </c>
      <c r="AL78" s="38" t="s">
        <v>129</v>
      </c>
      <c r="AM78" s="39" t="s"/>
    </row>
    <row r="79" spans="1:39" s="156" customFormat="1" ht="12.95" customHeight="1">
      <c r="A79" s="29" t="s">
        <v>17</v>
      </c>
      <c r="B79" s="30" t="s">
        <v>213</v>
      </c>
      <c r="C79" s="30" t="s">
        <v>214</v>
      </c>
      <c r="D79" s="30" t="s">
        <v>215</v>
      </c>
      <c r="E79" s="30" t="s">
        <v>126</v>
      </c>
      <c r="F79" s="30" t="s">
        <v>15</v>
      </c>
      <c r="G79" s="31" t="s">
        <v>7</v>
      </c>
      <c r="H79" s="32" t="s">
        <v>115</v>
      </c>
      <c r="I79" s="33">
        <v>45962</v>
      </c>
      <c r="J79" s="34">
        <f>=SUM(K79:Q79)</f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6" t="s"/>
      <c r="S79" s="37" t="s"/>
      <c r="T79" s="37" t="s"/>
      <c r="U79" s="37" t="s"/>
      <c r="V79" s="37" t="s"/>
      <c r="W79" s="37" t="s"/>
      <c r="X79" s="37" t="s"/>
      <c r="Y79" s="37" t="s"/>
      <c r="Z79" s="35">
        <v>0</v>
      </c>
      <c r="AA79" s="35">
        <v>0</v>
      </c>
      <c r="AB79" s="37" t="s"/>
      <c r="AC79" s="37" t="s"/>
      <c r="AD79" s="35">
        <v>428411.39395575</v>
      </c>
      <c r="AE79" s="35">
        <v>0</v>
      </c>
      <c r="AF79" s="35">
        <v>54047.63</v>
      </c>
      <c r="AG79" s="35">
        <v>2157.05</v>
      </c>
      <c r="AH79" s="35">
        <v>0</v>
      </c>
      <c r="AI79" s="35">
        <v>0</v>
      </c>
      <c r="AJ79" s="35">
        <v>4951.3</v>
      </c>
      <c r="AK79" s="38" t="s">
        <v>175</v>
      </c>
      <c r="AL79" s="38" t="s">
        <v>129</v>
      </c>
      <c r="AM79" s="39" t="s"/>
    </row>
    <row r="80" spans="1:39" s="156" customFormat="1" ht="12.95" customHeight="1">
      <c r="A80" s="29" t="s">
        <v>17</v>
      </c>
      <c r="B80" s="30" t="s">
        <v>216</v>
      </c>
      <c r="C80" s="30" t="s">
        <v>147</v>
      </c>
      <c r="D80" s="30" t="s">
        <v>217</v>
      </c>
      <c r="E80" s="30" t="s">
        <v>126</v>
      </c>
      <c r="F80" s="30" t="s">
        <v>15</v>
      </c>
      <c r="G80" s="31" t="s">
        <v>7</v>
      </c>
      <c r="H80" s="32" t="s">
        <v>115</v>
      </c>
      <c r="I80" s="33">
        <v>44713</v>
      </c>
      <c r="J80" s="34">
        <f>=SUM(K80:Q80)</f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6" t="s"/>
      <c r="S80" s="37" t="s"/>
      <c r="T80" s="37" t="s"/>
      <c r="U80" s="37" t="s"/>
      <c r="V80" s="37" t="s"/>
      <c r="W80" s="37" t="s"/>
      <c r="X80" s="37" t="s"/>
      <c r="Y80" s="37" t="s"/>
      <c r="Z80" s="35">
        <v>0</v>
      </c>
      <c r="AA80" s="35">
        <v>0</v>
      </c>
      <c r="AB80" s="37" t="s"/>
      <c r="AC80" s="37" t="s"/>
      <c r="AD80" s="35">
        <v>193327.25</v>
      </c>
      <c r="AE80" s="35">
        <v>0</v>
      </c>
      <c r="AF80" s="35">
        <v>56125.19</v>
      </c>
      <c r="AG80" s="35">
        <v>214.49</v>
      </c>
      <c r="AH80" s="35">
        <v>0</v>
      </c>
      <c r="AI80" s="35">
        <v>89512</v>
      </c>
      <c r="AJ80" s="35">
        <v>43979.91</v>
      </c>
      <c r="AK80" s="38" t="s">
        <v>175</v>
      </c>
      <c r="AL80" s="38" t="s">
        <v>129</v>
      </c>
      <c r="AM80" s="39" t="s"/>
    </row>
    <row r="81" spans="1:39" s="156" customFormat="1" ht="12.95" customHeight="1">
      <c r="A81" s="29" t="s">
        <v>17</v>
      </c>
      <c r="B81" s="30" t="s">
        <v>218</v>
      </c>
      <c r="C81" s="30" t="s">
        <v>147</v>
      </c>
      <c r="D81" s="30" t="s">
        <v>219</v>
      </c>
      <c r="E81" s="30" t="s">
        <v>126</v>
      </c>
      <c r="F81" s="30" t="s">
        <v>15</v>
      </c>
      <c r="G81" s="31" t="s">
        <v>7</v>
      </c>
      <c r="H81" s="32" t="s">
        <v>115</v>
      </c>
      <c r="I81" s="33">
        <v>45383</v>
      </c>
      <c r="J81" s="34">
        <f>=SUM(K81:Q81)</f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6" t="s"/>
      <c r="S81" s="37" t="s"/>
      <c r="T81" s="37" t="s"/>
      <c r="U81" s="37" t="s"/>
      <c r="V81" s="37" t="s"/>
      <c r="W81" s="37" t="s"/>
      <c r="X81" s="37" t="s"/>
      <c r="Y81" s="37" t="s"/>
      <c r="Z81" s="35">
        <v>0</v>
      </c>
      <c r="AA81" s="35">
        <v>0</v>
      </c>
      <c r="AB81" s="37" t="s"/>
      <c r="AC81" s="37" t="s"/>
      <c r="AD81" s="35">
        <v>0</v>
      </c>
      <c r="AE81" s="35">
        <v>0</v>
      </c>
      <c r="AF81" s="35">
        <v>0</v>
      </c>
      <c r="AG81" s="35">
        <v>1614.35</v>
      </c>
      <c r="AH81" s="35">
        <v>0</v>
      </c>
      <c r="AI81" s="35">
        <v>0</v>
      </c>
      <c r="AJ81" s="35">
        <v>0</v>
      </c>
      <c r="AK81" s="38" t="s">
        <v>175</v>
      </c>
      <c r="AL81" s="38" t="s">
        <v>129</v>
      </c>
      <c r="AM81" s="39" t="s"/>
    </row>
    <row r="82" spans="1:39" s="156" customFormat="1" ht="12.95" customHeight="1">
      <c r="A82" s="29" t="s">
        <v>17</v>
      </c>
      <c r="B82" s="30" t="s">
        <v>220</v>
      </c>
      <c r="C82" s="30" t="s">
        <v>147</v>
      </c>
      <c r="D82" s="30" t="s">
        <v>221</v>
      </c>
      <c r="E82" s="30" t="s">
        <v>126</v>
      </c>
      <c r="F82" s="30" t="s">
        <v>15</v>
      </c>
      <c r="G82" s="31" t="s">
        <v>7</v>
      </c>
      <c r="H82" s="32" t="s">
        <v>115</v>
      </c>
      <c r="I82" s="33">
        <v>45323</v>
      </c>
      <c r="J82" s="34">
        <f>=SUM(K82:Q82)</f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6" t="s"/>
      <c r="S82" s="37" t="s"/>
      <c r="T82" s="37" t="s"/>
      <c r="U82" s="37" t="s"/>
      <c r="V82" s="37" t="s"/>
      <c r="W82" s="37" t="s"/>
      <c r="X82" s="37" t="s"/>
      <c r="Y82" s="37" t="s"/>
      <c r="Z82" s="35">
        <v>0</v>
      </c>
      <c r="AA82" s="35">
        <v>0</v>
      </c>
      <c r="AB82" s="37" t="s"/>
      <c r="AC82" s="37" t="s"/>
      <c r="AD82" s="35">
        <v>111337.53830125</v>
      </c>
      <c r="AE82" s="35">
        <v>0</v>
      </c>
      <c r="AF82" s="35">
        <v>0</v>
      </c>
      <c r="AG82" s="35">
        <v>0</v>
      </c>
      <c r="AH82" s="35">
        <v>0</v>
      </c>
      <c r="AI82" s="35">
        <v>0</v>
      </c>
      <c r="AJ82" s="35">
        <v>610</v>
      </c>
      <c r="AK82" s="38" t="s">
        <v>175</v>
      </c>
      <c r="AL82" s="38" t="s">
        <v>129</v>
      </c>
      <c r="AM82" s="39" t="s"/>
    </row>
    <row r="83" spans="1:39" s="156" customFormat="1" ht="12.95" customHeight="1">
      <c r="A83" s="29" t="s">
        <v>17</v>
      </c>
      <c r="B83" s="30" t="s">
        <v>222</v>
      </c>
      <c r="C83" s="30" t="s">
        <v>147</v>
      </c>
      <c r="D83" s="30" t="s">
        <v>223</v>
      </c>
      <c r="E83" s="30" t="s">
        <v>126</v>
      </c>
      <c r="F83" s="30" t="s">
        <v>15</v>
      </c>
      <c r="G83" s="31" t="s">
        <v>7</v>
      </c>
      <c r="H83" s="32" t="s">
        <v>115</v>
      </c>
      <c r="I83" s="33">
        <v>45931</v>
      </c>
      <c r="J83" s="34">
        <f>=SUM(K83:Q83)</f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6" t="s"/>
      <c r="S83" s="37" t="s"/>
      <c r="T83" s="37" t="s"/>
      <c r="U83" s="37" t="s"/>
      <c r="V83" s="37" t="s"/>
      <c r="W83" s="37" t="s"/>
      <c r="X83" s="37" t="s"/>
      <c r="Y83" s="37" t="s"/>
      <c r="Z83" s="35">
        <v>0</v>
      </c>
      <c r="AA83" s="35">
        <v>0</v>
      </c>
      <c r="AB83" s="37" t="s"/>
      <c r="AC83" s="37" t="s"/>
      <c r="AD83" s="35">
        <v>633812.08271574</v>
      </c>
      <c r="AE83" s="35">
        <v>0</v>
      </c>
      <c r="AF83" s="35">
        <v>28779.9</v>
      </c>
      <c r="AG83" s="35">
        <v>920.27</v>
      </c>
      <c r="AH83" s="35">
        <v>0</v>
      </c>
      <c r="AI83" s="35">
        <v>0</v>
      </c>
      <c r="AJ83" s="35">
        <v>33900</v>
      </c>
      <c r="AK83" s="38" t="s">
        <v>175</v>
      </c>
      <c r="AL83" s="38" t="s">
        <v>129</v>
      </c>
      <c r="AM83" s="39" t="s"/>
    </row>
    <row r="84" spans="1:39" s="156" customFormat="1" ht="12.95" customHeight="1">
      <c r="A84" s="29" t="s">
        <v>17</v>
      </c>
      <c r="B84" s="30" t="s">
        <v>224</v>
      </c>
      <c r="C84" s="30" t="s">
        <v>147</v>
      </c>
      <c r="D84" s="30" t="s">
        <v>225</v>
      </c>
      <c r="E84" s="30" t="s">
        <v>126</v>
      </c>
      <c r="F84" s="30" t="s">
        <v>15</v>
      </c>
      <c r="G84" s="31" t="s">
        <v>7</v>
      </c>
      <c r="H84" s="32" t="s">
        <v>115</v>
      </c>
      <c r="I84" s="33">
        <v>45748</v>
      </c>
      <c r="J84" s="34">
        <f>=SUM(K84:Q84)</f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6" t="s"/>
      <c r="S84" s="37" t="s"/>
      <c r="T84" s="37" t="s"/>
      <c r="U84" s="37" t="s"/>
      <c r="V84" s="37" t="s"/>
      <c r="W84" s="37" t="s"/>
      <c r="X84" s="37" t="s"/>
      <c r="Y84" s="37" t="s"/>
      <c r="Z84" s="35">
        <v>0</v>
      </c>
      <c r="AA84" s="35">
        <v>0</v>
      </c>
      <c r="AB84" s="37" t="s"/>
      <c r="AC84" s="37" t="s"/>
      <c r="AD84" s="35">
        <v>56335.22</v>
      </c>
      <c r="AE84" s="35">
        <v>0</v>
      </c>
      <c r="AF84" s="35">
        <v>0</v>
      </c>
      <c r="AG84" s="35">
        <v>180.03</v>
      </c>
      <c r="AH84" s="35">
        <v>0</v>
      </c>
      <c r="AI84" s="35">
        <v>0</v>
      </c>
      <c r="AJ84" s="35">
        <v>3308</v>
      </c>
      <c r="AK84" s="38" t="s">
        <v>175</v>
      </c>
      <c r="AL84" s="38" t="s">
        <v>129</v>
      </c>
      <c r="AM84" s="39" t="s"/>
    </row>
    <row r="85" spans="1:39" s="156" customFormat="1" ht="12.95" customHeight="1">
      <c r="A85" s="29" t="s">
        <v>17</v>
      </c>
      <c r="B85" s="30" t="s">
        <v>226</v>
      </c>
      <c r="C85" s="30" t="s">
        <v>147</v>
      </c>
      <c r="D85" s="30" t="s">
        <v>227</v>
      </c>
      <c r="E85" s="30" t="s">
        <v>126</v>
      </c>
      <c r="F85" s="30" t="s">
        <v>15</v>
      </c>
      <c r="G85" s="31" t="s">
        <v>7</v>
      </c>
      <c r="H85" s="32" t="s">
        <v>115</v>
      </c>
      <c r="I85" s="33">
        <v>45931</v>
      </c>
      <c r="J85" s="34">
        <f>=SUM(K85:Q85)</f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6" t="s"/>
      <c r="S85" s="37" t="s"/>
      <c r="T85" s="37" t="s"/>
      <c r="U85" s="37" t="s"/>
      <c r="V85" s="37" t="s"/>
      <c r="W85" s="37" t="s"/>
      <c r="X85" s="37" t="s"/>
      <c r="Y85" s="37" t="s"/>
      <c r="Z85" s="35">
        <v>0</v>
      </c>
      <c r="AA85" s="35">
        <v>0</v>
      </c>
      <c r="AB85" s="37" t="s"/>
      <c r="AC85" s="37" t="s"/>
      <c r="AD85" s="35">
        <v>443365.68</v>
      </c>
      <c r="AE85" s="35">
        <v>0</v>
      </c>
      <c r="AF85" s="35">
        <v>72143.24</v>
      </c>
      <c r="AG85" s="35">
        <v>3860.39</v>
      </c>
      <c r="AH85" s="35">
        <v>0</v>
      </c>
      <c r="AI85" s="35">
        <v>90048</v>
      </c>
      <c r="AJ85" s="35">
        <v>2238</v>
      </c>
      <c r="AK85" s="38" t="s">
        <v>175</v>
      </c>
      <c r="AL85" s="38" t="s">
        <v>129</v>
      </c>
      <c r="AM85" s="39" t="s"/>
    </row>
    <row r="86" spans="1:39" s="156" customFormat="1" ht="12.95" customHeight="1">
      <c r="A86" s="29" t="s">
        <v>17</v>
      </c>
      <c r="B86" s="30" t="s">
        <v>228</v>
      </c>
      <c r="C86" s="30" t="s">
        <v>229</v>
      </c>
      <c r="D86" s="30" t="s">
        <v>230</v>
      </c>
      <c r="E86" s="30" t="s">
        <v>126</v>
      </c>
      <c r="F86" s="30" t="s">
        <v>15</v>
      </c>
      <c r="G86" s="31" t="s">
        <v>7</v>
      </c>
      <c r="H86" s="32" t="s">
        <v>115</v>
      </c>
      <c r="I86" s="33">
        <v>46204</v>
      </c>
      <c r="J86" s="34">
        <f>=SUM(K86:Q86)</f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6" t="s"/>
      <c r="S86" s="37" t="s"/>
      <c r="T86" s="37" t="s"/>
      <c r="U86" s="37" t="s"/>
      <c r="V86" s="37" t="s"/>
      <c r="W86" s="37" t="s"/>
      <c r="X86" s="37" t="s"/>
      <c r="Y86" s="37" t="s"/>
      <c r="Z86" s="35">
        <v>0</v>
      </c>
      <c r="AA86" s="35">
        <v>0</v>
      </c>
      <c r="AB86" s="37" t="s"/>
      <c r="AC86" s="37" t="s"/>
      <c r="AD86" s="35">
        <v>0</v>
      </c>
      <c r="AE86" s="35">
        <v>0</v>
      </c>
      <c r="AF86" s="35">
        <v>0</v>
      </c>
      <c r="AG86" s="35">
        <v>0</v>
      </c>
      <c r="AH86" s="35">
        <v>0</v>
      </c>
      <c r="AI86" s="35">
        <v>0</v>
      </c>
      <c r="AJ86" s="35">
        <v>0</v>
      </c>
      <c r="AK86" s="38" t="s">
        <v>175</v>
      </c>
      <c r="AL86" s="38" t="s">
        <v>129</v>
      </c>
      <c r="AM86" s="39" t="s"/>
    </row>
    <row r="87" spans="1:39" s="155" customFormat="1" ht="12.95" customHeight="1">
      <c r="A87" s="17">
        <v>999910000001</v>
      </c>
      <c r="B87" s="18" t="s">
        <v>231</v>
      </c>
      <c r="C87" s="18" t="s">
        <v>168</v>
      </c>
      <c r="D87" s="18" t="s">
        <v>232</v>
      </c>
      <c r="E87" s="18" t="s">
        <v>74</v>
      </c>
      <c r="F87" s="18" t="s">
        <v>26</v>
      </c>
      <c r="G87" s="19" t="s">
        <v>7</v>
      </c>
      <c r="H87" s="20" t="s">
        <v>27</v>
      </c>
      <c r="I87" s="21" t="s">
        <v>7</v>
      </c>
      <c r="J87" s="22">
        <f>=SUM(K87:Q87)</f>
        <v>5300260</v>
      </c>
      <c r="K87" s="43">
        <v>390712</v>
      </c>
      <c r="L87" s="43">
        <v>1649933</v>
      </c>
      <c r="M87" s="43">
        <v>500000</v>
      </c>
      <c r="N87" s="43">
        <v>237052</v>
      </c>
      <c r="O87" s="43">
        <v>50000</v>
      </c>
      <c r="P87" s="43">
        <v>2369563</v>
      </c>
      <c r="Q87" s="43">
        <v>103000</v>
      </c>
      <c r="R87" s="24" t="s"/>
      <c r="S87" s="25" t="s"/>
      <c r="T87" s="25" t="s"/>
      <c r="U87" s="25" t="s"/>
      <c r="V87" s="25" t="s"/>
      <c r="W87" s="25" t="s"/>
      <c r="X87" s="25" t="s"/>
      <c r="Y87" s="25" t="s"/>
      <c r="Z87" s="23">
        <v>0</v>
      </c>
      <c r="AA87" s="23">
        <v>0</v>
      </c>
      <c r="AB87" s="25" t="s"/>
      <c r="AC87" s="26" t="s"/>
      <c r="AD87" s="23">
        <v>0</v>
      </c>
      <c r="AE87" s="23">
        <v>0</v>
      </c>
      <c r="AF87" s="23">
        <v>0</v>
      </c>
      <c r="AG87" s="23">
        <v>0</v>
      </c>
      <c r="AH87" s="23">
        <v>0</v>
      </c>
      <c r="AI87" s="23">
        <v>0</v>
      </c>
      <c r="AJ87" s="23">
        <v>0</v>
      </c>
      <c r="AK87" s="27" t="s"/>
      <c r="AL87" s="27" t="s"/>
      <c r="AM87" s="27" t="s"/>
    </row>
    <row r="88" spans="1:39" s="155" customFormat="1" ht="12.95" customHeight="1">
      <c r="A88" s="17">
        <v>999910000002</v>
      </c>
      <c r="B88" s="18" t="s">
        <v>233</v>
      </c>
      <c r="C88" s="18" t="s">
        <v>234</v>
      </c>
      <c r="D88" s="18" t="s">
        <v>235</v>
      </c>
      <c r="E88" s="18" t="s">
        <v>236</v>
      </c>
      <c r="F88" s="18" t="s">
        <v>237</v>
      </c>
      <c r="G88" s="19" t="s">
        <v>7</v>
      </c>
      <c r="H88" s="20" t="s">
        <v>115</v>
      </c>
      <c r="I88" s="44">
        <v>46874</v>
      </c>
      <c r="J88" s="22">
        <f>=SUM(K88:Q88)</f>
        <v>6618600</v>
      </c>
      <c r="K88" s="43">
        <v>3348000</v>
      </c>
      <c r="L88" s="23">
        <v>0</v>
      </c>
      <c r="M88" s="43">
        <v>2200000</v>
      </c>
      <c r="N88" s="43">
        <v>645600</v>
      </c>
      <c r="O88" s="43">
        <v>105000</v>
      </c>
      <c r="P88" s="23">
        <v>0</v>
      </c>
      <c r="Q88" s="43">
        <v>320000</v>
      </c>
      <c r="R88" s="24" t="s"/>
      <c r="S88" s="25" t="s"/>
      <c r="T88" s="25" t="s"/>
      <c r="U88" s="25" t="s"/>
      <c r="V88" s="25" t="s"/>
      <c r="W88" s="25" t="s"/>
      <c r="X88" s="25" t="s"/>
      <c r="Y88" s="25" t="s"/>
      <c r="Z88" s="23">
        <v>0</v>
      </c>
      <c r="AA88" s="23">
        <v>0</v>
      </c>
      <c r="AB88" s="25" t="s"/>
      <c r="AC88" s="26" t="s"/>
      <c r="AD88" s="23">
        <v>0</v>
      </c>
      <c r="AE88" s="23">
        <v>0</v>
      </c>
      <c r="AF88" s="23">
        <v>0</v>
      </c>
      <c r="AG88" s="23">
        <v>0</v>
      </c>
      <c r="AH88" s="23">
        <v>0</v>
      </c>
      <c r="AI88" s="23">
        <v>0</v>
      </c>
      <c r="AJ88" s="23">
        <v>0</v>
      </c>
      <c r="AK88" s="27" t="s"/>
      <c r="AL88" s="27" t="s"/>
      <c r="AM88" s="27" t="s"/>
    </row>
    <row r="89" spans="1:39" s="155" customFormat="1" ht="12.95" customHeight="1">
      <c r="A89" s="17">
        <v>999910000003</v>
      </c>
      <c r="B89" s="18" t="s">
        <v>238</v>
      </c>
      <c r="C89" s="18" t="s">
        <v>239</v>
      </c>
      <c r="D89" s="18" t="s">
        <v>240</v>
      </c>
      <c r="E89" s="18" t="s">
        <v>241</v>
      </c>
      <c r="F89" s="18" t="s">
        <v>42</v>
      </c>
      <c r="G89" s="19" t="s">
        <v>7</v>
      </c>
      <c r="H89" s="20" t="s">
        <v>27</v>
      </c>
      <c r="I89" s="21" t="s">
        <v>7</v>
      </c>
      <c r="J89" s="22">
        <f>=SUM(K89:Q89)</f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4" t="s"/>
      <c r="S89" s="25" t="s"/>
      <c r="T89" s="25" t="s"/>
      <c r="U89" s="25" t="s"/>
      <c r="V89" s="25" t="s"/>
      <c r="W89" s="25" t="s"/>
      <c r="X89" s="25" t="s"/>
      <c r="Y89" s="25" t="s"/>
      <c r="Z89" s="23">
        <v>0</v>
      </c>
      <c r="AA89" s="23">
        <v>0</v>
      </c>
      <c r="AB89" s="25" t="s"/>
      <c r="AC89" s="26" t="s"/>
      <c r="AD89" s="23">
        <v>0</v>
      </c>
      <c r="AE89" s="23">
        <v>0</v>
      </c>
      <c r="AF89" s="23">
        <v>0</v>
      </c>
      <c r="AG89" s="23">
        <v>0</v>
      </c>
      <c r="AH89" s="23">
        <v>0</v>
      </c>
      <c r="AI89" s="23">
        <v>0</v>
      </c>
      <c r="AJ89" s="23">
        <v>0</v>
      </c>
      <c r="AK89" s="27" t="s"/>
      <c r="AL89" s="27" t="s"/>
      <c r="AM89" s="27" t="s"/>
    </row>
    <row r="90" spans="1:39" s="156" customFormat="1" ht="12.95" customHeight="1">
      <c r="A90" s="45">
        <v>999910000004</v>
      </c>
      <c r="B90" s="46" t="s">
        <v>242</v>
      </c>
      <c r="C90" s="46" t="s">
        <v>214</v>
      </c>
      <c r="D90" s="46" t="s">
        <v>243</v>
      </c>
      <c r="E90" s="46" t="s">
        <v>126</v>
      </c>
      <c r="F90" s="46" t="s">
        <v>15</v>
      </c>
      <c r="G90" s="47" t="s">
        <v>7</v>
      </c>
      <c r="H90" s="32" t="s">
        <v>115</v>
      </c>
      <c r="I90" s="48" t="s">
        <v>7</v>
      </c>
      <c r="J90" s="22">
        <f>=SUM(K90:Q90)</f>
        <v>0</v>
      </c>
      <c r="K90" s="49">
        <v>0</v>
      </c>
      <c r="L90" s="49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36" t="s"/>
      <c r="S90" s="37" t="s"/>
      <c r="T90" s="37" t="s"/>
      <c r="U90" s="37" t="s"/>
      <c r="V90" s="37" t="s"/>
      <c r="W90" s="37" t="s"/>
      <c r="X90" s="37" t="s"/>
      <c r="Y90" s="37" t="s"/>
      <c r="Z90" s="35">
        <v>0</v>
      </c>
      <c r="AA90" s="35">
        <v>0</v>
      </c>
      <c r="AB90" s="37" t="s"/>
      <c r="AC90" s="37" t="s"/>
      <c r="AD90" s="35">
        <v>0</v>
      </c>
      <c r="AE90" s="35">
        <v>0</v>
      </c>
      <c r="AF90" s="35">
        <v>0</v>
      </c>
      <c r="AG90" s="35">
        <v>0</v>
      </c>
      <c r="AH90" s="35">
        <v>0</v>
      </c>
      <c r="AI90" s="35">
        <v>0</v>
      </c>
      <c r="AJ90" s="35">
        <v>0</v>
      </c>
      <c r="AK90" s="42" t="s">
        <v>244</v>
      </c>
      <c r="AL90" s="42" t="s">
        <v>176</v>
      </c>
      <c r="AM90" s="42" t="s"/>
    </row>
    <row r="91" spans="1:39" s="156" customFormat="1" ht="12.95" customHeight="1">
      <c r="A91" s="29">
        <v>999910000005</v>
      </c>
      <c r="B91" s="30" t="s">
        <v>245</v>
      </c>
      <c r="C91" s="30" t="s">
        <v>52</v>
      </c>
      <c r="D91" s="30" t="s">
        <v>246</v>
      </c>
      <c r="E91" s="30" t="s">
        <v>126</v>
      </c>
      <c r="F91" s="30" t="s">
        <v>114</v>
      </c>
      <c r="G91" s="31" t="s">
        <v>7</v>
      </c>
      <c r="H91" s="32" t="s">
        <v>115</v>
      </c>
      <c r="I91" s="50">
        <v>46569</v>
      </c>
      <c r="J91" s="22">
        <f>=SUM(K91:Q91)</f>
        <v>843122</v>
      </c>
      <c r="K91" s="35">
        <v>30000</v>
      </c>
      <c r="L91" s="35">
        <v>275000</v>
      </c>
      <c r="M91" s="35">
        <v>305993</v>
      </c>
      <c r="N91" s="35">
        <v>100000</v>
      </c>
      <c r="O91" s="35">
        <v>0</v>
      </c>
      <c r="P91" s="35">
        <v>132129</v>
      </c>
      <c r="Q91" s="35">
        <v>0</v>
      </c>
      <c r="R91" s="36" t="s"/>
      <c r="S91" s="37" t="s"/>
      <c r="T91" s="37" t="s"/>
      <c r="U91" s="37" t="s"/>
      <c r="V91" s="37" t="s"/>
      <c r="W91" s="37" t="s"/>
      <c r="X91" s="37" t="s"/>
      <c r="Y91" s="37" t="s"/>
      <c r="Z91" s="35">
        <v>0</v>
      </c>
      <c r="AA91" s="35">
        <v>0</v>
      </c>
      <c r="AB91" s="37" t="s"/>
      <c r="AC91" s="37" t="s"/>
      <c r="AD91" s="35">
        <v>0</v>
      </c>
      <c r="AE91" s="35">
        <v>0</v>
      </c>
      <c r="AF91" s="35">
        <v>0</v>
      </c>
      <c r="AG91" s="35">
        <v>0</v>
      </c>
      <c r="AH91" s="35">
        <v>0</v>
      </c>
      <c r="AI91" s="35">
        <v>0</v>
      </c>
      <c r="AJ91" s="35">
        <v>0</v>
      </c>
      <c r="AK91" s="42" t="s">
        <v>244</v>
      </c>
      <c r="AL91" s="42" t="s">
        <v>176</v>
      </c>
      <c r="AM91" s="42" t="s"/>
    </row>
    <row r="92" spans="1:39" s="156" customFormat="1" ht="12.95" customHeight="1">
      <c r="A92" s="29">
        <v>999910000006</v>
      </c>
      <c r="B92" s="30" t="s">
        <v>247</v>
      </c>
      <c r="C92" s="30" t="s">
        <v>52</v>
      </c>
      <c r="D92" s="30" t="s">
        <v>248</v>
      </c>
      <c r="E92" s="30" t="s">
        <v>249</v>
      </c>
      <c r="F92" s="30" t="s">
        <v>114</v>
      </c>
      <c r="G92" s="31" t="s">
        <v>7</v>
      </c>
      <c r="H92" s="32" t="s">
        <v>115</v>
      </c>
      <c r="I92" s="33" t="s">
        <v>7</v>
      </c>
      <c r="J92" s="22">
        <f>=SUM(K92:Q92)</f>
        <v>550264.439735098</v>
      </c>
      <c r="K92" s="35">
        <v>440211.551788079</v>
      </c>
      <c r="L92" s="35">
        <v>0</v>
      </c>
      <c r="M92" s="35">
        <v>50000</v>
      </c>
      <c r="N92" s="35">
        <v>30000</v>
      </c>
      <c r="O92" s="35">
        <v>20000</v>
      </c>
      <c r="P92" s="35">
        <v>0</v>
      </c>
      <c r="Q92" s="35">
        <v>10052.8879470196</v>
      </c>
      <c r="R92" s="36" t="s"/>
      <c r="S92" s="37" t="s"/>
      <c r="T92" s="37" t="s"/>
      <c r="U92" s="37" t="s"/>
      <c r="V92" s="37" t="s"/>
      <c r="W92" s="37" t="s"/>
      <c r="X92" s="37" t="s"/>
      <c r="Y92" s="37" t="s"/>
      <c r="Z92" s="35">
        <v>0</v>
      </c>
      <c r="AA92" s="35">
        <v>0</v>
      </c>
      <c r="AB92" s="37" t="s"/>
      <c r="AC92" s="37" t="s"/>
      <c r="AD92" s="35">
        <v>0</v>
      </c>
      <c r="AE92" s="35">
        <v>0</v>
      </c>
      <c r="AF92" s="35">
        <v>0</v>
      </c>
      <c r="AG92" s="35">
        <v>0</v>
      </c>
      <c r="AH92" s="35">
        <v>0</v>
      </c>
      <c r="AI92" s="35">
        <v>0</v>
      </c>
      <c r="AJ92" s="35">
        <v>0</v>
      </c>
      <c r="AK92" s="38" t="s"/>
      <c r="AL92" s="38" t="s"/>
      <c r="AM92" s="38" t="s"/>
    </row>
    <row r="93" spans="1:39" s="156" customFormat="1" ht="12.95" customHeight="1">
      <c r="A93" s="29">
        <v>999910000007</v>
      </c>
      <c r="B93" s="30" t="s">
        <v>250</v>
      </c>
      <c r="C93" s="30" t="s">
        <v>52</v>
      </c>
      <c r="D93" s="30" t="s">
        <v>251</v>
      </c>
      <c r="E93" s="30" t="s">
        <v>252</v>
      </c>
      <c r="F93" s="30" t="s">
        <v>114</v>
      </c>
      <c r="G93" s="31" t="s">
        <v>7</v>
      </c>
      <c r="H93" s="32" t="s">
        <v>115</v>
      </c>
      <c r="I93" s="33" t="s">
        <v>7</v>
      </c>
      <c r="J93" s="22">
        <f>=SUM(K93:Q93)</f>
        <v>426432.370582125</v>
      </c>
      <c r="K93" s="35">
        <v>341145.8964657</v>
      </c>
      <c r="L93" s="35">
        <v>0</v>
      </c>
      <c r="M93" s="35">
        <v>30000</v>
      </c>
      <c r="N93" s="35">
        <v>10000</v>
      </c>
      <c r="O93" s="35">
        <v>10000</v>
      </c>
      <c r="P93" s="35">
        <v>0</v>
      </c>
      <c r="Q93" s="35">
        <v>35286.474116425</v>
      </c>
      <c r="R93" s="36" t="s"/>
      <c r="S93" s="37" t="s"/>
      <c r="T93" s="37" t="s"/>
      <c r="U93" s="37" t="s"/>
      <c r="V93" s="37" t="s"/>
      <c r="W93" s="37" t="s"/>
      <c r="X93" s="37" t="s"/>
      <c r="Y93" s="37" t="s"/>
      <c r="Z93" s="35">
        <v>0</v>
      </c>
      <c r="AA93" s="35">
        <v>0</v>
      </c>
      <c r="AB93" s="37" t="s"/>
      <c r="AC93" s="37" t="s"/>
      <c r="AD93" s="35">
        <v>0</v>
      </c>
      <c r="AE93" s="35">
        <v>0</v>
      </c>
      <c r="AF93" s="35">
        <v>0</v>
      </c>
      <c r="AG93" s="35">
        <v>0</v>
      </c>
      <c r="AH93" s="35">
        <v>0</v>
      </c>
      <c r="AI93" s="35">
        <v>0</v>
      </c>
      <c r="AJ93" s="35">
        <v>0</v>
      </c>
      <c r="AK93" s="38" t="s"/>
      <c r="AL93" s="38" t="s"/>
      <c r="AM93" s="38" t="s"/>
    </row>
    <row r="94" spans="1:39" s="156" customFormat="1" ht="12.95" customHeight="1">
      <c r="A94" s="29">
        <v>999910000008</v>
      </c>
      <c r="B94" s="30" t="s">
        <v>253</v>
      </c>
      <c r="C94" s="30" t="s">
        <v>254</v>
      </c>
      <c r="D94" s="30" t="s">
        <v>255</v>
      </c>
      <c r="E94" s="30" t="s">
        <v>126</v>
      </c>
      <c r="F94" s="30" t="s">
        <v>114</v>
      </c>
      <c r="G94" s="31" t="s">
        <v>7</v>
      </c>
      <c r="H94" s="32" t="s">
        <v>115</v>
      </c>
      <c r="I94" s="33">
        <v>46204</v>
      </c>
      <c r="J94" s="22">
        <f>=SUM(K94:Q94)</f>
        <v>130000</v>
      </c>
      <c r="K94" s="35">
        <v>55000</v>
      </c>
      <c r="L94" s="35">
        <v>0</v>
      </c>
      <c r="M94" s="35">
        <v>0</v>
      </c>
      <c r="N94" s="35">
        <v>30000</v>
      </c>
      <c r="O94" s="35">
        <v>10000</v>
      </c>
      <c r="P94" s="35">
        <v>0</v>
      </c>
      <c r="Q94" s="35">
        <v>35000</v>
      </c>
      <c r="R94" s="36" t="s"/>
      <c r="S94" s="37" t="s"/>
      <c r="T94" s="37" t="s"/>
      <c r="U94" s="37" t="s"/>
      <c r="V94" s="37" t="s"/>
      <c r="W94" s="37" t="s"/>
      <c r="X94" s="37" t="s"/>
      <c r="Y94" s="37" t="s"/>
      <c r="Z94" s="35">
        <v>0</v>
      </c>
      <c r="AA94" s="35">
        <v>400000</v>
      </c>
      <c r="AB94" s="37" t="s"/>
      <c r="AC94" s="37" t="s"/>
      <c r="AD94" s="35">
        <v>93034.78</v>
      </c>
      <c r="AE94" s="35">
        <v>0</v>
      </c>
      <c r="AF94" s="35">
        <v>9427.68</v>
      </c>
      <c r="AG94" s="35">
        <v>15317.2</v>
      </c>
      <c r="AH94" s="35">
        <v>186.8</v>
      </c>
      <c r="AI94" s="35">
        <v>88440</v>
      </c>
      <c r="AJ94" s="35">
        <v>27937.5</v>
      </c>
      <c r="AK94" s="38" t="s"/>
      <c r="AL94" s="38" t="s"/>
      <c r="AM94" s="38" t="s"/>
    </row>
    <row r="95" spans="1:39" s="156" customFormat="1" ht="12.95" customHeight="1">
      <c r="A95" s="29">
        <v>999910000009</v>
      </c>
      <c r="B95" s="30" t="s">
        <v>256</v>
      </c>
      <c r="C95" s="30" t="s">
        <v>37</v>
      </c>
      <c r="D95" s="30" t="s">
        <v>257</v>
      </c>
      <c r="E95" s="30" t="s">
        <v>126</v>
      </c>
      <c r="F95" s="30" t="s">
        <v>258</v>
      </c>
      <c r="G95" s="31" t="s">
        <v>7</v>
      </c>
      <c r="H95" s="32" t="s">
        <v>70</v>
      </c>
      <c r="I95" s="33">
        <v>46082</v>
      </c>
      <c r="J95" s="22">
        <f>=SUM(K95:Q95)</f>
        <v>104547.20128</v>
      </c>
      <c r="K95" s="35">
        <v>29547.20128</v>
      </c>
      <c r="L95" s="35">
        <v>0</v>
      </c>
      <c r="M95" s="35">
        <v>50000</v>
      </c>
      <c r="N95" s="35">
        <v>10000</v>
      </c>
      <c r="O95" s="35">
        <v>5000</v>
      </c>
      <c r="P95" s="35">
        <v>0</v>
      </c>
      <c r="Q95" s="35">
        <v>10000</v>
      </c>
      <c r="R95" s="36" t="s"/>
      <c r="S95" s="37" t="s"/>
      <c r="T95" s="37" t="s"/>
      <c r="U95" s="37" t="s"/>
      <c r="V95" s="37" t="s"/>
      <c r="W95" s="37" t="s"/>
      <c r="X95" s="37" t="s"/>
      <c r="Y95" s="37" t="s"/>
      <c r="Z95" s="35">
        <v>0</v>
      </c>
      <c r="AA95" s="35">
        <v>0</v>
      </c>
      <c r="AB95" s="37" t="s"/>
      <c r="AC95" s="37" t="s"/>
      <c r="AD95" s="35">
        <v>0</v>
      </c>
      <c r="AE95" s="35">
        <v>0</v>
      </c>
      <c r="AF95" s="35">
        <v>0</v>
      </c>
      <c r="AG95" s="35">
        <v>0</v>
      </c>
      <c r="AH95" s="35">
        <v>0</v>
      </c>
      <c r="AI95" s="35">
        <v>0</v>
      </c>
      <c r="AJ95" s="35">
        <v>0</v>
      </c>
      <c r="AK95" s="38" t="s"/>
      <c r="AL95" s="38" t="s"/>
      <c r="AM95" s="38" t="s"/>
    </row>
    <row r="96" spans="1:39" s="156" customFormat="1" ht="12.95" customHeight="1">
      <c r="A96" s="29">
        <v>999910000010</v>
      </c>
      <c r="B96" s="30" t="s">
        <v>259</v>
      </c>
      <c r="C96" s="30" t="s">
        <v>52</v>
      </c>
      <c r="D96" s="30" t="s">
        <v>260</v>
      </c>
      <c r="E96" s="30" t="s">
        <v>126</v>
      </c>
      <c r="F96" s="30" t="s">
        <v>114</v>
      </c>
      <c r="G96" s="31" t="s">
        <v>7</v>
      </c>
      <c r="H96" s="32" t="s">
        <v>115</v>
      </c>
      <c r="I96" s="33" t="s">
        <v>7</v>
      </c>
      <c r="J96" s="22">
        <f>=SUM(K96:Q96)</f>
        <v>1021982</v>
      </c>
      <c r="K96" s="35">
        <v>50000</v>
      </c>
      <c r="L96" s="35">
        <v>294590</v>
      </c>
      <c r="M96" s="35">
        <v>370459</v>
      </c>
      <c r="N96" s="35">
        <v>150000</v>
      </c>
      <c r="O96" s="35">
        <v>50000</v>
      </c>
      <c r="P96" s="35">
        <v>106933</v>
      </c>
      <c r="Q96" s="35">
        <v>0</v>
      </c>
      <c r="R96" s="36" t="s"/>
      <c r="S96" s="37" t="s"/>
      <c r="T96" s="37" t="s"/>
      <c r="U96" s="37" t="s"/>
      <c r="V96" s="37" t="s"/>
      <c r="W96" s="37" t="s"/>
      <c r="X96" s="37" t="s"/>
      <c r="Y96" s="37" t="s"/>
      <c r="Z96" s="35">
        <v>0</v>
      </c>
      <c r="AA96" s="35">
        <v>0</v>
      </c>
      <c r="AB96" s="37" t="s"/>
      <c r="AC96" s="37" t="s"/>
      <c r="AD96" s="35">
        <v>0</v>
      </c>
      <c r="AE96" s="35">
        <v>0</v>
      </c>
      <c r="AF96" s="35">
        <v>0</v>
      </c>
      <c r="AG96" s="35">
        <v>0</v>
      </c>
      <c r="AH96" s="35">
        <v>0</v>
      </c>
      <c r="AI96" s="35">
        <v>0</v>
      </c>
      <c r="AJ96" s="35">
        <v>0</v>
      </c>
      <c r="AK96" s="42" t="s">
        <v>244</v>
      </c>
      <c r="AL96" s="42" t="s">
        <v>176</v>
      </c>
      <c r="AM96" s="42" t="s"/>
    </row>
    <row r="97" spans="1:39" s="156" customFormat="1" ht="12.95" customHeight="1">
      <c r="A97" s="29">
        <v>999910000011</v>
      </c>
      <c r="B97" s="30" t="s">
        <v>261</v>
      </c>
      <c r="C97" s="30" t="s">
        <v>52</v>
      </c>
      <c r="D97" s="30" t="s">
        <v>260</v>
      </c>
      <c r="E97" s="30" t="s">
        <v>262</v>
      </c>
      <c r="F97" s="30" t="s">
        <v>114</v>
      </c>
      <c r="G97" s="31" t="s">
        <v>7</v>
      </c>
      <c r="H97" s="32" t="s">
        <v>115</v>
      </c>
      <c r="I97" s="33" t="s">
        <v>7</v>
      </c>
      <c r="J97" s="22">
        <f>=SUM(K97:Q97)</f>
        <v>924854</v>
      </c>
      <c r="K97" s="35">
        <v>15000</v>
      </c>
      <c r="L97" s="35">
        <v>260750</v>
      </c>
      <c r="M97" s="35">
        <v>596604</v>
      </c>
      <c r="N97" s="35">
        <v>50000</v>
      </c>
      <c r="O97" s="35">
        <v>2500</v>
      </c>
      <c r="P97" s="35">
        <v>0</v>
      </c>
      <c r="Q97" s="35">
        <v>0</v>
      </c>
      <c r="R97" s="36" t="s"/>
      <c r="S97" s="37" t="s"/>
      <c r="T97" s="37" t="s"/>
      <c r="U97" s="37" t="s"/>
      <c r="V97" s="37" t="s"/>
      <c r="W97" s="37" t="s"/>
      <c r="X97" s="37" t="s"/>
      <c r="Y97" s="37" t="s"/>
      <c r="Z97" s="35">
        <v>0</v>
      </c>
      <c r="AA97" s="35">
        <v>0</v>
      </c>
      <c r="AB97" s="37" t="s"/>
      <c r="AC97" s="37" t="s"/>
      <c r="AD97" s="35">
        <v>0</v>
      </c>
      <c r="AE97" s="35">
        <v>0</v>
      </c>
      <c r="AF97" s="35">
        <v>0</v>
      </c>
      <c r="AG97" s="35">
        <v>0</v>
      </c>
      <c r="AH97" s="35">
        <v>0</v>
      </c>
      <c r="AI97" s="35">
        <v>0</v>
      </c>
      <c r="AJ97" s="35">
        <v>0</v>
      </c>
      <c r="AK97" s="42" t="s">
        <v>244</v>
      </c>
      <c r="AL97" s="42" t="s">
        <v>176</v>
      </c>
      <c r="AM97" s="42" t="s"/>
    </row>
    <row r="98" spans="1:39" s="156" customFormat="1" ht="12.95" customHeight="1">
      <c r="A98" s="29">
        <v>999910000012</v>
      </c>
      <c r="B98" s="30" t="s">
        <v>263</v>
      </c>
      <c r="C98" s="30" t="s">
        <v>52</v>
      </c>
      <c r="D98" s="30" t="s">
        <v>260</v>
      </c>
      <c r="E98" s="30" t="s">
        <v>159</v>
      </c>
      <c r="F98" s="30" t="s">
        <v>114</v>
      </c>
      <c r="G98" s="31" t="s">
        <v>7</v>
      </c>
      <c r="H98" s="32" t="s">
        <v>115</v>
      </c>
      <c r="I98" s="33" t="s">
        <v>7</v>
      </c>
      <c r="J98" s="22">
        <f>=SUM(K98:Q98)</f>
        <v>545721</v>
      </c>
      <c r="K98" s="35">
        <v>15000</v>
      </c>
      <c r="L98" s="35">
        <v>206293</v>
      </c>
      <c r="M98" s="35">
        <v>271928</v>
      </c>
      <c r="N98" s="35">
        <v>50000</v>
      </c>
      <c r="O98" s="35">
        <v>2500</v>
      </c>
      <c r="P98" s="35">
        <v>0</v>
      </c>
      <c r="Q98" s="35">
        <v>0</v>
      </c>
      <c r="R98" s="36" t="s"/>
      <c r="S98" s="37" t="s"/>
      <c r="T98" s="37" t="s"/>
      <c r="U98" s="37" t="s"/>
      <c r="V98" s="37" t="s"/>
      <c r="W98" s="37" t="s"/>
      <c r="X98" s="37" t="s"/>
      <c r="Y98" s="37" t="s"/>
      <c r="Z98" s="35">
        <v>0</v>
      </c>
      <c r="AA98" s="35">
        <v>0</v>
      </c>
      <c r="AB98" s="37" t="s"/>
      <c r="AC98" s="37" t="s"/>
      <c r="AD98" s="35">
        <v>0</v>
      </c>
      <c r="AE98" s="35">
        <v>0</v>
      </c>
      <c r="AF98" s="35">
        <v>0</v>
      </c>
      <c r="AG98" s="35">
        <v>0</v>
      </c>
      <c r="AH98" s="35">
        <v>0</v>
      </c>
      <c r="AI98" s="35">
        <v>0</v>
      </c>
      <c r="AJ98" s="35">
        <v>0</v>
      </c>
      <c r="AK98" s="42" t="s">
        <v>244</v>
      </c>
      <c r="AL98" s="42" t="s">
        <v>176</v>
      </c>
      <c r="AM98" s="42" t="s"/>
    </row>
    <row r="99" spans="1:39" s="156" customFormat="1" ht="12.95" customHeight="1">
      <c r="A99" s="29">
        <v>999910000013</v>
      </c>
      <c r="B99" s="30" t="s">
        <v>264</v>
      </c>
      <c r="C99" s="30" t="s">
        <v>52</v>
      </c>
      <c r="D99" s="30" t="s">
        <v>260</v>
      </c>
      <c r="E99" s="30" t="s">
        <v>249</v>
      </c>
      <c r="F99" s="30" t="s">
        <v>114</v>
      </c>
      <c r="G99" s="31" t="s">
        <v>7</v>
      </c>
      <c r="H99" s="32" t="s">
        <v>115</v>
      </c>
      <c r="I99" s="33" t="s">
        <v>7</v>
      </c>
      <c r="J99" s="22">
        <f>=SUM(K99:Q99)</f>
        <v>644471</v>
      </c>
      <c r="K99" s="35">
        <v>51000</v>
      </c>
      <c r="L99" s="35">
        <v>83437</v>
      </c>
      <c r="M99" s="35">
        <v>310034</v>
      </c>
      <c r="N99" s="35">
        <v>150000</v>
      </c>
      <c r="O99" s="35">
        <v>50000</v>
      </c>
      <c r="P99" s="35">
        <v>0</v>
      </c>
      <c r="Q99" s="35">
        <v>0</v>
      </c>
      <c r="R99" s="36" t="s"/>
      <c r="S99" s="37" t="s"/>
      <c r="T99" s="37" t="s"/>
      <c r="U99" s="37" t="s"/>
      <c r="V99" s="37" t="s"/>
      <c r="W99" s="37" t="s"/>
      <c r="X99" s="37" t="s"/>
      <c r="Y99" s="37" t="s"/>
      <c r="Z99" s="35">
        <v>0</v>
      </c>
      <c r="AA99" s="35">
        <v>0</v>
      </c>
      <c r="AB99" s="37" t="s"/>
      <c r="AC99" s="37" t="s"/>
      <c r="AD99" s="35">
        <v>0</v>
      </c>
      <c r="AE99" s="35">
        <v>0</v>
      </c>
      <c r="AF99" s="35">
        <v>0</v>
      </c>
      <c r="AG99" s="35">
        <v>0</v>
      </c>
      <c r="AH99" s="35">
        <v>0</v>
      </c>
      <c r="AI99" s="35">
        <v>0</v>
      </c>
      <c r="AJ99" s="35">
        <v>0</v>
      </c>
      <c r="AK99" s="42" t="s">
        <v>244</v>
      </c>
      <c r="AL99" s="42" t="s">
        <v>176</v>
      </c>
      <c r="AM99" s="42" t="s"/>
    </row>
    <row r="100" spans="1:39" s="156" customFormat="1" ht="12.95" customHeight="1">
      <c r="A100" s="29">
        <v>999910000014</v>
      </c>
      <c r="B100" s="30" t="s">
        <v>265</v>
      </c>
      <c r="C100" s="30" t="s">
        <v>40</v>
      </c>
      <c r="D100" s="30" t="s">
        <v>266</v>
      </c>
      <c r="E100" s="30" t="s">
        <v>126</v>
      </c>
      <c r="F100" s="30" t="s">
        <v>127</v>
      </c>
      <c r="G100" s="31" t="s">
        <v>7</v>
      </c>
      <c r="H100" s="32" t="s">
        <v>70</v>
      </c>
      <c r="I100" s="33">
        <v>45658</v>
      </c>
      <c r="J100" s="22">
        <f>=SUM(K100:Q100)</f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6" t="s"/>
      <c r="S100" s="37" t="s"/>
      <c r="T100" s="37" t="s"/>
      <c r="U100" s="37" t="s"/>
      <c r="V100" s="37" t="s"/>
      <c r="W100" s="37" t="s"/>
      <c r="X100" s="37" t="s"/>
      <c r="Y100" s="37" t="s"/>
      <c r="Z100" s="35">
        <v>0</v>
      </c>
      <c r="AA100" s="35">
        <v>0</v>
      </c>
      <c r="AB100" s="37" t="s"/>
      <c r="AC100" s="37" t="s"/>
      <c r="AD100" s="35">
        <v>1290.01</v>
      </c>
      <c r="AE100" s="35">
        <v>0</v>
      </c>
      <c r="AF100" s="35">
        <v>2500</v>
      </c>
      <c r="AG100" s="35">
        <v>8691.55</v>
      </c>
      <c r="AH100" s="35">
        <v>0</v>
      </c>
      <c r="AI100" s="35">
        <v>18090</v>
      </c>
      <c r="AJ100" s="35">
        <v>36927.17</v>
      </c>
      <c r="AK100" s="42" t="s">
        <v>267</v>
      </c>
      <c r="AL100" s="42" t="s">
        <v>176</v>
      </c>
      <c r="AM100" s="42" t="s"/>
    </row>
    <row r="101" spans="1:39" s="155" customFormat="1" ht="12.95" customHeight="1">
      <c r="A101" s="17">
        <v>999910000015</v>
      </c>
      <c r="B101" s="18" t="s">
        <v>268</v>
      </c>
      <c r="C101" s="18" t="s">
        <v>67</v>
      </c>
      <c r="D101" s="18" t="s">
        <v>269</v>
      </c>
      <c r="E101" s="18" t="s">
        <v>29</v>
      </c>
      <c r="F101" s="18" t="s">
        <v>69</v>
      </c>
      <c r="G101" s="19" t="s">
        <v>7</v>
      </c>
      <c r="H101" s="20" t="s">
        <v>70</v>
      </c>
      <c r="I101" s="44">
        <v>46357</v>
      </c>
      <c r="J101" s="22">
        <f>=SUM(K101:Q101)</f>
        <v>2050331</v>
      </c>
      <c r="K101" s="43">
        <v>200000</v>
      </c>
      <c r="L101" s="43">
        <v>883009</v>
      </c>
      <c r="M101" s="43">
        <v>817322</v>
      </c>
      <c r="N101" s="43">
        <v>100000</v>
      </c>
      <c r="O101" s="43">
        <v>50000</v>
      </c>
      <c r="P101" s="23">
        <v>0</v>
      </c>
      <c r="Q101" s="23">
        <v>0</v>
      </c>
      <c r="R101" s="24" t="s"/>
      <c r="S101" s="25" t="s"/>
      <c r="T101" s="25" t="s"/>
      <c r="U101" s="25" t="s"/>
      <c r="V101" s="25" t="s"/>
      <c r="W101" s="25" t="s"/>
      <c r="X101" s="25" t="s"/>
      <c r="Y101" s="25" t="s"/>
      <c r="Z101" s="23">
        <v>0</v>
      </c>
      <c r="AA101" s="23">
        <v>0</v>
      </c>
      <c r="AB101" s="25" t="s"/>
      <c r="AC101" s="26" t="s"/>
      <c r="AD101" s="23">
        <v>0</v>
      </c>
      <c r="AE101" s="23">
        <v>0</v>
      </c>
      <c r="AF101" s="23">
        <v>0</v>
      </c>
      <c r="AG101" s="23">
        <v>0</v>
      </c>
      <c r="AH101" s="23">
        <v>0</v>
      </c>
      <c r="AI101" s="23">
        <v>0</v>
      </c>
      <c r="AJ101" s="23">
        <v>0</v>
      </c>
      <c r="AK101" s="27" t="s"/>
      <c r="AL101" s="27" t="s"/>
      <c r="AM101" s="27" t="s"/>
    </row>
    <row r="102" spans="1:39" s="155" customFormat="1" ht="12.95" customHeight="1">
      <c r="A102" s="17">
        <v>999910000016</v>
      </c>
      <c r="B102" s="18" t="s">
        <v>270</v>
      </c>
      <c r="C102" s="18" t="s">
        <v>52</v>
      </c>
      <c r="D102" s="18" t="s">
        <v>248</v>
      </c>
      <c r="E102" s="18" t="s">
        <v>271</v>
      </c>
      <c r="F102" s="18" t="s">
        <v>114</v>
      </c>
      <c r="G102" s="19" t="s">
        <v>7</v>
      </c>
      <c r="H102" s="20" t="s">
        <v>115</v>
      </c>
      <c r="I102" s="21" t="s">
        <v>7</v>
      </c>
      <c r="J102" s="22">
        <f>=SUM(K102:Q102)</f>
        <v>244680</v>
      </c>
      <c r="K102" s="51">
        <v>30000</v>
      </c>
      <c r="L102" s="51">
        <v>0</v>
      </c>
      <c r="M102" s="51">
        <v>184680</v>
      </c>
      <c r="N102" s="51">
        <v>30000</v>
      </c>
      <c r="O102" s="51">
        <v>0</v>
      </c>
      <c r="P102" s="51">
        <v>0</v>
      </c>
      <c r="Q102" s="51">
        <v>0</v>
      </c>
      <c r="R102" s="24" t="s"/>
      <c r="S102" s="25" t="s"/>
      <c r="T102" s="25" t="s"/>
      <c r="U102" s="25" t="s"/>
      <c r="V102" s="25" t="s"/>
      <c r="W102" s="25" t="s"/>
      <c r="X102" s="25" t="s"/>
      <c r="Y102" s="25" t="s"/>
      <c r="Z102" s="23">
        <v>0</v>
      </c>
      <c r="AA102" s="23">
        <v>0</v>
      </c>
      <c r="AB102" s="25" t="s"/>
      <c r="AC102" s="26" t="s"/>
      <c r="AD102" s="23">
        <v>0</v>
      </c>
      <c r="AE102" s="23">
        <v>0</v>
      </c>
      <c r="AF102" s="23">
        <v>0</v>
      </c>
      <c r="AG102" s="23">
        <v>0</v>
      </c>
      <c r="AH102" s="23">
        <v>0</v>
      </c>
      <c r="AI102" s="23">
        <v>0</v>
      </c>
      <c r="AJ102" s="23">
        <v>0</v>
      </c>
      <c r="AK102" s="27" t="s"/>
      <c r="AL102" s="27" t="s"/>
      <c r="AM102" s="27" t="s"/>
    </row>
    <row r="103" spans="1:39" s="156" customFormat="1" ht="12.95" customHeight="1">
      <c r="A103" s="29">
        <v>999910000017</v>
      </c>
      <c r="B103" s="30" t="s">
        <v>272</v>
      </c>
      <c r="C103" s="30" t="s">
        <v>52</v>
      </c>
      <c r="D103" s="30" t="s">
        <v>251</v>
      </c>
      <c r="E103" s="30" t="s">
        <v>271</v>
      </c>
      <c r="F103" s="30" t="s">
        <v>114</v>
      </c>
      <c r="G103" s="31" t="s">
        <v>7</v>
      </c>
      <c r="H103" s="32" t="s">
        <v>115</v>
      </c>
      <c r="I103" s="33" t="s">
        <v>7</v>
      </c>
      <c r="J103" s="22">
        <f>=SUM(K103:Q103)</f>
        <v>693797</v>
      </c>
      <c r="K103" s="52">
        <v>50000</v>
      </c>
      <c r="L103" s="52">
        <v>0</v>
      </c>
      <c r="M103" s="52">
        <v>393797</v>
      </c>
      <c r="N103" s="52">
        <v>120000</v>
      </c>
      <c r="O103" s="52">
        <v>50000</v>
      </c>
      <c r="P103" s="52">
        <v>0</v>
      </c>
      <c r="Q103" s="52">
        <v>80000</v>
      </c>
      <c r="R103" s="36" t="s"/>
      <c r="S103" s="37" t="s"/>
      <c r="T103" s="37" t="s"/>
      <c r="U103" s="37" t="s"/>
      <c r="V103" s="37" t="s"/>
      <c r="W103" s="37" t="s"/>
      <c r="X103" s="37" t="s"/>
      <c r="Y103" s="37" t="s"/>
      <c r="Z103" s="35">
        <v>0</v>
      </c>
      <c r="AA103" s="35">
        <v>0</v>
      </c>
      <c r="AB103" s="37" t="s"/>
      <c r="AC103" s="37" t="s"/>
      <c r="AD103" s="35">
        <v>0</v>
      </c>
      <c r="AE103" s="35">
        <v>0</v>
      </c>
      <c r="AF103" s="35">
        <v>0</v>
      </c>
      <c r="AG103" s="35">
        <v>0</v>
      </c>
      <c r="AH103" s="35">
        <v>0</v>
      </c>
      <c r="AI103" s="35">
        <v>0</v>
      </c>
      <c r="AJ103" s="35">
        <v>0</v>
      </c>
      <c r="AK103" s="38" t="s"/>
      <c r="AL103" s="38" t="s"/>
      <c r="AM103" s="38" t="s"/>
    </row>
    <row r="104" spans="1:39" s="155" customFormat="1" ht="12.95" customHeight="1">
      <c r="A104" s="17">
        <v>999910000019</v>
      </c>
      <c r="B104" s="18" t="s">
        <v>273</v>
      </c>
      <c r="C104" s="18" t="s">
        <v>274</v>
      </c>
      <c r="D104" s="18" t="s">
        <v>275</v>
      </c>
      <c r="E104" s="18" t="s">
        <v>276</v>
      </c>
      <c r="F104" s="18" t="s">
        <v>5</v>
      </c>
      <c r="G104" s="19" t="s">
        <v>277</v>
      </c>
      <c r="H104" s="20" t="s">
        <v>27</v>
      </c>
      <c r="I104" s="21">
        <v>46326</v>
      </c>
      <c r="J104" s="22">
        <f>=SUM(K104:Q104)</f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4" t="s"/>
      <c r="S104" s="25" t="s"/>
      <c r="T104" s="25" t="s"/>
      <c r="U104" s="25" t="s"/>
      <c r="V104" s="25" t="s"/>
      <c r="W104" s="25" t="s"/>
      <c r="X104" s="25" t="s"/>
      <c r="Y104" s="25" t="s"/>
      <c r="Z104" s="23">
        <v>0</v>
      </c>
      <c r="AA104" s="23">
        <v>0</v>
      </c>
      <c r="AB104" s="25" t="s"/>
      <c r="AC104" s="26" t="s"/>
      <c r="AD104" s="23">
        <v>0</v>
      </c>
      <c r="AE104" s="23">
        <v>0</v>
      </c>
      <c r="AF104" s="23">
        <v>0</v>
      </c>
      <c r="AG104" s="23">
        <v>0</v>
      </c>
      <c r="AH104" s="23">
        <v>0</v>
      </c>
      <c r="AI104" s="23">
        <v>0</v>
      </c>
      <c r="AJ104" s="23">
        <v>0</v>
      </c>
      <c r="AK104" s="27" t="s"/>
      <c r="AL104" s="27" t="s"/>
      <c r="AM104" s="27" t="s"/>
    </row>
    <row r="105" spans="1:39" s="155" customFormat="1" ht="12.95" customHeight="1">
      <c r="A105" s="17">
        <v>999910000020</v>
      </c>
      <c r="B105" s="18" t="s">
        <v>278</v>
      </c>
      <c r="C105" s="18" t="s">
        <v>168</v>
      </c>
      <c r="D105" s="18" t="s">
        <v>279</v>
      </c>
      <c r="E105" s="18" t="s">
        <v>126</v>
      </c>
      <c r="F105" s="18" t="s">
        <v>174</v>
      </c>
      <c r="G105" s="19" t="s">
        <v>277</v>
      </c>
      <c r="H105" s="20" t="s">
        <v>115</v>
      </c>
      <c r="I105" s="21">
        <v>46326</v>
      </c>
      <c r="J105" s="22">
        <f>=SUM(K105:Q105)</f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4" t="s"/>
      <c r="S105" s="25" t="s"/>
      <c r="T105" s="25" t="s"/>
      <c r="U105" s="25" t="s"/>
      <c r="V105" s="25" t="s"/>
      <c r="W105" s="25" t="s"/>
      <c r="X105" s="25" t="s"/>
      <c r="Y105" s="25" t="s"/>
      <c r="Z105" s="51">
        <v>178100</v>
      </c>
      <c r="AA105" s="23">
        <v>0</v>
      </c>
      <c r="AB105" s="25" t="s"/>
      <c r="AC105" s="26" t="s"/>
      <c r="AD105" s="23">
        <v>0</v>
      </c>
      <c r="AE105" s="23">
        <v>0</v>
      </c>
      <c r="AF105" s="23">
        <v>0</v>
      </c>
      <c r="AG105" s="23">
        <v>0</v>
      </c>
      <c r="AH105" s="23">
        <v>0</v>
      </c>
      <c r="AI105" s="23">
        <v>0</v>
      </c>
      <c r="AJ105" s="23">
        <v>0</v>
      </c>
      <c r="AK105" s="27" t="s">
        <v>280</v>
      </c>
      <c r="AL105" s="42" t="s">
        <v>176</v>
      </c>
      <c r="AM105" s="27" t="s"/>
    </row>
    <row r="106" spans="1:39" s="155" customFormat="1" ht="12.95" customHeight="1">
      <c r="A106" s="17">
        <v>999910000021</v>
      </c>
      <c r="B106" s="18" t="s">
        <v>281</v>
      </c>
      <c r="C106" s="18" t="s">
        <v>168</v>
      </c>
      <c r="D106" s="18" t="s">
        <v>173</v>
      </c>
      <c r="E106" s="18" t="s">
        <v>126</v>
      </c>
      <c r="F106" s="18" t="s">
        <v>174</v>
      </c>
      <c r="G106" s="19" t="s">
        <v>277</v>
      </c>
      <c r="H106" s="20" t="s">
        <v>115</v>
      </c>
      <c r="I106" s="21">
        <v>46326</v>
      </c>
      <c r="J106" s="22">
        <f>=SUM(K106:Q106)</f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4" t="s"/>
      <c r="S106" s="25" t="s"/>
      <c r="T106" s="25" t="s"/>
      <c r="U106" s="25" t="s"/>
      <c r="V106" s="25" t="s"/>
      <c r="W106" s="25" t="s"/>
      <c r="X106" s="25" t="s"/>
      <c r="Y106" s="25" t="s"/>
      <c r="Z106" s="51">
        <v>25000</v>
      </c>
      <c r="AA106" s="23">
        <v>0</v>
      </c>
      <c r="AB106" s="25" t="s"/>
      <c r="AC106" s="26" t="s"/>
      <c r="AD106" s="23">
        <v>0</v>
      </c>
      <c r="AE106" s="23">
        <v>0</v>
      </c>
      <c r="AF106" s="23">
        <v>0</v>
      </c>
      <c r="AG106" s="23">
        <v>0</v>
      </c>
      <c r="AH106" s="23">
        <v>0</v>
      </c>
      <c r="AI106" s="23">
        <v>0</v>
      </c>
      <c r="AJ106" s="23">
        <v>0</v>
      </c>
      <c r="AK106" s="27" t="s">
        <v>282</v>
      </c>
      <c r="AL106" s="42" t="s">
        <v>176</v>
      </c>
      <c r="AM106" s="27" t="s"/>
    </row>
    <row r="107" spans="1:39" s="155" customFormat="1" ht="12.95" customHeight="1">
      <c r="A107" s="17">
        <v>999910000022</v>
      </c>
      <c r="B107" s="18" t="s">
        <v>283</v>
      </c>
      <c r="C107" s="18" t="s">
        <v>23</v>
      </c>
      <c r="D107" s="18" t="s">
        <v>284</v>
      </c>
      <c r="E107" s="18" t="s">
        <v>14</v>
      </c>
      <c r="F107" s="18" t="s">
        <v>42</v>
      </c>
      <c r="G107" s="19" t="s">
        <v>7</v>
      </c>
      <c r="H107" s="20" t="s">
        <v>27</v>
      </c>
      <c r="I107" s="21">
        <v>46103</v>
      </c>
      <c r="J107" s="22">
        <f>=SUM(K107:Q107)</f>
        <v>6045112.65345714</v>
      </c>
      <c r="K107" s="23">
        <v>1039472.65345714</v>
      </c>
      <c r="L107" s="23">
        <v>2758320</v>
      </c>
      <c r="M107" s="23">
        <v>682320</v>
      </c>
      <c r="N107" s="23">
        <v>450000</v>
      </c>
      <c r="O107" s="23">
        <v>85000</v>
      </c>
      <c r="P107" s="23">
        <v>1000000</v>
      </c>
      <c r="Q107" s="23">
        <v>30000</v>
      </c>
      <c r="R107" s="24" t="s"/>
      <c r="S107" s="25" t="s"/>
      <c r="T107" s="25" t="s"/>
      <c r="U107" s="25" t="s"/>
      <c r="V107" s="25" t="s"/>
      <c r="W107" s="25" t="s"/>
      <c r="X107" s="25" t="s"/>
      <c r="Y107" s="25" t="s"/>
      <c r="Z107" s="23">
        <v>522700</v>
      </c>
      <c r="AA107" s="23">
        <v>0</v>
      </c>
      <c r="AB107" s="25" t="s"/>
      <c r="AC107" s="26" t="s"/>
      <c r="AD107" s="23">
        <v>470622.44</v>
      </c>
      <c r="AE107" s="23">
        <v>2080934.31</v>
      </c>
      <c r="AF107" s="23">
        <v>268064.37</v>
      </c>
      <c r="AG107" s="23">
        <v>274858.52</v>
      </c>
      <c r="AH107" s="23">
        <v>14175</v>
      </c>
      <c r="AI107" s="23">
        <v>635000</v>
      </c>
      <c r="AJ107" s="23">
        <v>15855.51</v>
      </c>
      <c r="AK107" s="27" t="s"/>
      <c r="AL107" s="27" t="s"/>
      <c r="AM107" s="27" t="s"/>
    </row>
    <row r="108" spans="1:39" s="155" customFormat="1" ht="12.95" customHeight="1">
      <c r="A108" s="17">
        <v>999910000023</v>
      </c>
      <c r="B108" s="18" t="s">
        <v>285</v>
      </c>
      <c r="C108" s="18" t="s">
        <v>147</v>
      </c>
      <c r="D108" s="18" t="s">
        <v>286</v>
      </c>
      <c r="E108" s="18" t="s">
        <v>10</v>
      </c>
      <c r="F108" s="18" t="s">
        <v>11</v>
      </c>
      <c r="G108" s="19" t="s">
        <v>7</v>
      </c>
      <c r="H108" s="20" t="s">
        <v>21</v>
      </c>
      <c r="I108" s="21">
        <v>45870</v>
      </c>
      <c r="J108" s="22">
        <f>=SUM(K108:Q108)</f>
        <v>233026.92</v>
      </c>
      <c r="K108" s="53">
        <v>14159</v>
      </c>
      <c r="L108" s="23">
        <v>0</v>
      </c>
      <c r="M108" s="43">
        <v>216981.13</v>
      </c>
      <c r="N108" s="23">
        <v>0</v>
      </c>
      <c r="O108" s="23">
        <v>0</v>
      </c>
      <c r="P108" s="23">
        <v>0</v>
      </c>
      <c r="Q108" s="43">
        <v>1886.79</v>
      </c>
      <c r="R108" s="24" t="s"/>
      <c r="S108" s="25" t="s"/>
      <c r="T108" s="25" t="s"/>
      <c r="U108" s="25" t="s"/>
      <c r="V108" s="25" t="s"/>
      <c r="W108" s="25" t="s"/>
      <c r="X108" s="25" t="s"/>
      <c r="Y108" s="25" t="s"/>
      <c r="Z108" s="23">
        <v>0</v>
      </c>
      <c r="AA108" s="23">
        <v>0</v>
      </c>
      <c r="AB108" s="25" t="s"/>
      <c r="AC108" s="26" t="s"/>
      <c r="AD108" s="23">
        <v>0</v>
      </c>
      <c r="AE108" s="23">
        <v>0</v>
      </c>
      <c r="AF108" s="23">
        <v>0</v>
      </c>
      <c r="AG108" s="23">
        <v>0</v>
      </c>
      <c r="AH108" s="23">
        <v>0</v>
      </c>
      <c r="AI108" s="23">
        <v>0</v>
      </c>
      <c r="AJ108" s="23">
        <v>0</v>
      </c>
      <c r="AK108" s="27" t="s"/>
      <c r="AL108" s="27" t="s"/>
      <c r="AM108" s="27" t="s"/>
    </row>
    <row r="109" spans="1:39" s="155" customFormat="1" ht="12.95" customHeight="1">
      <c r="A109" s="17">
        <v>999910000024</v>
      </c>
      <c r="B109" s="18" t="s">
        <v>287</v>
      </c>
      <c r="C109" s="18" t="s">
        <v>147</v>
      </c>
      <c r="D109" s="18" t="s">
        <v>227</v>
      </c>
      <c r="E109" s="18" t="s">
        <v>10</v>
      </c>
      <c r="F109" s="18" t="s">
        <v>11</v>
      </c>
      <c r="G109" s="19" t="s">
        <v>7</v>
      </c>
      <c r="H109" s="20" t="s">
        <v>21</v>
      </c>
      <c r="I109" s="21">
        <v>45960</v>
      </c>
      <c r="J109" s="22">
        <f>=SUM(K109:Q109)</f>
        <v>1051707.09433962</v>
      </c>
      <c r="K109" s="23">
        <v>159292</v>
      </c>
      <c r="L109" s="23">
        <v>0</v>
      </c>
      <c r="M109" s="23">
        <v>566037.735849057</v>
      </c>
      <c r="N109" s="23">
        <v>196000</v>
      </c>
      <c r="O109" s="23">
        <v>20000</v>
      </c>
      <c r="P109" s="23">
        <v>94339.6226415094</v>
      </c>
      <c r="Q109" s="23">
        <v>16037.7358490566</v>
      </c>
      <c r="R109" s="24" t="s"/>
      <c r="S109" s="25" t="s"/>
      <c r="T109" s="25" t="s"/>
      <c r="U109" s="25" t="s"/>
      <c r="V109" s="25" t="s"/>
      <c r="W109" s="25" t="s"/>
      <c r="X109" s="25" t="s"/>
      <c r="Y109" s="25" t="s"/>
      <c r="Z109" s="23">
        <v>0</v>
      </c>
      <c r="AA109" s="23">
        <v>0</v>
      </c>
      <c r="AB109" s="25" t="s"/>
      <c r="AC109" s="26" t="s"/>
      <c r="AD109" s="23">
        <v>148060.25</v>
      </c>
      <c r="AE109" s="23">
        <v>316100.06</v>
      </c>
      <c r="AF109" s="23">
        <v>201480.2</v>
      </c>
      <c r="AG109" s="23">
        <v>214754.06</v>
      </c>
      <c r="AH109" s="23">
        <v>20943</v>
      </c>
      <c r="AI109" s="23">
        <v>88376</v>
      </c>
      <c r="AJ109" s="23">
        <v>34483.87</v>
      </c>
      <c r="AK109" s="27" t="s"/>
      <c r="AL109" s="27" t="s"/>
      <c r="AM109" s="27" t="s"/>
    </row>
    <row r="110" spans="1:39" s="155" customFormat="1" ht="12.95" customHeight="1">
      <c r="A110" s="17">
        <v>999910000025</v>
      </c>
      <c r="B110" s="18" t="s">
        <v>288</v>
      </c>
      <c r="C110" s="18" t="s">
        <v>182</v>
      </c>
      <c r="D110" s="18" t="s">
        <v>289</v>
      </c>
      <c r="E110" s="18" t="s">
        <v>4</v>
      </c>
      <c r="F110" s="18" t="s">
        <v>26</v>
      </c>
      <c r="G110" s="19" t="s">
        <v>290</v>
      </c>
      <c r="H110" s="20" t="s">
        <v>4</v>
      </c>
      <c r="I110" s="21" t="s">
        <v>7</v>
      </c>
      <c r="J110" s="22">
        <f>=SUM(K110:Q110)</f>
        <v>1526240</v>
      </c>
      <c r="K110" s="23">
        <v>0</v>
      </c>
      <c r="L110" s="23">
        <v>93500</v>
      </c>
      <c r="M110" s="23">
        <v>0</v>
      </c>
      <c r="N110" s="23">
        <v>4000</v>
      </c>
      <c r="O110" s="23">
        <v>0</v>
      </c>
      <c r="P110" s="23">
        <v>1428740</v>
      </c>
      <c r="Q110" s="23">
        <v>0</v>
      </c>
      <c r="R110" s="24" t="s"/>
      <c r="S110" s="25" t="s"/>
      <c r="T110" s="25" t="s"/>
      <c r="U110" s="25" t="s"/>
      <c r="V110" s="25" t="s"/>
      <c r="W110" s="25" t="s"/>
      <c r="X110" s="25" t="s"/>
      <c r="Y110" s="25" t="s"/>
      <c r="Z110" s="23">
        <v>0</v>
      </c>
      <c r="AA110" s="23">
        <v>0</v>
      </c>
      <c r="AB110" s="25" t="s"/>
      <c r="AC110" s="26" t="s"/>
      <c r="AD110" s="23">
        <v>0</v>
      </c>
      <c r="AE110" s="23">
        <v>0</v>
      </c>
      <c r="AF110" s="23">
        <v>0</v>
      </c>
      <c r="AG110" s="23">
        <v>0</v>
      </c>
      <c r="AH110" s="23">
        <v>0</v>
      </c>
      <c r="AI110" s="23">
        <v>0</v>
      </c>
      <c r="AJ110" s="23">
        <v>0</v>
      </c>
      <c r="AK110" s="27" t="s"/>
      <c r="AL110" s="27" t="s"/>
      <c r="AM110" s="27" t="s"/>
    </row>
    <row r="111" spans="1:39" s="155" customFormat="1" ht="12.95" customHeight="1">
      <c r="A111" s="17">
        <v>999910000026</v>
      </c>
      <c r="B111" s="18" t="s">
        <v>291</v>
      </c>
      <c r="C111" s="18" t="s">
        <v>31</v>
      </c>
      <c r="D111" s="18" t="s">
        <v>292</v>
      </c>
      <c r="E111" s="18" t="s">
        <v>33</v>
      </c>
      <c r="F111" s="18" t="s">
        <v>11</v>
      </c>
      <c r="G111" s="19" t="s">
        <v>7</v>
      </c>
      <c r="H111" s="20" t="s">
        <v>21</v>
      </c>
      <c r="I111" s="21">
        <v>46143</v>
      </c>
      <c r="J111" s="22">
        <f>=SUM(K111:Q111)</f>
        <v>505642.528301887</v>
      </c>
      <c r="K111" s="23">
        <v>94440</v>
      </c>
      <c r="L111" s="23">
        <v>0</v>
      </c>
      <c r="M111" s="23">
        <v>117924.528301887</v>
      </c>
      <c r="N111" s="23">
        <v>195000</v>
      </c>
      <c r="O111" s="23">
        <v>50000</v>
      </c>
      <c r="P111" s="23">
        <v>0</v>
      </c>
      <c r="Q111" s="23">
        <v>48278</v>
      </c>
      <c r="R111" s="24" t="s"/>
      <c r="S111" s="25" t="s"/>
      <c r="T111" s="25" t="s"/>
      <c r="U111" s="25" t="s"/>
      <c r="V111" s="25" t="s"/>
      <c r="W111" s="25" t="s"/>
      <c r="X111" s="25" t="s"/>
      <c r="Y111" s="25" t="s"/>
      <c r="Z111" s="23">
        <v>0</v>
      </c>
      <c r="AA111" s="23">
        <v>0</v>
      </c>
      <c r="AB111" s="25" t="s"/>
      <c r="AC111" s="26" t="s"/>
      <c r="AD111" s="23">
        <v>31453.66</v>
      </c>
      <c r="AE111" s="23">
        <v>226259.23</v>
      </c>
      <c r="AF111" s="23">
        <v>97641.49</v>
      </c>
      <c r="AG111" s="23">
        <v>97296.79</v>
      </c>
      <c r="AH111" s="23">
        <v>8876</v>
      </c>
      <c r="AI111" s="23">
        <v>0</v>
      </c>
      <c r="AJ111" s="23">
        <v>29442.64</v>
      </c>
      <c r="AK111" s="27" t="s"/>
      <c r="AL111" s="27" t="s"/>
      <c r="AM111" s="27" t="s"/>
    </row>
    <row r="112" spans="1:39" s="155" customFormat="1" ht="12.95" customHeight="1">
      <c r="A112" s="17">
        <v>999910000027</v>
      </c>
      <c r="B112" s="18" t="s">
        <v>293</v>
      </c>
      <c r="C112" s="18" t="s">
        <v>239</v>
      </c>
      <c r="D112" s="18" t="s">
        <v>294</v>
      </c>
      <c r="E112" s="18" t="s">
        <v>10</v>
      </c>
      <c r="F112" s="18" t="s">
        <v>11</v>
      </c>
      <c r="G112" s="19" t="s">
        <v>7</v>
      </c>
      <c r="H112" s="20" t="s">
        <v>21</v>
      </c>
      <c r="I112" s="21">
        <v>46023</v>
      </c>
      <c r="J112" s="22">
        <f>=SUM(K112:Q112)</f>
        <v>505312.649765013</v>
      </c>
      <c r="K112" s="23">
        <v>89664.3847052931</v>
      </c>
      <c r="L112" s="23">
        <v>0</v>
      </c>
      <c r="M112" s="23">
        <v>188679.25</v>
      </c>
      <c r="N112" s="23">
        <v>70000</v>
      </c>
      <c r="O112" s="23">
        <v>30000</v>
      </c>
      <c r="P112" s="23">
        <v>113207.547169811</v>
      </c>
      <c r="Q112" s="23">
        <v>13761.4678899083</v>
      </c>
      <c r="R112" s="24" t="s"/>
      <c r="S112" s="25" t="s"/>
      <c r="T112" s="25" t="s"/>
      <c r="U112" s="25" t="s"/>
      <c r="V112" s="25" t="s"/>
      <c r="W112" s="25" t="s"/>
      <c r="X112" s="25" t="s"/>
      <c r="Y112" s="25" t="s"/>
      <c r="Z112" s="23">
        <v>0</v>
      </c>
      <c r="AA112" s="23">
        <v>0</v>
      </c>
      <c r="AB112" s="25" t="s"/>
      <c r="AC112" s="26" t="s"/>
      <c r="AD112" s="23">
        <v>157726.36</v>
      </c>
      <c r="AE112" s="23">
        <v>189200.97</v>
      </c>
      <c r="AF112" s="23">
        <v>23973.96</v>
      </c>
      <c r="AG112" s="23">
        <v>98229.85</v>
      </c>
      <c r="AH112" s="23">
        <v>20895.72</v>
      </c>
      <c r="AI112" s="23">
        <v>193787.11</v>
      </c>
      <c r="AJ112" s="23">
        <v>22718.31</v>
      </c>
      <c r="AK112" s="27" t="s"/>
      <c r="AL112" s="27" t="s"/>
      <c r="AM112" s="27" t="s"/>
    </row>
    <row r="113" spans="1:39" s="155" customFormat="1" ht="12.95" customHeight="1">
      <c r="A113" s="17">
        <v>999910000028</v>
      </c>
      <c r="B113" s="18" t="s">
        <v>295</v>
      </c>
      <c r="C113" s="18" t="s">
        <v>81</v>
      </c>
      <c r="D113" s="18" t="s">
        <v>296</v>
      </c>
      <c r="E113" s="18" t="s">
        <v>10</v>
      </c>
      <c r="F113" s="18" t="s">
        <v>11</v>
      </c>
      <c r="G113" s="19" t="s">
        <v>7</v>
      </c>
      <c r="H113" s="20" t="s">
        <v>21</v>
      </c>
      <c r="I113" s="21">
        <v>45839</v>
      </c>
      <c r="J113" s="22">
        <f>=SUM(K113:Q113)</f>
        <v>876212.5</v>
      </c>
      <c r="K113" s="43">
        <v>252463</v>
      </c>
      <c r="L113" s="23">
        <v>0</v>
      </c>
      <c r="M113" s="43">
        <v>188679.25</v>
      </c>
      <c r="N113" s="23">
        <v>150000</v>
      </c>
      <c r="O113" s="23">
        <v>50000</v>
      </c>
      <c r="P113" s="43">
        <v>188679.25</v>
      </c>
      <c r="Q113" s="43">
        <v>46391</v>
      </c>
      <c r="R113" s="24" t="s"/>
      <c r="S113" s="25" t="s"/>
      <c r="T113" s="25" t="s"/>
      <c r="U113" s="25" t="s"/>
      <c r="V113" s="25" t="s"/>
      <c r="W113" s="25" t="s"/>
      <c r="X113" s="25" t="s"/>
      <c r="Y113" s="25" t="s"/>
      <c r="Z113" s="23">
        <v>0</v>
      </c>
      <c r="AA113" s="23">
        <v>0</v>
      </c>
      <c r="AB113" s="25" t="s"/>
      <c r="AC113" s="26" t="s"/>
      <c r="AD113" s="23">
        <v>0</v>
      </c>
      <c r="AE113" s="23">
        <v>0</v>
      </c>
      <c r="AF113" s="23">
        <v>0</v>
      </c>
      <c r="AG113" s="23">
        <v>0</v>
      </c>
      <c r="AH113" s="23">
        <v>0</v>
      </c>
      <c r="AI113" s="23">
        <v>0</v>
      </c>
      <c r="AJ113" s="23">
        <v>0</v>
      </c>
      <c r="AK113" s="27" t="s"/>
      <c r="AL113" s="27" t="s"/>
      <c r="AM113" s="27" t="s"/>
    </row>
    <row r="114" spans="1:39" s="155" customFormat="1" ht="12.95" customHeight="1">
      <c r="A114" s="17">
        <v>999910000029</v>
      </c>
      <c r="B114" s="18" t="s">
        <v>297</v>
      </c>
      <c r="C114" s="18" t="s">
        <v>40</v>
      </c>
      <c r="D114" s="18" t="s">
        <v>298</v>
      </c>
      <c r="E114" s="18" t="s">
        <v>10</v>
      </c>
      <c r="F114" s="18" t="s">
        <v>11</v>
      </c>
      <c r="G114" s="19" t="s">
        <v>7</v>
      </c>
      <c r="H114" s="20" t="s">
        <v>21</v>
      </c>
      <c r="I114" s="21">
        <v>45778</v>
      </c>
      <c r="J114" s="22">
        <f>=SUM(K114:Q114)</f>
        <v>1777376.98</v>
      </c>
      <c r="K114" s="43">
        <v>542662</v>
      </c>
      <c r="L114" s="23">
        <v>0</v>
      </c>
      <c r="M114" s="43">
        <v>471698.11</v>
      </c>
      <c r="N114" s="23">
        <v>300000</v>
      </c>
      <c r="O114" s="23">
        <v>50000</v>
      </c>
      <c r="P114" s="43">
        <v>283018.87</v>
      </c>
      <c r="Q114" s="43">
        <v>129998</v>
      </c>
      <c r="R114" s="24" t="s"/>
      <c r="S114" s="25" t="s"/>
      <c r="T114" s="25" t="s"/>
      <c r="U114" s="25" t="s"/>
      <c r="V114" s="25" t="s"/>
      <c r="W114" s="25" t="s"/>
      <c r="X114" s="25" t="s"/>
      <c r="Y114" s="25" t="s"/>
      <c r="Z114" s="23">
        <v>0</v>
      </c>
      <c r="AA114" s="23">
        <v>0</v>
      </c>
      <c r="AB114" s="25" t="s"/>
      <c r="AC114" s="26" t="s"/>
      <c r="AD114" s="23">
        <v>0</v>
      </c>
      <c r="AE114" s="23">
        <v>0</v>
      </c>
      <c r="AF114" s="23">
        <v>0</v>
      </c>
      <c r="AG114" s="23">
        <v>0</v>
      </c>
      <c r="AH114" s="23">
        <v>0</v>
      </c>
      <c r="AI114" s="23">
        <v>0</v>
      </c>
      <c r="AJ114" s="23">
        <v>0</v>
      </c>
      <c r="AK114" s="27" t="s"/>
      <c r="AL114" s="27" t="s"/>
      <c r="AM114" s="27" t="s"/>
    </row>
    <row r="115" spans="1:39" s="155" customFormat="1" ht="12.95" customHeight="1">
      <c r="A115" s="17">
        <v>999910000030</v>
      </c>
      <c r="B115" s="18" t="s">
        <v>299</v>
      </c>
      <c r="C115" s="18" t="s">
        <v>31</v>
      </c>
      <c r="D115" s="18" t="s">
        <v>212</v>
      </c>
      <c r="E115" s="18" t="s">
        <v>33</v>
      </c>
      <c r="F115" s="18" t="s">
        <v>11</v>
      </c>
      <c r="G115" s="19" t="s">
        <v>7</v>
      </c>
      <c r="H115" s="20" t="s">
        <v>21</v>
      </c>
      <c r="I115" s="21">
        <v>45992</v>
      </c>
      <c r="J115" s="22">
        <f>=SUM(K115:Q115)</f>
        <v>489200.547169811</v>
      </c>
      <c r="K115" s="23">
        <v>162798</v>
      </c>
      <c r="L115" s="23">
        <v>0</v>
      </c>
      <c r="M115" s="23">
        <v>113207.547169811</v>
      </c>
      <c r="N115" s="23">
        <v>150000</v>
      </c>
      <c r="O115" s="23">
        <v>40000</v>
      </c>
      <c r="P115" s="23">
        <v>0</v>
      </c>
      <c r="Q115" s="23">
        <v>23195</v>
      </c>
      <c r="R115" s="24" t="s"/>
      <c r="S115" s="25" t="s"/>
      <c r="T115" s="25" t="s"/>
      <c r="U115" s="25" t="s"/>
      <c r="V115" s="25" t="s"/>
      <c r="W115" s="25" t="s"/>
      <c r="X115" s="25" t="s"/>
      <c r="Y115" s="25" t="s"/>
      <c r="Z115" s="23">
        <v>0</v>
      </c>
      <c r="AA115" s="23">
        <v>0</v>
      </c>
      <c r="AB115" s="25" t="s"/>
      <c r="AC115" s="26" t="s"/>
      <c r="AD115" s="23">
        <v>302947.97</v>
      </c>
      <c r="AE115" s="23">
        <v>7184.63</v>
      </c>
      <c r="AF115" s="23">
        <v>114264.14</v>
      </c>
      <c r="AG115" s="23">
        <v>91331.6</v>
      </c>
      <c r="AH115" s="23">
        <v>9611</v>
      </c>
      <c r="AI115" s="23">
        <v>0</v>
      </c>
      <c r="AJ115" s="23">
        <v>33745.09</v>
      </c>
      <c r="AK115" s="27" t="s"/>
      <c r="AL115" s="27" t="s"/>
      <c r="AM115" s="27" t="s"/>
    </row>
    <row r="116" spans="1:39" s="155" customFormat="1" ht="12.95" customHeight="1">
      <c r="A116" s="17">
        <v>999910000031</v>
      </c>
      <c r="B116" s="18" t="s">
        <v>300</v>
      </c>
      <c r="C116" s="18" t="s">
        <v>81</v>
      </c>
      <c r="D116" s="18" t="s">
        <v>301</v>
      </c>
      <c r="E116" s="18" t="s">
        <v>10</v>
      </c>
      <c r="F116" s="18" t="s">
        <v>11</v>
      </c>
      <c r="G116" s="19" t="s">
        <v>7</v>
      </c>
      <c r="H116" s="20" t="s">
        <v>21</v>
      </c>
      <c r="I116" s="21">
        <v>45839</v>
      </c>
      <c r="J116" s="22">
        <f>=SUM(K116:Q116)</f>
        <v>434344.63</v>
      </c>
      <c r="K116" s="43">
        <v>88495.58</v>
      </c>
      <c r="L116" s="23">
        <v>0</v>
      </c>
      <c r="M116" s="43">
        <v>122641.51</v>
      </c>
      <c r="N116" s="23">
        <v>100000</v>
      </c>
      <c r="O116" s="23">
        <v>10000</v>
      </c>
      <c r="P116" s="43">
        <v>94339.62</v>
      </c>
      <c r="Q116" s="43">
        <v>18867.92</v>
      </c>
      <c r="R116" s="24" t="s"/>
      <c r="S116" s="25" t="s"/>
      <c r="T116" s="25" t="s"/>
      <c r="U116" s="25" t="s"/>
      <c r="V116" s="25" t="s"/>
      <c r="W116" s="25" t="s"/>
      <c r="X116" s="25" t="s"/>
      <c r="Y116" s="25" t="s"/>
      <c r="Z116" s="23">
        <v>0</v>
      </c>
      <c r="AA116" s="23">
        <v>0</v>
      </c>
      <c r="AB116" s="25" t="s"/>
      <c r="AC116" s="26" t="s"/>
      <c r="AD116" s="23">
        <v>0</v>
      </c>
      <c r="AE116" s="23">
        <v>0</v>
      </c>
      <c r="AF116" s="23">
        <v>0</v>
      </c>
      <c r="AG116" s="23">
        <v>0</v>
      </c>
      <c r="AH116" s="23">
        <v>0</v>
      </c>
      <c r="AI116" s="23">
        <v>0</v>
      </c>
      <c r="AJ116" s="23">
        <v>0</v>
      </c>
      <c r="AK116" s="27" t="s"/>
      <c r="AL116" s="27" t="s"/>
      <c r="AM116" s="27" t="s"/>
    </row>
    <row r="117" spans="1:39" s="155" customFormat="1" ht="12.95" customHeight="1">
      <c r="A117" s="17">
        <v>999910000032</v>
      </c>
      <c r="B117" s="18" t="s">
        <v>302</v>
      </c>
      <c r="C117" s="18" t="s">
        <v>147</v>
      </c>
      <c r="D117" s="18" t="s">
        <v>303</v>
      </c>
      <c r="E117" s="18" t="s">
        <v>10</v>
      </c>
      <c r="F117" s="18" t="s">
        <v>11</v>
      </c>
      <c r="G117" s="19" t="s">
        <v>7</v>
      </c>
      <c r="H117" s="20" t="s">
        <v>21</v>
      </c>
      <c r="I117" s="21">
        <v>46172</v>
      </c>
      <c r="J117" s="22">
        <f>=SUM(K117:Q117)</f>
        <v>1356599.26415094</v>
      </c>
      <c r="K117" s="23">
        <v>256637</v>
      </c>
      <c r="L117" s="23">
        <v>0</v>
      </c>
      <c r="M117" s="23">
        <v>660377.358490566</v>
      </c>
      <c r="N117" s="23">
        <v>196000</v>
      </c>
      <c r="O117" s="23">
        <v>20000</v>
      </c>
      <c r="P117" s="23">
        <v>207547.169811321</v>
      </c>
      <c r="Q117" s="23">
        <v>16037.7358490566</v>
      </c>
      <c r="R117" s="24" t="s"/>
      <c r="S117" s="25" t="s"/>
      <c r="T117" s="25" t="s"/>
      <c r="U117" s="25" t="s"/>
      <c r="V117" s="25" t="s"/>
      <c r="W117" s="25" t="s"/>
      <c r="X117" s="25" t="s"/>
      <c r="Y117" s="25" t="s"/>
      <c r="Z117" s="23">
        <v>0</v>
      </c>
      <c r="AA117" s="23">
        <v>0</v>
      </c>
      <c r="AB117" s="25" t="s"/>
      <c r="AC117" s="26" t="s"/>
      <c r="AD117" s="23">
        <v>88484.16</v>
      </c>
      <c r="AE117" s="23">
        <v>205463.32</v>
      </c>
      <c r="AF117" s="23">
        <v>174482.08</v>
      </c>
      <c r="AG117" s="23">
        <v>149146.08</v>
      </c>
      <c r="AH117" s="23">
        <v>3406</v>
      </c>
      <c r="AI117" s="23">
        <v>203003.25</v>
      </c>
      <c r="AJ117" s="23">
        <v>24696.46</v>
      </c>
      <c r="AK117" s="27" t="s"/>
      <c r="AL117" s="27" t="s"/>
      <c r="AM117" s="27" t="s"/>
    </row>
    <row r="118" spans="1:39" s="155" customFormat="1" ht="12.95" customHeight="1">
      <c r="A118" s="17">
        <v>999910000033</v>
      </c>
      <c r="B118" s="18" t="s">
        <v>304</v>
      </c>
      <c r="C118" s="18" t="s">
        <v>305</v>
      </c>
      <c r="D118" s="18" t="s">
        <v>306</v>
      </c>
      <c r="E118" s="18" t="s">
        <v>33</v>
      </c>
      <c r="F118" s="18" t="s">
        <v>11</v>
      </c>
      <c r="G118" s="19" t="s">
        <v>7</v>
      </c>
      <c r="H118" s="20" t="s">
        <v>21</v>
      </c>
      <c r="I118" s="21">
        <v>45992</v>
      </c>
      <c r="J118" s="22">
        <f>=SUM(K118:Q118)</f>
        <v>273896.223486239</v>
      </c>
      <c r="K118" s="23">
        <v>134204.34</v>
      </c>
      <c r="L118" s="23">
        <v>0</v>
      </c>
      <c r="M118" s="23">
        <v>75471.7</v>
      </c>
      <c r="N118" s="23">
        <v>45871.5596330275</v>
      </c>
      <c r="O118" s="23">
        <v>0</v>
      </c>
      <c r="P118" s="23">
        <v>0</v>
      </c>
      <c r="Q118" s="23">
        <v>18348.623853211</v>
      </c>
      <c r="R118" s="24" t="s"/>
      <c r="S118" s="25" t="s"/>
      <c r="T118" s="25" t="s"/>
      <c r="U118" s="25" t="s"/>
      <c r="V118" s="25" t="s"/>
      <c r="W118" s="25" t="s"/>
      <c r="X118" s="25" t="s"/>
      <c r="Y118" s="25" t="s"/>
      <c r="Z118" s="23">
        <v>0</v>
      </c>
      <c r="AA118" s="23">
        <v>0</v>
      </c>
      <c r="AB118" s="25" t="s"/>
      <c r="AC118" s="26" t="s"/>
      <c r="AD118" s="23">
        <v>39349.42</v>
      </c>
      <c r="AE118" s="23">
        <v>154234.43</v>
      </c>
      <c r="AF118" s="23">
        <v>43562.26</v>
      </c>
      <c r="AG118" s="23">
        <v>18689.78</v>
      </c>
      <c r="AH118" s="23">
        <v>0</v>
      </c>
      <c r="AI118" s="23">
        <v>0</v>
      </c>
      <c r="AJ118" s="23">
        <v>7335.37</v>
      </c>
      <c r="AK118" s="27" t="s"/>
      <c r="AL118" s="27" t="s"/>
      <c r="AM118" s="27" t="s"/>
    </row>
    <row r="119" spans="1:39" s="155" customFormat="1" ht="12.95" customHeight="1">
      <c r="A119" s="17">
        <v>999910000034</v>
      </c>
      <c r="B119" s="18" t="s">
        <v>307</v>
      </c>
      <c r="C119" s="18" t="s">
        <v>40</v>
      </c>
      <c r="D119" s="18" t="s">
        <v>308</v>
      </c>
      <c r="E119" s="18" t="s">
        <v>10</v>
      </c>
      <c r="F119" s="18" t="s">
        <v>11</v>
      </c>
      <c r="G119" s="19" t="s">
        <v>7</v>
      </c>
      <c r="H119" s="20" t="s">
        <v>21</v>
      </c>
      <c r="I119" s="21">
        <v>45658</v>
      </c>
      <c r="J119" s="22">
        <f>=SUM(K119:Q119)</f>
        <v>527754.87</v>
      </c>
      <c r="K119" s="43">
        <v>70796</v>
      </c>
      <c r="L119" s="23">
        <v>0</v>
      </c>
      <c r="M119" s="43">
        <v>202830.19</v>
      </c>
      <c r="N119" s="23">
        <v>80000</v>
      </c>
      <c r="O119" s="23">
        <v>20000</v>
      </c>
      <c r="P119" s="43">
        <v>137614.68</v>
      </c>
      <c r="Q119" s="43">
        <v>16514</v>
      </c>
      <c r="R119" s="24" t="s"/>
      <c r="S119" s="25" t="s"/>
      <c r="T119" s="25" t="s"/>
      <c r="U119" s="25" t="s"/>
      <c r="V119" s="25" t="s"/>
      <c r="W119" s="25" t="s"/>
      <c r="X119" s="25" t="s"/>
      <c r="Y119" s="25" t="s"/>
      <c r="Z119" s="23">
        <v>0</v>
      </c>
      <c r="AA119" s="23">
        <v>0</v>
      </c>
      <c r="AB119" s="25" t="s"/>
      <c r="AC119" s="26" t="s"/>
      <c r="AD119" s="23">
        <v>0</v>
      </c>
      <c r="AE119" s="23">
        <v>0</v>
      </c>
      <c r="AF119" s="23">
        <v>0</v>
      </c>
      <c r="AG119" s="23">
        <v>0</v>
      </c>
      <c r="AH119" s="23">
        <v>0</v>
      </c>
      <c r="AI119" s="23">
        <v>0</v>
      </c>
      <c r="AJ119" s="23">
        <v>0</v>
      </c>
      <c r="AK119" s="27" t="s"/>
      <c r="AL119" s="27" t="s"/>
      <c r="AM119" s="27" t="s"/>
    </row>
    <row r="120" spans="1:39" s="155" customFormat="1" ht="12.95" customHeight="1">
      <c r="A120" s="17">
        <v>999910000035</v>
      </c>
      <c r="B120" s="18" t="s">
        <v>309</v>
      </c>
      <c r="C120" s="18" t="s">
        <v>239</v>
      </c>
      <c r="D120" s="18" t="s">
        <v>310</v>
      </c>
      <c r="E120" s="18" t="s">
        <v>10</v>
      </c>
      <c r="F120" s="18" t="s">
        <v>11</v>
      </c>
      <c r="G120" s="19" t="s">
        <v>7</v>
      </c>
      <c r="H120" s="20" t="s">
        <v>21</v>
      </c>
      <c r="I120" s="21">
        <v>46266</v>
      </c>
      <c r="J120" s="22">
        <f>=SUM(K120:Q120)</f>
        <v>234077.480088496</v>
      </c>
      <c r="K120" s="23">
        <v>35398.2300884956</v>
      </c>
      <c r="L120" s="23">
        <v>0</v>
      </c>
      <c r="M120" s="23">
        <v>188679.25</v>
      </c>
      <c r="N120" s="23">
        <v>10000</v>
      </c>
      <c r="O120" s="23">
        <v>0</v>
      </c>
      <c r="P120" s="23">
        <v>0</v>
      </c>
      <c r="Q120" s="23">
        <v>0</v>
      </c>
      <c r="R120" s="24" t="s"/>
      <c r="S120" s="25" t="s"/>
      <c r="T120" s="25" t="s"/>
      <c r="U120" s="25" t="s"/>
      <c r="V120" s="25" t="s"/>
      <c r="W120" s="25" t="s"/>
      <c r="X120" s="25" t="s"/>
      <c r="Y120" s="25" t="s"/>
      <c r="Z120" s="23">
        <v>0</v>
      </c>
      <c r="AA120" s="23">
        <v>0</v>
      </c>
      <c r="AB120" s="25" t="s"/>
      <c r="AC120" s="26" t="s"/>
      <c r="AD120" s="23">
        <v>0</v>
      </c>
      <c r="AE120" s="23">
        <v>0</v>
      </c>
      <c r="AF120" s="23">
        <v>0</v>
      </c>
      <c r="AG120" s="23">
        <v>0</v>
      </c>
      <c r="AH120" s="23">
        <v>0</v>
      </c>
      <c r="AI120" s="23">
        <v>0</v>
      </c>
      <c r="AJ120" s="23">
        <v>0</v>
      </c>
      <c r="AK120" s="27" t="s"/>
      <c r="AL120" s="27" t="s"/>
      <c r="AM120" s="27" t="s"/>
    </row>
    <row r="121" spans="1:39" s="155" customFormat="1" ht="12.95" customHeight="1">
      <c r="A121" s="17">
        <v>999910000036</v>
      </c>
      <c r="B121" s="18" t="s">
        <v>311</v>
      </c>
      <c r="C121" s="18" t="s">
        <v>239</v>
      </c>
      <c r="D121" s="18" t="s">
        <v>312</v>
      </c>
      <c r="E121" s="18" t="s">
        <v>10</v>
      </c>
      <c r="F121" s="18" t="s">
        <v>11</v>
      </c>
      <c r="G121" s="19" t="s">
        <v>7</v>
      </c>
      <c r="H121" s="20" t="s">
        <v>21</v>
      </c>
      <c r="I121" s="21">
        <v>46266</v>
      </c>
      <c r="J121" s="22">
        <f>=SUM(K121:Q121)</f>
        <v>630394.867654921</v>
      </c>
      <c r="K121" s="23">
        <v>89664.3847052931</v>
      </c>
      <c r="L121" s="23">
        <v>0</v>
      </c>
      <c r="M121" s="23">
        <v>250000</v>
      </c>
      <c r="N121" s="23">
        <v>100000</v>
      </c>
      <c r="O121" s="23">
        <v>50000</v>
      </c>
      <c r="P121" s="23">
        <v>113207.547169811</v>
      </c>
      <c r="Q121" s="23">
        <v>27522.9357798165</v>
      </c>
      <c r="R121" s="24" t="s"/>
      <c r="S121" s="25" t="s"/>
      <c r="T121" s="25" t="s"/>
      <c r="U121" s="25" t="s"/>
      <c r="V121" s="25" t="s"/>
      <c r="W121" s="25" t="s"/>
      <c r="X121" s="25" t="s"/>
      <c r="Y121" s="25" t="s"/>
      <c r="Z121" s="23">
        <v>0</v>
      </c>
      <c r="AA121" s="23">
        <v>0</v>
      </c>
      <c r="AB121" s="25" t="s"/>
      <c r="AC121" s="26" t="s"/>
      <c r="AD121" s="23">
        <v>0</v>
      </c>
      <c r="AE121" s="23">
        <v>0</v>
      </c>
      <c r="AF121" s="23">
        <v>0</v>
      </c>
      <c r="AG121" s="23">
        <v>0</v>
      </c>
      <c r="AH121" s="23">
        <v>0</v>
      </c>
      <c r="AI121" s="23">
        <v>0</v>
      </c>
      <c r="AJ121" s="23">
        <v>0</v>
      </c>
      <c r="AK121" s="27" t="s"/>
      <c r="AL121" s="27" t="s"/>
      <c r="AM121" s="27" t="s"/>
    </row>
    <row r="122" spans="1:39" s="155" customFormat="1" ht="12.95" customHeight="1">
      <c r="A122" s="17">
        <v>999910000037</v>
      </c>
      <c r="B122" s="18" t="s">
        <v>313</v>
      </c>
      <c r="C122" s="18" t="s">
        <v>40</v>
      </c>
      <c r="D122" s="18" t="s">
        <v>314</v>
      </c>
      <c r="E122" s="18" t="s">
        <v>47</v>
      </c>
      <c r="F122" s="18" t="s">
        <v>11</v>
      </c>
      <c r="G122" s="19" t="s">
        <v>7</v>
      </c>
      <c r="H122" s="20" t="s">
        <v>21</v>
      </c>
      <c r="I122" s="21">
        <v>45992</v>
      </c>
      <c r="J122" s="22">
        <f>=SUM(K122:Q122)</f>
        <v>0</v>
      </c>
      <c r="K122" s="23">
        <v>0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23">
        <v>0</v>
      </c>
      <c r="R122" s="24" t="s"/>
      <c r="S122" s="25" t="s"/>
      <c r="T122" s="25" t="s"/>
      <c r="U122" s="25" t="s"/>
      <c r="V122" s="25" t="s"/>
      <c r="W122" s="25" t="s"/>
      <c r="X122" s="25" t="s"/>
      <c r="Y122" s="25" t="s"/>
      <c r="Z122" s="23">
        <v>0</v>
      </c>
      <c r="AA122" s="23">
        <v>0</v>
      </c>
      <c r="AB122" s="25" t="s"/>
      <c r="AC122" s="26" t="s"/>
      <c r="AD122" s="23">
        <v>0</v>
      </c>
      <c r="AE122" s="23">
        <v>0</v>
      </c>
      <c r="AF122" s="23">
        <v>0</v>
      </c>
      <c r="AG122" s="23">
        <v>0</v>
      </c>
      <c r="AH122" s="23">
        <v>0</v>
      </c>
      <c r="AI122" s="23">
        <v>0</v>
      </c>
      <c r="AJ122" s="23">
        <v>0</v>
      </c>
      <c r="AK122" s="27" t="s"/>
      <c r="AL122" s="27" t="s"/>
      <c r="AM122" s="27" t="s"/>
    </row>
    <row r="123" spans="1:39" s="155" customFormat="1" ht="12.95" customHeight="1">
      <c r="A123" s="17">
        <v>999910000038</v>
      </c>
      <c r="B123" s="18" t="s">
        <v>315</v>
      </c>
      <c r="C123" s="18" t="s">
        <v>55</v>
      </c>
      <c r="D123" s="18" t="s">
        <v>316</v>
      </c>
      <c r="E123" s="18" t="s">
        <v>10</v>
      </c>
      <c r="F123" s="18" t="s">
        <v>11</v>
      </c>
      <c r="G123" s="19" t="s">
        <v>7</v>
      </c>
      <c r="H123" s="20" t="s">
        <v>21</v>
      </c>
      <c r="I123" s="21">
        <v>45901</v>
      </c>
      <c r="J123" s="22">
        <f>=SUM(K123:Q123)</f>
        <v>516045.91</v>
      </c>
      <c r="K123" s="43">
        <v>35398.23</v>
      </c>
      <c r="L123" s="23">
        <v>0</v>
      </c>
      <c r="M123" s="43">
        <v>235849.06</v>
      </c>
      <c r="N123" s="23">
        <v>100000</v>
      </c>
      <c r="O123" s="23">
        <v>0</v>
      </c>
      <c r="P123" s="43">
        <v>94339.62</v>
      </c>
      <c r="Q123" s="43">
        <v>50459</v>
      </c>
      <c r="R123" s="24" t="s"/>
      <c r="S123" s="25" t="s"/>
      <c r="T123" s="25" t="s"/>
      <c r="U123" s="25" t="s"/>
      <c r="V123" s="25" t="s"/>
      <c r="W123" s="25" t="s"/>
      <c r="X123" s="25" t="s"/>
      <c r="Y123" s="25" t="s"/>
      <c r="Z123" s="23">
        <v>0</v>
      </c>
      <c r="AA123" s="23">
        <v>0</v>
      </c>
      <c r="AB123" s="25" t="s"/>
      <c r="AC123" s="26" t="s"/>
      <c r="AD123" s="23">
        <v>0</v>
      </c>
      <c r="AE123" s="23">
        <v>0</v>
      </c>
      <c r="AF123" s="23">
        <v>0</v>
      </c>
      <c r="AG123" s="23">
        <v>0</v>
      </c>
      <c r="AH123" s="23">
        <v>0</v>
      </c>
      <c r="AI123" s="23">
        <v>0</v>
      </c>
      <c r="AJ123" s="23">
        <v>0</v>
      </c>
      <c r="AK123" s="27" t="s"/>
      <c r="AL123" s="27" t="s"/>
      <c r="AM123" s="27" t="s"/>
    </row>
    <row r="124" spans="1:39" s="155" customFormat="1" ht="12.95" customHeight="1">
      <c r="A124" s="17">
        <v>999910000039</v>
      </c>
      <c r="B124" s="18" t="s">
        <v>317</v>
      </c>
      <c r="C124" s="18" t="s">
        <v>147</v>
      </c>
      <c r="D124" s="18" t="s">
        <v>318</v>
      </c>
      <c r="E124" s="18" t="s">
        <v>10</v>
      </c>
      <c r="F124" s="18" t="s">
        <v>11</v>
      </c>
      <c r="G124" s="19" t="s">
        <v>7</v>
      </c>
      <c r="H124" s="20" t="s">
        <v>21</v>
      </c>
      <c r="I124" s="21">
        <v>46203</v>
      </c>
      <c r="J124" s="22">
        <f>=SUM(K124:Q124)</f>
        <v>590989.226415095</v>
      </c>
      <c r="K124" s="23">
        <v>141593</v>
      </c>
      <c r="L124" s="23">
        <v>0</v>
      </c>
      <c r="M124" s="23">
        <v>283018.867924528</v>
      </c>
      <c r="N124" s="23">
        <v>50000</v>
      </c>
      <c r="O124" s="23">
        <v>6000</v>
      </c>
      <c r="P124" s="23">
        <v>94339.6226415094</v>
      </c>
      <c r="Q124" s="23">
        <v>16037.7358490566</v>
      </c>
      <c r="R124" s="24" t="s"/>
      <c r="S124" s="25" t="s"/>
      <c r="T124" s="25" t="s"/>
      <c r="U124" s="25" t="s"/>
      <c r="V124" s="25" t="s"/>
      <c r="W124" s="25" t="s"/>
      <c r="X124" s="25" t="s"/>
      <c r="Y124" s="25" t="s"/>
      <c r="Z124" s="23">
        <v>0</v>
      </c>
      <c r="AA124" s="23">
        <v>0</v>
      </c>
      <c r="AB124" s="25" t="s"/>
      <c r="AC124" s="26" t="s"/>
      <c r="AD124" s="23">
        <v>0</v>
      </c>
      <c r="AE124" s="23">
        <v>0</v>
      </c>
      <c r="AF124" s="23">
        <v>0</v>
      </c>
      <c r="AG124" s="23">
        <v>0</v>
      </c>
      <c r="AH124" s="23">
        <v>0</v>
      </c>
      <c r="AI124" s="23">
        <v>0</v>
      </c>
      <c r="AJ124" s="23">
        <v>0</v>
      </c>
      <c r="AK124" s="27" t="s"/>
      <c r="AL124" s="27" t="s"/>
      <c r="AM124" s="27" t="s"/>
    </row>
    <row r="125" spans="1:39" s="155" customFormat="1" ht="12.95" customHeight="1">
      <c r="A125" s="17">
        <v>999910000040</v>
      </c>
      <c r="B125" s="18" t="s">
        <v>319</v>
      </c>
      <c r="C125" s="18" t="s">
        <v>147</v>
      </c>
      <c r="D125" s="18" t="s">
        <v>320</v>
      </c>
      <c r="E125" s="18" t="s">
        <v>10</v>
      </c>
      <c r="F125" s="18" t="s">
        <v>11</v>
      </c>
      <c r="G125" s="19" t="s">
        <v>7</v>
      </c>
      <c r="H125" s="20" t="s">
        <v>21</v>
      </c>
      <c r="I125" s="21">
        <v>46203</v>
      </c>
      <c r="J125" s="22">
        <f>=SUM(K125:Q125)</f>
        <v>772696.66</v>
      </c>
      <c r="K125" s="43">
        <v>106195</v>
      </c>
      <c r="L125" s="23">
        <v>0</v>
      </c>
      <c r="M125" s="43">
        <v>490566.04</v>
      </c>
      <c r="N125" s="23">
        <v>60000</v>
      </c>
      <c r="O125" s="23">
        <v>6000</v>
      </c>
      <c r="P125" s="43">
        <v>94339.62</v>
      </c>
      <c r="Q125" s="43">
        <v>15596</v>
      </c>
      <c r="R125" s="24" t="s"/>
      <c r="S125" s="25" t="s"/>
      <c r="T125" s="25" t="s"/>
      <c r="U125" s="25" t="s"/>
      <c r="V125" s="25" t="s"/>
      <c r="W125" s="25" t="s"/>
      <c r="X125" s="25" t="s"/>
      <c r="Y125" s="25" t="s"/>
      <c r="Z125" s="23">
        <v>0</v>
      </c>
      <c r="AA125" s="23">
        <v>0</v>
      </c>
      <c r="AB125" s="25" t="s"/>
      <c r="AC125" s="26" t="s"/>
      <c r="AD125" s="23">
        <v>0</v>
      </c>
      <c r="AE125" s="23">
        <v>0</v>
      </c>
      <c r="AF125" s="23">
        <v>0</v>
      </c>
      <c r="AG125" s="23">
        <v>0</v>
      </c>
      <c r="AH125" s="23">
        <v>0</v>
      </c>
      <c r="AI125" s="23">
        <v>0</v>
      </c>
      <c r="AJ125" s="23">
        <v>0</v>
      </c>
      <c r="AK125" s="27" t="s"/>
      <c r="AL125" s="27" t="s"/>
      <c r="AM125" s="27" t="s"/>
    </row>
    <row r="126" spans="1:39" s="155" customFormat="1" ht="12.95" customHeight="1">
      <c r="A126" s="17">
        <v>999910000041</v>
      </c>
      <c r="B126" s="18" t="s">
        <v>321</v>
      </c>
      <c r="C126" s="18" t="s">
        <v>23</v>
      </c>
      <c r="D126" s="18" t="s">
        <v>322</v>
      </c>
      <c r="E126" s="18" t="s">
        <v>10</v>
      </c>
      <c r="F126" s="18" t="s">
        <v>11</v>
      </c>
      <c r="G126" s="19" t="s">
        <v>7</v>
      </c>
      <c r="H126" s="20" t="s">
        <v>21</v>
      </c>
      <c r="I126" s="21">
        <v>46069</v>
      </c>
      <c r="J126" s="22">
        <f>=SUM(K126:Q126)</f>
        <v>457669.890176991</v>
      </c>
      <c r="K126" s="23">
        <v>70796.4601769912</v>
      </c>
      <c r="L126" s="23">
        <v>0</v>
      </c>
      <c r="M126" s="23">
        <v>260000</v>
      </c>
      <c r="N126" s="23">
        <v>80000</v>
      </c>
      <c r="O126" s="23">
        <v>20000</v>
      </c>
      <c r="P126" s="23">
        <v>0</v>
      </c>
      <c r="Q126" s="23">
        <v>26873.43</v>
      </c>
      <c r="R126" s="24" t="s"/>
      <c r="S126" s="25" t="s"/>
      <c r="T126" s="25" t="s"/>
      <c r="U126" s="25" t="s"/>
      <c r="V126" s="25" t="s"/>
      <c r="W126" s="25" t="s"/>
      <c r="X126" s="25" t="s"/>
      <c r="Y126" s="25" t="s"/>
      <c r="Z126" s="23">
        <v>0</v>
      </c>
      <c r="AA126" s="23">
        <v>0</v>
      </c>
      <c r="AB126" s="25" t="s"/>
      <c r="AC126" s="26" t="s"/>
      <c r="AD126" s="23">
        <v>0</v>
      </c>
      <c r="AE126" s="23">
        <v>0</v>
      </c>
      <c r="AF126" s="23">
        <v>0</v>
      </c>
      <c r="AG126" s="23">
        <v>0</v>
      </c>
      <c r="AH126" s="23">
        <v>0</v>
      </c>
      <c r="AI126" s="23">
        <v>0</v>
      </c>
      <c r="AJ126" s="23">
        <v>0</v>
      </c>
      <c r="AK126" s="27" t="s"/>
      <c r="AL126" s="27" t="s"/>
      <c r="AM126" s="27" t="s"/>
    </row>
    <row r="127" spans="1:39" s="155" customFormat="1" ht="12.95" customHeight="1">
      <c r="A127" s="17">
        <v>999910000042</v>
      </c>
      <c r="B127" s="18" t="s">
        <v>323</v>
      </c>
      <c r="C127" s="18" t="s">
        <v>147</v>
      </c>
      <c r="D127" s="18" t="s">
        <v>324</v>
      </c>
      <c r="E127" s="18" t="s">
        <v>10</v>
      </c>
      <c r="F127" s="18" t="s">
        <v>11</v>
      </c>
      <c r="G127" s="19" t="s">
        <v>7</v>
      </c>
      <c r="H127" s="20" t="s">
        <v>21</v>
      </c>
      <c r="I127" s="21">
        <v>46096</v>
      </c>
      <c r="J127" s="22">
        <f>=SUM(K127:Q127)</f>
        <v>139464.016037736</v>
      </c>
      <c r="K127" s="23">
        <v>30973.45</v>
      </c>
      <c r="L127" s="23">
        <v>0</v>
      </c>
      <c r="M127" s="23">
        <v>103773.58490566</v>
      </c>
      <c r="N127" s="23">
        <v>0</v>
      </c>
      <c r="O127" s="23">
        <v>0</v>
      </c>
      <c r="P127" s="23">
        <v>0</v>
      </c>
      <c r="Q127" s="23">
        <v>4716.98113207547</v>
      </c>
      <c r="R127" s="24" t="s"/>
      <c r="S127" s="25" t="s"/>
      <c r="T127" s="25" t="s"/>
      <c r="U127" s="25" t="s"/>
      <c r="V127" s="25" t="s"/>
      <c r="W127" s="25" t="s"/>
      <c r="X127" s="25" t="s"/>
      <c r="Y127" s="25" t="s"/>
      <c r="Z127" s="23">
        <v>0</v>
      </c>
      <c r="AA127" s="23">
        <v>0</v>
      </c>
      <c r="AB127" s="25" t="s"/>
      <c r="AC127" s="26" t="s"/>
      <c r="AD127" s="23">
        <v>0</v>
      </c>
      <c r="AE127" s="23">
        <v>0</v>
      </c>
      <c r="AF127" s="23">
        <v>0</v>
      </c>
      <c r="AG127" s="23">
        <v>0</v>
      </c>
      <c r="AH127" s="23">
        <v>0</v>
      </c>
      <c r="AI127" s="23">
        <v>0</v>
      </c>
      <c r="AJ127" s="23">
        <v>0</v>
      </c>
      <c r="AK127" s="27" t="s"/>
      <c r="AL127" s="27" t="s"/>
      <c r="AM127" s="27" t="s"/>
    </row>
    <row r="128" spans="1:39" s="155" customFormat="1" ht="12.95" customHeight="1">
      <c r="A128" s="17">
        <v>999910000043</v>
      </c>
      <c r="B128" s="18" t="s">
        <v>325</v>
      </c>
      <c r="C128" s="18" t="s">
        <v>326</v>
      </c>
      <c r="D128" s="18" t="s">
        <v>327</v>
      </c>
      <c r="E128" s="18" t="s">
        <v>10</v>
      </c>
      <c r="F128" s="18" t="s">
        <v>11</v>
      </c>
      <c r="G128" s="19" t="s">
        <v>7</v>
      </c>
      <c r="H128" s="20" t="s">
        <v>21</v>
      </c>
      <c r="I128" s="21">
        <v>46091</v>
      </c>
      <c r="J128" s="22">
        <f>=SUM(K128:Q128)</f>
        <v>702846.843159125</v>
      </c>
      <c r="K128" s="23">
        <v>150442.477876106</v>
      </c>
      <c r="L128" s="23">
        <v>0</v>
      </c>
      <c r="M128" s="23">
        <v>188679.25</v>
      </c>
      <c r="N128" s="23">
        <v>100000</v>
      </c>
      <c r="O128" s="23">
        <v>20000</v>
      </c>
      <c r="P128" s="23">
        <v>188679.245283019</v>
      </c>
      <c r="Q128" s="23">
        <v>55045.87</v>
      </c>
      <c r="R128" s="24" t="s"/>
      <c r="S128" s="25" t="s"/>
      <c r="T128" s="25" t="s"/>
      <c r="U128" s="25" t="s"/>
      <c r="V128" s="25" t="s"/>
      <c r="W128" s="25" t="s"/>
      <c r="X128" s="25" t="s"/>
      <c r="Y128" s="25" t="s"/>
      <c r="Z128" s="23">
        <v>0</v>
      </c>
      <c r="AA128" s="23">
        <v>0</v>
      </c>
      <c r="AB128" s="25" t="s"/>
      <c r="AC128" s="26" t="s"/>
      <c r="AD128" s="23">
        <v>0</v>
      </c>
      <c r="AE128" s="23">
        <v>0</v>
      </c>
      <c r="AF128" s="23">
        <v>0</v>
      </c>
      <c r="AG128" s="23">
        <v>0</v>
      </c>
      <c r="AH128" s="23">
        <v>0</v>
      </c>
      <c r="AI128" s="23">
        <v>0</v>
      </c>
      <c r="AJ128" s="23">
        <v>0</v>
      </c>
      <c r="AK128" s="27" t="s"/>
      <c r="AL128" s="27" t="s"/>
      <c r="AM128" s="27" t="s"/>
    </row>
    <row r="129" spans="1:39" s="155" customFormat="1" ht="12.95" customHeight="1">
      <c r="A129" s="17">
        <v>999910000044</v>
      </c>
      <c r="B129" s="18" t="s">
        <v>328</v>
      </c>
      <c r="C129" s="18" t="s">
        <v>329</v>
      </c>
      <c r="D129" s="18" t="s">
        <v>257</v>
      </c>
      <c r="E129" s="18" t="s">
        <v>10</v>
      </c>
      <c r="F129" s="18" t="s">
        <v>11</v>
      </c>
      <c r="G129" s="19" t="s">
        <v>7</v>
      </c>
      <c r="H129" s="20" t="s">
        <v>21</v>
      </c>
      <c r="I129" s="21">
        <v>46235</v>
      </c>
      <c r="J129" s="22">
        <f>=SUM(K129:Q129)</f>
        <v>491254.788867925</v>
      </c>
      <c r="K129" s="23">
        <v>107363.5</v>
      </c>
      <c r="L129" s="23">
        <v>0</v>
      </c>
      <c r="M129" s="23">
        <v>245283.018867925</v>
      </c>
      <c r="N129" s="23">
        <v>100000</v>
      </c>
      <c r="O129" s="23">
        <v>20000</v>
      </c>
      <c r="P129" s="23">
        <v>0</v>
      </c>
      <c r="Q129" s="23">
        <v>18608.27</v>
      </c>
      <c r="R129" s="24" t="s"/>
      <c r="S129" s="25" t="s"/>
      <c r="T129" s="25" t="s"/>
      <c r="U129" s="25" t="s"/>
      <c r="V129" s="25" t="s"/>
      <c r="W129" s="25" t="s"/>
      <c r="X129" s="25" t="s"/>
      <c r="Y129" s="25" t="s"/>
      <c r="Z129" s="23">
        <v>0</v>
      </c>
      <c r="AA129" s="23">
        <v>0</v>
      </c>
      <c r="AB129" s="25" t="s"/>
      <c r="AC129" s="26" t="s"/>
      <c r="AD129" s="23">
        <v>0</v>
      </c>
      <c r="AE129" s="23">
        <v>0</v>
      </c>
      <c r="AF129" s="23">
        <v>0</v>
      </c>
      <c r="AG129" s="23">
        <v>0</v>
      </c>
      <c r="AH129" s="23">
        <v>0</v>
      </c>
      <c r="AI129" s="23">
        <v>0</v>
      </c>
      <c r="AJ129" s="23">
        <v>0</v>
      </c>
      <c r="AK129" s="27" t="s"/>
      <c r="AL129" s="27" t="s"/>
      <c r="AM129" s="27" t="s"/>
    </row>
    <row r="130" spans="1:39" s="155" customFormat="1" ht="12.95" customHeight="1">
      <c r="A130" s="17">
        <v>999910000045</v>
      </c>
      <c r="B130" s="18" t="s">
        <v>330</v>
      </c>
      <c r="C130" s="18" t="s">
        <v>37</v>
      </c>
      <c r="D130" s="18" t="s">
        <v>331</v>
      </c>
      <c r="E130" s="18" t="s">
        <v>10</v>
      </c>
      <c r="F130" s="18" t="s">
        <v>11</v>
      </c>
      <c r="G130" s="19" t="s">
        <v>7</v>
      </c>
      <c r="H130" s="20" t="s">
        <v>21</v>
      </c>
      <c r="I130" s="21">
        <v>46235</v>
      </c>
      <c r="J130" s="22">
        <f>=SUM(K130:Q130)</f>
        <v>491254.788867925</v>
      </c>
      <c r="K130" s="23">
        <v>107363.5</v>
      </c>
      <c r="L130" s="23">
        <v>0</v>
      </c>
      <c r="M130" s="23">
        <v>245283.018867925</v>
      </c>
      <c r="N130" s="23">
        <v>100000</v>
      </c>
      <c r="O130" s="23">
        <v>20000</v>
      </c>
      <c r="P130" s="23">
        <v>0</v>
      </c>
      <c r="Q130" s="23">
        <v>18608.27</v>
      </c>
      <c r="R130" s="24" t="s"/>
      <c r="S130" s="25" t="s"/>
      <c r="T130" s="25" t="s"/>
      <c r="U130" s="25" t="s"/>
      <c r="V130" s="25" t="s"/>
      <c r="W130" s="25" t="s"/>
      <c r="X130" s="25" t="s"/>
      <c r="Y130" s="25" t="s"/>
      <c r="Z130" s="23">
        <v>0</v>
      </c>
      <c r="AA130" s="23">
        <v>0</v>
      </c>
      <c r="AB130" s="25" t="s"/>
      <c r="AC130" s="26" t="s"/>
      <c r="AD130" s="23">
        <v>0</v>
      </c>
      <c r="AE130" s="23">
        <v>0</v>
      </c>
      <c r="AF130" s="23">
        <v>0</v>
      </c>
      <c r="AG130" s="23">
        <v>0</v>
      </c>
      <c r="AH130" s="23">
        <v>0</v>
      </c>
      <c r="AI130" s="23">
        <v>0</v>
      </c>
      <c r="AJ130" s="23">
        <v>0</v>
      </c>
      <c r="AK130" s="27" t="s"/>
      <c r="AL130" s="27" t="s"/>
      <c r="AM130" s="27" t="s"/>
    </row>
    <row r="131" spans="1:39" s="155" customFormat="1" ht="12.95" customHeight="1">
      <c r="A131" s="17">
        <v>999910000046</v>
      </c>
      <c r="B131" s="18" t="s">
        <v>332</v>
      </c>
      <c r="C131" s="18" t="s">
        <v>333</v>
      </c>
      <c r="D131" s="18" t="s">
        <v>334</v>
      </c>
      <c r="E131" s="18" t="s">
        <v>10</v>
      </c>
      <c r="F131" s="18" t="s">
        <v>11</v>
      </c>
      <c r="G131" s="19" t="s">
        <v>7</v>
      </c>
      <c r="H131" s="20" t="s">
        <v>21</v>
      </c>
      <c r="I131" s="21">
        <v>46264</v>
      </c>
      <c r="J131" s="22">
        <f>=SUM(K131:Q131)</f>
        <v>427879.432075472</v>
      </c>
      <c r="K131" s="23">
        <v>63115.71</v>
      </c>
      <c r="L131" s="23">
        <v>0</v>
      </c>
      <c r="M131" s="23">
        <v>122641.509433962</v>
      </c>
      <c r="N131" s="23">
        <v>100000</v>
      </c>
      <c r="O131" s="23">
        <v>20000</v>
      </c>
      <c r="P131" s="23">
        <v>94339.6226415094</v>
      </c>
      <c r="Q131" s="23">
        <v>27782.59</v>
      </c>
      <c r="R131" s="24" t="s"/>
      <c r="S131" s="25" t="s"/>
      <c r="T131" s="25" t="s"/>
      <c r="U131" s="25" t="s"/>
      <c r="V131" s="25" t="s"/>
      <c r="W131" s="25" t="s"/>
      <c r="X131" s="25" t="s"/>
      <c r="Y131" s="25" t="s"/>
      <c r="Z131" s="23">
        <v>0</v>
      </c>
      <c r="AA131" s="23">
        <v>0</v>
      </c>
      <c r="AB131" s="25" t="s"/>
      <c r="AC131" s="26" t="s"/>
      <c r="AD131" s="23">
        <v>0</v>
      </c>
      <c r="AE131" s="23">
        <v>0</v>
      </c>
      <c r="AF131" s="23">
        <v>0</v>
      </c>
      <c r="AG131" s="23">
        <v>0</v>
      </c>
      <c r="AH131" s="23">
        <v>0</v>
      </c>
      <c r="AI131" s="23">
        <v>0</v>
      </c>
      <c r="AJ131" s="23">
        <v>0</v>
      </c>
      <c r="AK131" s="27" t="s"/>
      <c r="AL131" s="27" t="s"/>
      <c r="AM131" s="27" t="s"/>
    </row>
    <row r="132" spans="1:39" s="155" customFormat="1" ht="12.95" customHeight="1">
      <c r="A132" s="17">
        <v>999910000047</v>
      </c>
      <c r="B132" s="18" t="s">
        <v>335</v>
      </c>
      <c r="C132" s="18" t="s">
        <v>131</v>
      </c>
      <c r="D132" s="18" t="s">
        <v>336</v>
      </c>
      <c r="E132" s="18" t="s">
        <v>10</v>
      </c>
      <c r="F132" s="18" t="s">
        <v>11</v>
      </c>
      <c r="G132" s="19" t="s">
        <v>7</v>
      </c>
      <c r="H132" s="20" t="s">
        <v>21</v>
      </c>
      <c r="I132" s="21">
        <v>46174</v>
      </c>
      <c r="J132" s="22">
        <f>=SUM(K132:Q132)</f>
        <v>408000</v>
      </c>
      <c r="K132" s="23">
        <v>63000</v>
      </c>
      <c r="L132" s="23">
        <v>0</v>
      </c>
      <c r="M132" s="23">
        <v>255000</v>
      </c>
      <c r="N132" s="23">
        <v>60000</v>
      </c>
      <c r="O132" s="23">
        <v>10000</v>
      </c>
      <c r="P132" s="23">
        <v>0</v>
      </c>
      <c r="Q132" s="23">
        <v>20000</v>
      </c>
      <c r="R132" s="24" t="s"/>
      <c r="S132" s="25" t="s"/>
      <c r="T132" s="25" t="s"/>
      <c r="U132" s="25" t="s"/>
      <c r="V132" s="25" t="s"/>
      <c r="W132" s="25" t="s"/>
      <c r="X132" s="25" t="s"/>
      <c r="Y132" s="25" t="s"/>
      <c r="Z132" s="23">
        <v>0</v>
      </c>
      <c r="AA132" s="23">
        <v>0</v>
      </c>
      <c r="AB132" s="25" t="s"/>
      <c r="AC132" s="26" t="s"/>
      <c r="AD132" s="23">
        <v>0</v>
      </c>
      <c r="AE132" s="23">
        <v>0</v>
      </c>
      <c r="AF132" s="23">
        <v>0</v>
      </c>
      <c r="AG132" s="23">
        <v>0</v>
      </c>
      <c r="AH132" s="23">
        <v>0</v>
      </c>
      <c r="AI132" s="23">
        <v>0</v>
      </c>
      <c r="AJ132" s="23">
        <v>0</v>
      </c>
      <c r="AK132" s="27" t="s"/>
      <c r="AL132" s="27" t="s"/>
      <c r="AM132" s="27" t="s"/>
    </row>
    <row r="133" spans="1:39" s="155" customFormat="1" ht="12.95" customHeight="1">
      <c r="A133" s="17">
        <v>999910000048</v>
      </c>
      <c r="B133" s="18" t="s">
        <v>337</v>
      </c>
      <c r="C133" s="18" t="s">
        <v>326</v>
      </c>
      <c r="D133" s="18" t="s">
        <v>338</v>
      </c>
      <c r="E133" s="18" t="s">
        <v>10</v>
      </c>
      <c r="F133" s="18" t="s">
        <v>11</v>
      </c>
      <c r="G133" s="19" t="s">
        <v>7</v>
      </c>
      <c r="H133" s="20" t="s">
        <v>21</v>
      </c>
      <c r="I133" s="21">
        <v>46264</v>
      </c>
      <c r="J133" s="22">
        <f>=SUM(K133:Q133)</f>
        <v>570000</v>
      </c>
      <c r="K133" s="23">
        <v>150000</v>
      </c>
      <c r="L133" s="23">
        <v>0</v>
      </c>
      <c r="M133" s="23">
        <v>270000</v>
      </c>
      <c r="N133" s="23">
        <v>100000</v>
      </c>
      <c r="O133" s="23">
        <v>20000</v>
      </c>
      <c r="P133" s="23">
        <v>0</v>
      </c>
      <c r="Q133" s="23">
        <v>30000</v>
      </c>
      <c r="R133" s="24" t="s"/>
      <c r="S133" s="25" t="s"/>
      <c r="T133" s="25" t="s"/>
      <c r="U133" s="25" t="s"/>
      <c r="V133" s="25" t="s"/>
      <c r="W133" s="25" t="s"/>
      <c r="X133" s="25" t="s"/>
      <c r="Y133" s="25" t="s"/>
      <c r="Z133" s="23">
        <v>0</v>
      </c>
      <c r="AA133" s="23">
        <v>0</v>
      </c>
      <c r="AB133" s="25" t="s"/>
      <c r="AC133" s="26" t="s"/>
      <c r="AD133" s="23">
        <v>0</v>
      </c>
      <c r="AE133" s="23">
        <v>0</v>
      </c>
      <c r="AF133" s="23">
        <v>0</v>
      </c>
      <c r="AG133" s="23">
        <v>0</v>
      </c>
      <c r="AH133" s="23">
        <v>0</v>
      </c>
      <c r="AI133" s="23">
        <v>0</v>
      </c>
      <c r="AJ133" s="23">
        <v>0</v>
      </c>
      <c r="AK133" s="27" t="s"/>
      <c r="AL133" s="27" t="s"/>
      <c r="AM133" s="27" t="s"/>
    </row>
    <row r="134" spans="1:39" s="155" customFormat="1" ht="12.95" customHeight="1">
      <c r="A134" s="17">
        <v>999910000049</v>
      </c>
      <c r="B134" s="18" t="s">
        <v>339</v>
      </c>
      <c r="C134" s="18" t="s">
        <v>31</v>
      </c>
      <c r="D134" s="18" t="s">
        <v>340</v>
      </c>
      <c r="E134" s="18" t="s">
        <v>33</v>
      </c>
      <c r="F134" s="18" t="s">
        <v>11</v>
      </c>
      <c r="G134" s="19" t="s">
        <v>7</v>
      </c>
      <c r="H134" s="20" t="s">
        <v>21</v>
      </c>
      <c r="I134" s="21">
        <v>46113</v>
      </c>
      <c r="J134" s="22">
        <f>=SUM(K134:Q134)</f>
        <v>610000</v>
      </c>
      <c r="K134" s="23">
        <v>150000</v>
      </c>
      <c r="L134" s="23">
        <v>0</v>
      </c>
      <c r="M134" s="23">
        <v>180000</v>
      </c>
      <c r="N134" s="23">
        <v>150000</v>
      </c>
      <c r="O134" s="23">
        <v>50000</v>
      </c>
      <c r="P134" s="23">
        <v>0</v>
      </c>
      <c r="Q134" s="23">
        <v>80000</v>
      </c>
      <c r="R134" s="24" t="s"/>
      <c r="S134" s="25" t="s"/>
      <c r="T134" s="25" t="s"/>
      <c r="U134" s="25" t="s"/>
      <c r="V134" s="25" t="s"/>
      <c r="W134" s="25" t="s"/>
      <c r="X134" s="25" t="s"/>
      <c r="Y134" s="25" t="s"/>
      <c r="Z134" s="23">
        <v>0</v>
      </c>
      <c r="AA134" s="23">
        <v>0</v>
      </c>
      <c r="AB134" s="25" t="s"/>
      <c r="AC134" s="26" t="s"/>
      <c r="AD134" s="23">
        <v>0</v>
      </c>
      <c r="AE134" s="23">
        <v>0</v>
      </c>
      <c r="AF134" s="23">
        <v>0</v>
      </c>
      <c r="AG134" s="23">
        <v>0</v>
      </c>
      <c r="AH134" s="23">
        <v>0</v>
      </c>
      <c r="AI134" s="23">
        <v>0</v>
      </c>
      <c r="AJ134" s="23">
        <v>0</v>
      </c>
      <c r="AK134" s="27" t="s"/>
      <c r="AL134" s="27" t="s"/>
      <c r="AM134" s="27" t="s"/>
    </row>
    <row r="135" spans="1:39" s="155" customFormat="1" ht="12.95" customHeight="1">
      <c r="A135" s="17">
        <v>999910000050</v>
      </c>
      <c r="B135" s="18" t="s">
        <v>341</v>
      </c>
      <c r="C135" s="18" t="s">
        <v>23</v>
      </c>
      <c r="D135" s="18" t="s">
        <v>342</v>
      </c>
      <c r="E135" s="18" t="s">
        <v>10</v>
      </c>
      <c r="F135" s="18" t="s">
        <v>11</v>
      </c>
      <c r="G135" s="19" t="s">
        <v>7</v>
      </c>
      <c r="H135" s="20" t="s">
        <v>21</v>
      </c>
      <c r="I135" s="21">
        <v>46264</v>
      </c>
      <c r="J135" s="22">
        <f>=SUM(K135:Q135)</f>
        <v>605594.419245283</v>
      </c>
      <c r="K135" s="23">
        <v>107363.5</v>
      </c>
      <c r="L135" s="23">
        <v>0</v>
      </c>
      <c r="M135" s="23">
        <v>330188.679245283</v>
      </c>
      <c r="N135" s="23">
        <v>120000</v>
      </c>
      <c r="O135" s="23">
        <v>20000</v>
      </c>
      <c r="P135" s="23">
        <v>0</v>
      </c>
      <c r="Q135" s="23">
        <v>28042.24</v>
      </c>
      <c r="R135" s="24" t="s"/>
      <c r="S135" s="25" t="s"/>
      <c r="T135" s="25" t="s"/>
      <c r="U135" s="25" t="s"/>
      <c r="V135" s="25" t="s"/>
      <c r="W135" s="25" t="s"/>
      <c r="X135" s="25" t="s"/>
      <c r="Y135" s="25" t="s"/>
      <c r="Z135" s="23">
        <v>0</v>
      </c>
      <c r="AA135" s="23">
        <v>0</v>
      </c>
      <c r="AB135" s="25" t="s"/>
      <c r="AC135" s="26" t="s"/>
      <c r="AD135" s="23">
        <v>0</v>
      </c>
      <c r="AE135" s="23">
        <v>0</v>
      </c>
      <c r="AF135" s="23">
        <v>0</v>
      </c>
      <c r="AG135" s="23">
        <v>0</v>
      </c>
      <c r="AH135" s="23">
        <v>0</v>
      </c>
      <c r="AI135" s="23">
        <v>0</v>
      </c>
      <c r="AJ135" s="23">
        <v>0</v>
      </c>
      <c r="AK135" s="27" t="s"/>
      <c r="AL135" s="27" t="s"/>
      <c r="AM135" s="27" t="s"/>
    </row>
    <row r="136" spans="1:39" s="155" customFormat="1" ht="12.95" customHeight="1">
      <c r="A136" s="17">
        <v>999910000051</v>
      </c>
      <c r="B136" s="18" t="s">
        <v>343</v>
      </c>
      <c r="C136" s="18" t="s">
        <v>52</v>
      </c>
      <c r="D136" s="18" t="s">
        <v>251</v>
      </c>
      <c r="E136" s="18" t="s">
        <v>10</v>
      </c>
      <c r="F136" s="18" t="s">
        <v>11</v>
      </c>
      <c r="G136" s="19" t="s">
        <v>7</v>
      </c>
      <c r="H136" s="20" t="s">
        <v>21</v>
      </c>
      <c r="I136" s="21">
        <v>46264</v>
      </c>
      <c r="J136" s="22">
        <f>=SUM(K136:Q136)</f>
        <v>924697.751698113</v>
      </c>
      <c r="K136" s="23">
        <v>126231.42</v>
      </c>
      <c r="L136" s="23">
        <v>0</v>
      </c>
      <c r="M136" s="23">
        <v>396226.41509434</v>
      </c>
      <c r="N136" s="23">
        <v>100000</v>
      </c>
      <c r="O136" s="23">
        <v>20000</v>
      </c>
      <c r="P136" s="23">
        <v>235849.056603774</v>
      </c>
      <c r="Q136" s="23">
        <v>46390.86</v>
      </c>
      <c r="R136" s="24" t="s"/>
      <c r="S136" s="25" t="s"/>
      <c r="T136" s="25" t="s"/>
      <c r="U136" s="25" t="s"/>
      <c r="V136" s="25" t="s"/>
      <c r="W136" s="25" t="s"/>
      <c r="X136" s="25" t="s"/>
      <c r="Y136" s="25" t="s"/>
      <c r="Z136" s="23">
        <v>0</v>
      </c>
      <c r="AA136" s="23">
        <v>0</v>
      </c>
      <c r="AB136" s="25" t="s"/>
      <c r="AC136" s="26" t="s"/>
      <c r="AD136" s="23">
        <v>0</v>
      </c>
      <c r="AE136" s="23">
        <v>0</v>
      </c>
      <c r="AF136" s="23">
        <v>0</v>
      </c>
      <c r="AG136" s="23">
        <v>0</v>
      </c>
      <c r="AH136" s="23">
        <v>0</v>
      </c>
      <c r="AI136" s="23">
        <v>0</v>
      </c>
      <c r="AJ136" s="23">
        <v>0</v>
      </c>
      <c r="AK136" s="27" t="s"/>
      <c r="AL136" s="27" t="s"/>
      <c r="AM136" s="27" t="s"/>
    </row>
    <row r="137" spans="1:39" s="155" customFormat="1" ht="12.95" customHeight="1">
      <c r="A137" s="17">
        <v>999910000052</v>
      </c>
      <c r="B137" s="18" t="s">
        <v>344</v>
      </c>
      <c r="C137" s="18" t="s">
        <v>31</v>
      </c>
      <c r="D137" s="18" t="s">
        <v>345</v>
      </c>
      <c r="E137" s="18" t="s">
        <v>33</v>
      </c>
      <c r="F137" s="18" t="s">
        <v>11</v>
      </c>
      <c r="G137" s="19" t="s">
        <v>7</v>
      </c>
      <c r="H137" s="20" t="s">
        <v>21</v>
      </c>
      <c r="I137" s="21">
        <v>46266</v>
      </c>
      <c r="J137" s="22">
        <f>=SUM(K137:Q137)</f>
        <v>200000</v>
      </c>
      <c r="K137" s="23">
        <v>20000</v>
      </c>
      <c r="L137" s="23">
        <v>0</v>
      </c>
      <c r="M137" s="23">
        <v>100000</v>
      </c>
      <c r="N137" s="23">
        <v>50000</v>
      </c>
      <c r="O137" s="23">
        <v>10000</v>
      </c>
      <c r="P137" s="23">
        <v>0</v>
      </c>
      <c r="Q137" s="23">
        <v>20000</v>
      </c>
      <c r="R137" s="24" t="s"/>
      <c r="S137" s="25" t="s"/>
      <c r="T137" s="25" t="s"/>
      <c r="U137" s="25" t="s"/>
      <c r="V137" s="25" t="s"/>
      <c r="W137" s="25" t="s"/>
      <c r="X137" s="25" t="s"/>
      <c r="Y137" s="25" t="s"/>
      <c r="Z137" s="23">
        <v>0</v>
      </c>
      <c r="AA137" s="23">
        <v>0</v>
      </c>
      <c r="AB137" s="25" t="s"/>
      <c r="AC137" s="26" t="s"/>
      <c r="AD137" s="23">
        <v>0</v>
      </c>
      <c r="AE137" s="23">
        <v>0</v>
      </c>
      <c r="AF137" s="23">
        <v>0</v>
      </c>
      <c r="AG137" s="23">
        <v>0</v>
      </c>
      <c r="AH137" s="23">
        <v>0</v>
      </c>
      <c r="AI137" s="23">
        <v>0</v>
      </c>
      <c r="AJ137" s="23">
        <v>0</v>
      </c>
      <c r="AK137" s="27" t="s"/>
      <c r="AL137" s="27" t="s"/>
      <c r="AM137" s="27" t="s"/>
    </row>
    <row r="138" spans="1:39" s="155" customFormat="1" ht="12.95" customHeight="1">
      <c r="A138" s="17">
        <v>999910000053</v>
      </c>
      <c r="B138" s="18" t="s">
        <v>346</v>
      </c>
      <c r="C138" s="18" t="s">
        <v>347</v>
      </c>
      <c r="D138" s="18" t="s">
        <v>348</v>
      </c>
      <c r="E138" s="18" t="s">
        <v>10</v>
      </c>
      <c r="F138" s="18" t="s">
        <v>11</v>
      </c>
      <c r="G138" s="19" t="s">
        <v>7</v>
      </c>
      <c r="H138" s="20" t="s">
        <v>21</v>
      </c>
      <c r="I138" s="21">
        <v>46266</v>
      </c>
      <c r="J138" s="22">
        <f>=SUM(K138:Q138)</f>
        <v>599823.837924528</v>
      </c>
      <c r="K138" s="23">
        <v>188762.73</v>
      </c>
      <c r="L138" s="23">
        <v>0</v>
      </c>
      <c r="M138" s="23">
        <v>188679.245283019</v>
      </c>
      <c r="N138" s="23">
        <v>80000</v>
      </c>
      <c r="O138" s="23">
        <v>20000</v>
      </c>
      <c r="P138" s="23">
        <v>94339.6226415094</v>
      </c>
      <c r="Q138" s="23">
        <v>28042.24</v>
      </c>
      <c r="R138" s="24" t="s"/>
      <c r="S138" s="25" t="s"/>
      <c r="T138" s="25" t="s"/>
      <c r="U138" s="25" t="s"/>
      <c r="V138" s="25" t="s"/>
      <c r="W138" s="25" t="s"/>
      <c r="X138" s="25" t="s"/>
      <c r="Y138" s="25" t="s"/>
      <c r="Z138" s="23">
        <v>0</v>
      </c>
      <c r="AA138" s="23">
        <v>0</v>
      </c>
      <c r="AB138" s="25" t="s"/>
      <c r="AC138" s="26" t="s"/>
      <c r="AD138" s="23">
        <v>0</v>
      </c>
      <c r="AE138" s="23">
        <v>0</v>
      </c>
      <c r="AF138" s="23">
        <v>0</v>
      </c>
      <c r="AG138" s="23">
        <v>0</v>
      </c>
      <c r="AH138" s="23">
        <v>0</v>
      </c>
      <c r="AI138" s="23">
        <v>0</v>
      </c>
      <c r="AJ138" s="23">
        <v>0</v>
      </c>
      <c r="AK138" s="27" t="s"/>
      <c r="AL138" s="27" t="s"/>
      <c r="AM138" s="27" t="s"/>
    </row>
    <row r="139" spans="1:39" s="155" customFormat="1" ht="12.95" customHeight="1">
      <c r="A139" s="17">
        <v>999910000054</v>
      </c>
      <c r="B139" s="18" t="s">
        <v>349</v>
      </c>
      <c r="C139" s="18" t="s">
        <v>347</v>
      </c>
      <c r="D139" s="18" t="s">
        <v>350</v>
      </c>
      <c r="E139" s="18" t="s">
        <v>10</v>
      </c>
      <c r="F139" s="18" t="s">
        <v>11</v>
      </c>
      <c r="G139" s="19" t="s">
        <v>7</v>
      </c>
      <c r="H139" s="20" t="s">
        <v>21</v>
      </c>
      <c r="I139" s="21">
        <v>46235</v>
      </c>
      <c r="J139" s="22">
        <f>=SUM(K139:Q139)</f>
        <v>743362.831327434</v>
      </c>
      <c r="K139" s="23">
        <v>185840.71</v>
      </c>
      <c r="L139" s="23">
        <v>0</v>
      </c>
      <c r="M139" s="23">
        <v>265486.725663717</v>
      </c>
      <c r="N139" s="23">
        <v>70796.4601769912</v>
      </c>
      <c r="O139" s="23">
        <v>17699.1150442478</v>
      </c>
      <c r="P139" s="23">
        <v>176991.150442478</v>
      </c>
      <c r="Q139" s="23">
        <v>26548.67</v>
      </c>
      <c r="R139" s="24" t="s"/>
      <c r="S139" s="25" t="s"/>
      <c r="T139" s="25" t="s"/>
      <c r="U139" s="25" t="s"/>
      <c r="V139" s="25" t="s"/>
      <c r="W139" s="25" t="s"/>
      <c r="X139" s="25" t="s"/>
      <c r="Y139" s="25" t="s"/>
      <c r="Z139" s="23">
        <v>0</v>
      </c>
      <c r="AA139" s="23">
        <v>0</v>
      </c>
      <c r="AB139" s="25" t="s"/>
      <c r="AC139" s="26" t="s"/>
      <c r="AD139" s="23">
        <v>0</v>
      </c>
      <c r="AE139" s="23">
        <v>0</v>
      </c>
      <c r="AF139" s="23">
        <v>0</v>
      </c>
      <c r="AG139" s="23">
        <v>0</v>
      </c>
      <c r="AH139" s="23">
        <v>0</v>
      </c>
      <c r="AI139" s="23">
        <v>0</v>
      </c>
      <c r="AJ139" s="23">
        <v>0</v>
      </c>
      <c r="AK139" s="27" t="s"/>
      <c r="AL139" s="27" t="s"/>
      <c r="AM139" s="27" t="s"/>
    </row>
    <row r="140" spans="1:39" s="155" customFormat="1" ht="12.95" customHeight="1">
      <c r="A140" s="17">
        <v>999910000055</v>
      </c>
      <c r="B140" s="18" t="s">
        <v>351</v>
      </c>
      <c r="C140" s="18" t="s">
        <v>347</v>
      </c>
      <c r="D140" s="18" t="s">
        <v>352</v>
      </c>
      <c r="E140" s="18" t="s">
        <v>10</v>
      </c>
      <c r="F140" s="18" t="s">
        <v>11</v>
      </c>
      <c r="G140" s="19" t="s">
        <v>7</v>
      </c>
      <c r="H140" s="20" t="s">
        <v>21</v>
      </c>
      <c r="I140" s="21">
        <v>46023</v>
      </c>
      <c r="J140" s="22">
        <f>=SUM(K140:Q140)</f>
        <v>522448.648053098</v>
      </c>
      <c r="K140" s="23">
        <v>265486.73</v>
      </c>
      <c r="L140" s="23">
        <v>0</v>
      </c>
      <c r="M140" s="23">
        <v>176991.150442478</v>
      </c>
      <c r="N140" s="23">
        <v>0</v>
      </c>
      <c r="O140" s="23">
        <v>0</v>
      </c>
      <c r="P140" s="23">
        <v>44247.7876106195</v>
      </c>
      <c r="Q140" s="23">
        <v>35722.98</v>
      </c>
      <c r="R140" s="24" t="s"/>
      <c r="S140" s="25" t="s"/>
      <c r="T140" s="25" t="s"/>
      <c r="U140" s="25" t="s"/>
      <c r="V140" s="25" t="s"/>
      <c r="W140" s="25" t="s"/>
      <c r="X140" s="25" t="s"/>
      <c r="Y140" s="25" t="s"/>
      <c r="Z140" s="23">
        <v>0</v>
      </c>
      <c r="AA140" s="23">
        <v>0</v>
      </c>
      <c r="AB140" s="25" t="s"/>
      <c r="AC140" s="26" t="s"/>
      <c r="AD140" s="23">
        <v>0</v>
      </c>
      <c r="AE140" s="23">
        <v>0</v>
      </c>
      <c r="AF140" s="23">
        <v>0</v>
      </c>
      <c r="AG140" s="23">
        <v>0</v>
      </c>
      <c r="AH140" s="23">
        <v>0</v>
      </c>
      <c r="AI140" s="23">
        <v>0</v>
      </c>
      <c r="AJ140" s="23">
        <v>0</v>
      </c>
      <c r="AK140" s="27" t="s"/>
      <c r="AL140" s="27" t="s"/>
      <c r="AM140" s="27" t="s"/>
    </row>
    <row r="141" spans="1:39" s="155" customFormat="1" ht="12.95" customHeight="1">
      <c r="A141" s="17">
        <v>999910000056</v>
      </c>
      <c r="B141" s="18" t="s">
        <v>353</v>
      </c>
      <c r="C141" s="18" t="s">
        <v>52</v>
      </c>
      <c r="D141" s="18" t="s">
        <v>354</v>
      </c>
      <c r="E141" s="18" t="s">
        <v>10</v>
      </c>
      <c r="F141" s="18" t="s">
        <v>11</v>
      </c>
      <c r="G141" s="19" t="s">
        <v>7</v>
      </c>
      <c r="H141" s="20" t="s">
        <v>21</v>
      </c>
      <c r="I141" s="21">
        <v>46386</v>
      </c>
      <c r="J141" s="22">
        <f>=SUM(K141:Q141)</f>
        <v>244931.533499489</v>
      </c>
      <c r="K141" s="23">
        <v>44247.7876106195</v>
      </c>
      <c r="L141" s="23">
        <v>0</v>
      </c>
      <c r="M141" s="23">
        <v>141509.433962264</v>
      </c>
      <c r="N141" s="23">
        <v>50000</v>
      </c>
      <c r="O141" s="23">
        <v>0</v>
      </c>
      <c r="P141" s="23">
        <v>0</v>
      </c>
      <c r="Q141" s="23">
        <v>9174.31192660551</v>
      </c>
      <c r="R141" s="24" t="s"/>
      <c r="S141" s="25" t="s"/>
      <c r="T141" s="25" t="s"/>
      <c r="U141" s="25" t="s"/>
      <c r="V141" s="25" t="s"/>
      <c r="W141" s="25" t="s"/>
      <c r="X141" s="25" t="s"/>
      <c r="Y141" s="25" t="s"/>
      <c r="Z141" s="23">
        <v>0</v>
      </c>
      <c r="AA141" s="23">
        <v>0</v>
      </c>
      <c r="AB141" s="25" t="s"/>
      <c r="AC141" s="26" t="s"/>
      <c r="AD141" s="23">
        <v>0</v>
      </c>
      <c r="AE141" s="23">
        <v>0</v>
      </c>
      <c r="AF141" s="23">
        <v>0</v>
      </c>
      <c r="AG141" s="23">
        <v>0</v>
      </c>
      <c r="AH141" s="23">
        <v>0</v>
      </c>
      <c r="AI141" s="23">
        <v>0</v>
      </c>
      <c r="AJ141" s="23">
        <v>0</v>
      </c>
      <c r="AK141" s="27" t="s"/>
      <c r="AL141" s="27" t="s"/>
      <c r="AM141" s="27" t="s"/>
    </row>
    <row r="142" spans="1:39" s="155" customFormat="1" ht="12.95" customHeight="1">
      <c r="A142" s="17">
        <v>999910000057</v>
      </c>
      <c r="B142" s="18" t="s">
        <v>355</v>
      </c>
      <c r="C142" s="18" t="s">
        <v>356</v>
      </c>
      <c r="D142" s="18" t="s">
        <v>357</v>
      </c>
      <c r="E142" s="18" t="s">
        <v>10</v>
      </c>
      <c r="F142" s="18" t="s">
        <v>11</v>
      </c>
      <c r="G142" s="19" t="s">
        <v>7</v>
      </c>
      <c r="H142" s="20" t="s">
        <v>21</v>
      </c>
      <c r="I142" s="21">
        <v>46539</v>
      </c>
      <c r="J142" s="22">
        <f>=SUM(K142:Q142)</f>
        <v>340707.96460177</v>
      </c>
      <c r="K142" s="23">
        <v>57522.1238938053</v>
      </c>
      <c r="L142" s="23">
        <v>0</v>
      </c>
      <c r="M142" s="23">
        <v>123893.805309735</v>
      </c>
      <c r="N142" s="23">
        <v>61946.9026548673</v>
      </c>
      <c r="O142" s="23">
        <v>8849.5575221239</v>
      </c>
      <c r="P142" s="23">
        <v>79646.0176991151</v>
      </c>
      <c r="Q142" s="23">
        <v>8849.5575221239</v>
      </c>
      <c r="R142" s="24" t="s"/>
      <c r="S142" s="25" t="s"/>
      <c r="T142" s="25" t="s"/>
      <c r="U142" s="25" t="s"/>
      <c r="V142" s="25" t="s"/>
      <c r="W142" s="25" t="s"/>
      <c r="X142" s="25" t="s"/>
      <c r="Y142" s="25" t="s"/>
      <c r="Z142" s="23">
        <v>0</v>
      </c>
      <c r="AA142" s="23">
        <v>0</v>
      </c>
      <c r="AB142" s="25" t="s"/>
      <c r="AC142" s="26" t="s"/>
      <c r="AD142" s="23">
        <v>0</v>
      </c>
      <c r="AE142" s="23">
        <v>0</v>
      </c>
      <c r="AF142" s="23">
        <v>0</v>
      </c>
      <c r="AG142" s="23">
        <v>0</v>
      </c>
      <c r="AH142" s="23">
        <v>0</v>
      </c>
      <c r="AI142" s="23">
        <v>0</v>
      </c>
      <c r="AJ142" s="23">
        <v>0</v>
      </c>
      <c r="AK142" s="27" t="s"/>
      <c r="AL142" s="27" t="s"/>
      <c r="AM142" s="27" t="s"/>
    </row>
    <row r="143" spans="1:39" s="155" customFormat="1" ht="12.95" customHeight="1">
      <c r="A143" s="17">
        <v>999910000058</v>
      </c>
      <c r="B143" s="18" t="s">
        <v>358</v>
      </c>
      <c r="C143" s="18" t="s">
        <v>356</v>
      </c>
      <c r="D143" s="18" t="s">
        <v>359</v>
      </c>
      <c r="E143" s="18" t="s">
        <v>10</v>
      </c>
      <c r="F143" s="18" t="s">
        <v>11</v>
      </c>
      <c r="G143" s="19" t="s">
        <v>7</v>
      </c>
      <c r="H143" s="20" t="s">
        <v>21</v>
      </c>
      <c r="I143" s="54">
        <v>46538</v>
      </c>
      <c r="J143" s="22">
        <f>=SUM(K143:Q143)</f>
        <v>326548.68</v>
      </c>
      <c r="K143" s="43">
        <v>60176.99</v>
      </c>
      <c r="L143" s="23">
        <v>0</v>
      </c>
      <c r="M143" s="43">
        <v>115929.2</v>
      </c>
      <c r="N143" s="43">
        <v>53097.35</v>
      </c>
      <c r="O143" s="43">
        <v>8849.56</v>
      </c>
      <c r="P143" s="43">
        <v>79646.02</v>
      </c>
      <c r="Q143" s="43">
        <v>8849.56</v>
      </c>
      <c r="R143" s="24" t="s"/>
      <c r="S143" s="25" t="s"/>
      <c r="T143" s="25" t="s"/>
      <c r="U143" s="25" t="s"/>
      <c r="V143" s="25" t="s"/>
      <c r="W143" s="25" t="s"/>
      <c r="X143" s="25" t="s"/>
      <c r="Y143" s="25" t="s"/>
      <c r="Z143" s="23">
        <v>0</v>
      </c>
      <c r="AA143" s="23">
        <v>0</v>
      </c>
      <c r="AB143" s="25" t="s"/>
      <c r="AC143" s="26" t="s"/>
      <c r="AD143" s="23">
        <v>0</v>
      </c>
      <c r="AE143" s="23">
        <v>0</v>
      </c>
      <c r="AF143" s="23">
        <v>0</v>
      </c>
      <c r="AG143" s="23">
        <v>0</v>
      </c>
      <c r="AH143" s="23">
        <v>0</v>
      </c>
      <c r="AI143" s="23">
        <v>0</v>
      </c>
      <c r="AJ143" s="23">
        <v>0</v>
      </c>
      <c r="AK143" s="27" t="s"/>
      <c r="AL143" s="27" t="s"/>
      <c r="AM143" s="27" t="s"/>
    </row>
    <row r="144" spans="1:39" s="155" customFormat="1" ht="12.95" customHeight="1">
      <c r="A144" s="17">
        <v>999910000059</v>
      </c>
      <c r="B144" s="18" t="s">
        <v>360</v>
      </c>
      <c r="C144" s="18" t="s">
        <v>356</v>
      </c>
      <c r="D144" s="18" t="s">
        <v>361</v>
      </c>
      <c r="E144" s="18" t="s">
        <v>10</v>
      </c>
      <c r="F144" s="18" t="s">
        <v>11</v>
      </c>
      <c r="G144" s="19" t="s">
        <v>7</v>
      </c>
      <c r="H144" s="20" t="s">
        <v>21</v>
      </c>
      <c r="I144" s="21">
        <v>46417</v>
      </c>
      <c r="J144" s="22">
        <f>=SUM(K144:Q144)</f>
        <v>416717.32</v>
      </c>
      <c r="K144" s="43">
        <v>106194.69</v>
      </c>
      <c r="L144" s="23">
        <v>0</v>
      </c>
      <c r="M144" s="43">
        <v>114150.94</v>
      </c>
      <c r="N144" s="43">
        <v>77876.11</v>
      </c>
      <c r="O144" s="23">
        <v>30000</v>
      </c>
      <c r="P144" s="43">
        <v>79646.02</v>
      </c>
      <c r="Q144" s="43">
        <v>8849.56</v>
      </c>
      <c r="R144" s="24" t="s"/>
      <c r="S144" s="25" t="s"/>
      <c r="T144" s="25" t="s"/>
      <c r="U144" s="25" t="s"/>
      <c r="V144" s="25" t="s"/>
      <c r="W144" s="25" t="s"/>
      <c r="X144" s="25" t="s"/>
      <c r="Y144" s="25" t="s"/>
      <c r="Z144" s="23">
        <v>0</v>
      </c>
      <c r="AA144" s="23">
        <v>0</v>
      </c>
      <c r="AB144" s="25" t="s"/>
      <c r="AC144" s="26" t="s"/>
      <c r="AD144" s="23">
        <v>0</v>
      </c>
      <c r="AE144" s="23">
        <v>0</v>
      </c>
      <c r="AF144" s="23">
        <v>0</v>
      </c>
      <c r="AG144" s="23">
        <v>0</v>
      </c>
      <c r="AH144" s="23">
        <v>0</v>
      </c>
      <c r="AI144" s="23">
        <v>0</v>
      </c>
      <c r="AJ144" s="23">
        <v>0</v>
      </c>
      <c r="AK144" s="27" t="s"/>
      <c r="AL144" s="27" t="s"/>
      <c r="AM144" s="27" t="s"/>
    </row>
    <row r="145" spans="1:39" s="155" customFormat="1" ht="12.95" customHeight="1">
      <c r="A145" s="17">
        <v>999910000060</v>
      </c>
      <c r="B145" s="18" t="s">
        <v>362</v>
      </c>
      <c r="C145" s="18" t="s">
        <v>182</v>
      </c>
      <c r="D145" s="18" t="s">
        <v>363</v>
      </c>
      <c r="E145" s="18" t="s">
        <v>10</v>
      </c>
      <c r="F145" s="18" t="s">
        <v>11</v>
      </c>
      <c r="G145" s="19" t="s">
        <v>7</v>
      </c>
      <c r="H145" s="20" t="s">
        <v>21</v>
      </c>
      <c r="I145" s="54">
        <v>46538</v>
      </c>
      <c r="J145" s="22">
        <f>=SUM(K145:Q145)</f>
        <v>661065.32</v>
      </c>
      <c r="K145" s="43">
        <v>107363</v>
      </c>
      <c r="L145" s="23">
        <v>0</v>
      </c>
      <c r="M145" s="43">
        <v>245283</v>
      </c>
      <c r="N145" s="23">
        <v>100000</v>
      </c>
      <c r="O145" s="23">
        <v>20000</v>
      </c>
      <c r="P145" s="43">
        <v>169811.32</v>
      </c>
      <c r="Q145" s="43">
        <v>18608</v>
      </c>
      <c r="R145" s="24" t="s"/>
      <c r="S145" s="25" t="s"/>
      <c r="T145" s="25" t="s"/>
      <c r="U145" s="25" t="s"/>
      <c r="V145" s="25" t="s"/>
      <c r="W145" s="25" t="s"/>
      <c r="X145" s="25" t="s"/>
      <c r="Y145" s="25" t="s"/>
      <c r="Z145" s="23">
        <v>0</v>
      </c>
      <c r="AA145" s="23">
        <v>0</v>
      </c>
      <c r="AB145" s="25" t="s"/>
      <c r="AC145" s="26" t="s"/>
      <c r="AD145" s="23">
        <v>0</v>
      </c>
      <c r="AE145" s="23">
        <v>0</v>
      </c>
      <c r="AF145" s="23">
        <v>0</v>
      </c>
      <c r="AG145" s="23">
        <v>0</v>
      </c>
      <c r="AH145" s="23">
        <v>0</v>
      </c>
      <c r="AI145" s="23">
        <v>0</v>
      </c>
      <c r="AJ145" s="23">
        <v>0</v>
      </c>
      <c r="AK145" s="27" t="s"/>
      <c r="AL145" s="27" t="s"/>
      <c r="AM145" s="27" t="s"/>
    </row>
    <row r="146" spans="1:39" s="155" customFormat="1" ht="12.95" customHeight="1">
      <c r="A146" s="17">
        <v>999910000061</v>
      </c>
      <c r="B146" s="18" t="s">
        <v>364</v>
      </c>
      <c r="C146" s="18" t="s">
        <v>4</v>
      </c>
      <c r="D146" s="18" t="s">
        <v>4</v>
      </c>
      <c r="E146" s="18" t="s">
        <v>4</v>
      </c>
      <c r="F146" s="18" t="s">
        <v>59</v>
      </c>
      <c r="G146" s="19" t="s">
        <v>365</v>
      </c>
      <c r="H146" s="20" t="s">
        <v>4</v>
      </c>
      <c r="I146" s="21" t="s">
        <v>7</v>
      </c>
      <c r="J146" s="22">
        <f>=SUM(K146:Q146)</f>
        <v>0</v>
      </c>
      <c r="K146" s="23">
        <v>0</v>
      </c>
      <c r="L146" s="23">
        <v>0</v>
      </c>
      <c r="M146" s="23">
        <v>0</v>
      </c>
      <c r="N146" s="23">
        <v>0</v>
      </c>
      <c r="O146" s="23">
        <v>0</v>
      </c>
      <c r="P146" s="23">
        <v>0</v>
      </c>
      <c r="Q146" s="23">
        <v>0</v>
      </c>
      <c r="R146" s="24" t="s"/>
      <c r="S146" s="25" t="s"/>
      <c r="T146" s="25" t="s"/>
      <c r="U146" s="25" t="s"/>
      <c r="V146" s="25" t="s"/>
      <c r="W146" s="25" t="s"/>
      <c r="X146" s="25" t="s"/>
      <c r="Y146" s="25" t="s"/>
      <c r="Z146" s="23">
        <v>0</v>
      </c>
      <c r="AA146" s="23">
        <v>0</v>
      </c>
      <c r="AB146" s="25" t="s"/>
      <c r="AC146" s="26" t="s"/>
      <c r="AD146" s="23">
        <v>0</v>
      </c>
      <c r="AE146" s="23">
        <v>0</v>
      </c>
      <c r="AF146" s="23">
        <v>0</v>
      </c>
      <c r="AG146" s="23">
        <v>0</v>
      </c>
      <c r="AH146" s="23">
        <v>0</v>
      </c>
      <c r="AI146" s="23">
        <v>0</v>
      </c>
      <c r="AJ146" s="23">
        <v>0</v>
      </c>
      <c r="AK146" s="27" t="s"/>
      <c r="AL146" s="27" t="s"/>
      <c r="AM146" s="27" t="s"/>
    </row>
    <row r="147" spans="1:39" s="155" customFormat="1" ht="12.95" customHeight="1">
      <c r="A147" s="17">
        <v>999910000062</v>
      </c>
      <c r="B147" s="18" t="s">
        <v>366</v>
      </c>
      <c r="C147" s="18" t="s">
        <v>23</v>
      </c>
      <c r="D147" s="18" t="s">
        <v>367</v>
      </c>
      <c r="E147" s="18" t="s">
        <v>14</v>
      </c>
      <c r="F147" s="18" t="s">
        <v>26</v>
      </c>
      <c r="G147" s="19" t="s">
        <v>7</v>
      </c>
      <c r="H147" s="20" t="s">
        <v>27</v>
      </c>
      <c r="I147" s="21">
        <v>46172</v>
      </c>
      <c r="J147" s="22">
        <f>=SUM(K147:Q147)</f>
        <v>14859145.8732839</v>
      </c>
      <c r="K147" s="23">
        <v>8033545.8732839</v>
      </c>
      <c r="L147" s="23">
        <v>2758320</v>
      </c>
      <c r="M147" s="23">
        <v>1377280</v>
      </c>
      <c r="N147" s="23">
        <v>590000</v>
      </c>
      <c r="O147" s="23">
        <v>50000</v>
      </c>
      <c r="P147" s="23">
        <v>2000000</v>
      </c>
      <c r="Q147" s="23">
        <v>50000</v>
      </c>
      <c r="R147" s="24" t="s"/>
      <c r="S147" s="25" t="s"/>
      <c r="T147" s="25" t="s"/>
      <c r="U147" s="25" t="s"/>
      <c r="V147" s="25" t="s"/>
      <c r="W147" s="25" t="s"/>
      <c r="X147" s="25" t="s"/>
      <c r="Y147" s="25" t="s"/>
      <c r="Z147" s="23">
        <v>54000</v>
      </c>
      <c r="AA147" s="23">
        <v>0</v>
      </c>
      <c r="AB147" s="25" t="s"/>
      <c r="AC147" s="26" t="s"/>
      <c r="AD147" s="23">
        <v>2629567.34</v>
      </c>
      <c r="AE147" s="23">
        <v>1762152.61</v>
      </c>
      <c r="AF147" s="23">
        <v>59662.42</v>
      </c>
      <c r="AG147" s="23">
        <v>197720.29</v>
      </c>
      <c r="AH147" s="23">
        <v>4730</v>
      </c>
      <c r="AI147" s="23">
        <v>1554840</v>
      </c>
      <c r="AJ147" s="23">
        <v>11521.63</v>
      </c>
      <c r="AK147" s="27" t="s"/>
      <c r="AL147" s="27" t="s"/>
      <c r="AM147" s="27" t="s"/>
    </row>
    <row r="148" spans="1:39" s="155" customFormat="1" ht="12.95" customHeight="1">
      <c r="A148" s="17">
        <v>999910000063</v>
      </c>
      <c r="B148" s="18" t="s">
        <v>368</v>
      </c>
      <c r="C148" s="18" t="s">
        <v>23</v>
      </c>
      <c r="D148" s="18" t="s">
        <v>369</v>
      </c>
      <c r="E148" s="18" t="s">
        <v>14</v>
      </c>
      <c r="F148" s="18" t="s">
        <v>26</v>
      </c>
      <c r="G148" s="19" t="s">
        <v>7</v>
      </c>
      <c r="H148" s="20" t="s">
        <v>27</v>
      </c>
      <c r="I148" s="21">
        <v>46291</v>
      </c>
      <c r="J148" s="22">
        <f>=SUM(K148:Q148)</f>
        <v>13482949</v>
      </c>
      <c r="K148" s="23">
        <v>7041929</v>
      </c>
      <c r="L148" s="23">
        <v>2841520</v>
      </c>
      <c r="M148" s="23">
        <v>756000</v>
      </c>
      <c r="N148" s="23">
        <v>180000</v>
      </c>
      <c r="O148" s="23">
        <v>180000</v>
      </c>
      <c r="P148" s="23">
        <v>2443500</v>
      </c>
      <c r="Q148" s="23">
        <v>40000</v>
      </c>
      <c r="R148" s="24" t="s"/>
      <c r="S148" s="25" t="s"/>
      <c r="T148" s="25" t="s"/>
      <c r="U148" s="25" t="s"/>
      <c r="V148" s="25" t="s"/>
      <c r="W148" s="25" t="s"/>
      <c r="X148" s="25" t="s"/>
      <c r="Y148" s="25" t="s"/>
      <c r="Z148" s="23">
        <v>1741314</v>
      </c>
      <c r="AA148" s="23">
        <v>0</v>
      </c>
      <c r="AB148" s="25" t="s"/>
      <c r="AC148" s="26" t="s"/>
      <c r="AD148" s="23">
        <v>52030.9</v>
      </c>
      <c r="AE148" s="23">
        <v>950919.41</v>
      </c>
      <c r="AF148" s="23">
        <v>92085.44</v>
      </c>
      <c r="AG148" s="23">
        <v>31568.53</v>
      </c>
      <c r="AH148" s="23">
        <v>3631</v>
      </c>
      <c r="AI148" s="23">
        <v>2928000</v>
      </c>
      <c r="AJ148" s="23">
        <v>7212.85</v>
      </c>
      <c r="AK148" s="27" t="s"/>
      <c r="AL148" s="27" t="s"/>
      <c r="AM148" s="27" t="s"/>
    </row>
    <row r="149" spans="1:39" s="155" customFormat="1" ht="12.95" customHeight="1">
      <c r="A149" s="17">
        <v>999910000064</v>
      </c>
      <c r="B149" s="18" t="s">
        <v>370</v>
      </c>
      <c r="C149" s="18" t="s">
        <v>371</v>
      </c>
      <c r="D149" s="18" t="s">
        <v>153</v>
      </c>
      <c r="E149" s="18" t="s">
        <v>14</v>
      </c>
      <c r="F149" s="18" t="s">
        <v>372</v>
      </c>
      <c r="G149" s="19" t="s">
        <v>7</v>
      </c>
      <c r="H149" s="20" t="s">
        <v>21</v>
      </c>
      <c r="I149" s="21">
        <v>46172</v>
      </c>
      <c r="J149" s="22">
        <f>=SUM(K149:Q149)</f>
        <v>6428630</v>
      </c>
      <c r="K149" s="23">
        <v>1220800</v>
      </c>
      <c r="L149" s="23">
        <v>2826080</v>
      </c>
      <c r="M149" s="23">
        <v>400000</v>
      </c>
      <c r="N149" s="23">
        <v>200000</v>
      </c>
      <c r="O149" s="23">
        <v>80000</v>
      </c>
      <c r="P149" s="23">
        <v>1686750</v>
      </c>
      <c r="Q149" s="23">
        <v>15000</v>
      </c>
      <c r="R149" s="24" t="s"/>
      <c r="S149" s="25" t="s"/>
      <c r="T149" s="25" t="s"/>
      <c r="U149" s="25" t="s"/>
      <c r="V149" s="25" t="s"/>
      <c r="W149" s="25" t="s"/>
      <c r="X149" s="25" t="s"/>
      <c r="Y149" s="25" t="s"/>
      <c r="Z149" s="23">
        <v>977134</v>
      </c>
      <c r="AA149" s="23">
        <v>0</v>
      </c>
      <c r="AB149" s="25" t="s"/>
      <c r="AC149" s="26" t="s"/>
      <c r="AD149" s="23">
        <v>405397.12</v>
      </c>
      <c r="AE149" s="23">
        <v>1692444.17</v>
      </c>
      <c r="AF149" s="23">
        <v>11119.24</v>
      </c>
      <c r="AG149" s="23">
        <v>60244.73</v>
      </c>
      <c r="AH149" s="23">
        <v>6888.8</v>
      </c>
      <c r="AI149" s="23">
        <v>1443300</v>
      </c>
      <c r="AJ149" s="23">
        <v>7785.94</v>
      </c>
      <c r="AK149" s="27" t="s"/>
      <c r="AL149" s="27" t="s"/>
      <c r="AM149" s="27" t="s"/>
    </row>
    <row r="150" spans="1:39" s="155" customFormat="1" ht="12.95" customHeight="1">
      <c r="A150" s="17">
        <v>999910000065</v>
      </c>
      <c r="B150" s="18" t="s">
        <v>373</v>
      </c>
      <c r="C150" s="18" t="s">
        <v>23</v>
      </c>
      <c r="D150" s="18" t="s">
        <v>374</v>
      </c>
      <c r="E150" s="18" t="s">
        <v>14</v>
      </c>
      <c r="F150" s="18" t="s">
        <v>26</v>
      </c>
      <c r="G150" s="19" t="s">
        <v>7</v>
      </c>
      <c r="H150" s="20" t="s">
        <v>27</v>
      </c>
      <c r="I150" s="21">
        <v>46276</v>
      </c>
      <c r="J150" s="22">
        <f>=SUM(K150:Q150)</f>
        <v>7590056</v>
      </c>
      <c r="K150" s="23">
        <v>1011211</v>
      </c>
      <c r="L150" s="23">
        <v>3028125</v>
      </c>
      <c r="M150" s="23">
        <v>800720</v>
      </c>
      <c r="N150" s="23">
        <v>200000</v>
      </c>
      <c r="O150" s="23">
        <v>100000</v>
      </c>
      <c r="P150" s="23">
        <v>2400000</v>
      </c>
      <c r="Q150" s="23">
        <v>50000</v>
      </c>
      <c r="R150" s="24" t="s"/>
      <c r="S150" s="25" t="s"/>
      <c r="T150" s="25" t="s"/>
      <c r="U150" s="25" t="s"/>
      <c r="V150" s="25" t="s"/>
      <c r="W150" s="25" t="s"/>
      <c r="X150" s="25" t="s"/>
      <c r="Y150" s="25" t="s"/>
      <c r="Z150" s="23">
        <v>80000</v>
      </c>
      <c r="AA150" s="23">
        <v>0</v>
      </c>
      <c r="AB150" s="25" t="s"/>
      <c r="AC150" s="26" t="s"/>
      <c r="AD150" s="23">
        <v>218481.37</v>
      </c>
      <c r="AE150" s="23">
        <v>1120702.41</v>
      </c>
      <c r="AF150" s="23">
        <v>160332.82</v>
      </c>
      <c r="AG150" s="23">
        <v>155561.08</v>
      </c>
      <c r="AH150" s="23">
        <v>643</v>
      </c>
      <c r="AI150" s="23">
        <v>1700000</v>
      </c>
      <c r="AJ150" s="23">
        <v>3225.55</v>
      </c>
      <c r="AK150" s="27" t="s"/>
      <c r="AL150" s="27" t="s"/>
      <c r="AM150" s="27" t="s"/>
    </row>
    <row r="151" spans="1:39" s="155" customFormat="1" ht="12.95" customHeight="1">
      <c r="A151" s="17">
        <v>999910000066</v>
      </c>
      <c r="B151" s="18" t="s">
        <v>375</v>
      </c>
      <c r="C151" s="18" t="s">
        <v>376</v>
      </c>
      <c r="D151" s="18" t="s">
        <v>377</v>
      </c>
      <c r="E151" s="18" t="s">
        <v>378</v>
      </c>
      <c r="F151" s="18" t="s">
        <v>59</v>
      </c>
      <c r="G151" s="19" t="s">
        <v>7</v>
      </c>
      <c r="H151" s="20" t="s">
        <v>21</v>
      </c>
      <c r="I151" s="21">
        <v>46327</v>
      </c>
      <c r="J151" s="22">
        <f>=SUM(K151:Q151)</f>
        <v>7217225.604</v>
      </c>
      <c r="K151" s="23">
        <v>2147200</v>
      </c>
      <c r="L151" s="23">
        <v>2102688</v>
      </c>
      <c r="M151" s="23">
        <v>2236220</v>
      </c>
      <c r="N151" s="23">
        <v>353470</v>
      </c>
      <c r="O151" s="23">
        <v>90000</v>
      </c>
      <c r="P151" s="23">
        <v>91600</v>
      </c>
      <c r="Q151" s="23">
        <v>196047.604</v>
      </c>
      <c r="R151" s="24" t="s"/>
      <c r="S151" s="25" t="s"/>
      <c r="T151" s="25" t="s"/>
      <c r="U151" s="25" t="s"/>
      <c r="V151" s="25" t="s"/>
      <c r="W151" s="25" t="s"/>
      <c r="X151" s="25" t="s"/>
      <c r="Y151" s="25" t="s"/>
      <c r="Z151" s="23">
        <v>0</v>
      </c>
      <c r="AA151" s="23">
        <v>0</v>
      </c>
      <c r="AB151" s="25" t="s"/>
      <c r="AC151" s="26" t="s"/>
      <c r="AD151" s="23">
        <v>210351.52</v>
      </c>
      <c r="AE151" s="23">
        <v>1127310.88</v>
      </c>
      <c r="AF151" s="23">
        <v>32468.04</v>
      </c>
      <c r="AG151" s="23">
        <v>90176.71</v>
      </c>
      <c r="AH151" s="23">
        <v>11092</v>
      </c>
      <c r="AI151" s="23">
        <v>0</v>
      </c>
      <c r="AJ151" s="23">
        <v>1598.02</v>
      </c>
      <c r="AK151" s="27" t="s"/>
      <c r="AL151" s="27" t="s"/>
      <c r="AM151" s="27" t="s"/>
    </row>
    <row r="152" spans="1:39" s="155" customFormat="1" ht="12.95" customHeight="1">
      <c r="A152" s="17">
        <v>999910000067</v>
      </c>
      <c r="B152" s="18" t="s">
        <v>379</v>
      </c>
      <c r="C152" s="18" t="s">
        <v>376</v>
      </c>
      <c r="D152" s="18" t="s">
        <v>377</v>
      </c>
      <c r="E152" s="18" t="s">
        <v>380</v>
      </c>
      <c r="F152" s="18" t="s">
        <v>59</v>
      </c>
      <c r="G152" s="19" t="s">
        <v>7</v>
      </c>
      <c r="H152" s="20" t="s">
        <v>21</v>
      </c>
      <c r="I152" s="21">
        <v>46327</v>
      </c>
      <c r="J152" s="22">
        <f>=SUM(K152:Q152)</f>
        <v>11957933.0507258</v>
      </c>
      <c r="K152" s="23">
        <v>2533083.78405909</v>
      </c>
      <c r="L152" s="23">
        <v>2394288</v>
      </c>
      <c r="M152" s="23">
        <v>2780220</v>
      </c>
      <c r="N152" s="23">
        <v>353470</v>
      </c>
      <c r="O152" s="23">
        <v>90000</v>
      </c>
      <c r="P152" s="23">
        <v>3610000</v>
      </c>
      <c r="Q152" s="23">
        <v>196871.266666667</v>
      </c>
      <c r="R152" s="24" t="s"/>
      <c r="S152" s="25" t="s"/>
      <c r="T152" s="25" t="s"/>
      <c r="U152" s="25" t="s"/>
      <c r="V152" s="25" t="s"/>
      <c r="W152" s="25" t="s"/>
      <c r="X152" s="25" t="s"/>
      <c r="Y152" s="25" t="s"/>
      <c r="Z152" s="23">
        <v>70000</v>
      </c>
      <c r="AA152" s="23">
        <v>0</v>
      </c>
      <c r="AB152" s="25" t="s"/>
      <c r="AC152" s="26" t="s"/>
      <c r="AD152" s="23">
        <v>308956.65</v>
      </c>
      <c r="AE152" s="23">
        <v>1769391.64</v>
      </c>
      <c r="AF152" s="23">
        <v>774688.26</v>
      </c>
      <c r="AG152" s="23">
        <v>64754</v>
      </c>
      <c r="AH152" s="23">
        <v>17215.31</v>
      </c>
      <c r="AI152" s="23">
        <v>240000</v>
      </c>
      <c r="AJ152" s="23">
        <v>11876.54</v>
      </c>
      <c r="AK152" s="27" t="s"/>
      <c r="AL152" s="27" t="s"/>
      <c r="AM152" s="27" t="s"/>
    </row>
    <row r="153" spans="1:39" s="155" customFormat="1" ht="12.95" customHeight="1">
      <c r="A153" s="17">
        <v>999910000068</v>
      </c>
      <c r="B153" s="18" t="s">
        <v>381</v>
      </c>
      <c r="C153" s="18" t="s">
        <v>4</v>
      </c>
      <c r="D153" s="18" t="s">
        <v>4</v>
      </c>
      <c r="E153" s="18" t="s">
        <v>4</v>
      </c>
      <c r="F153" s="18" t="s">
        <v>59</v>
      </c>
      <c r="G153" s="19" t="s">
        <v>365</v>
      </c>
      <c r="H153" s="20" t="s">
        <v>4</v>
      </c>
      <c r="I153" s="21" t="s">
        <v>7</v>
      </c>
      <c r="J153" s="22">
        <f>=SUM(K153:Q153)</f>
        <v>0</v>
      </c>
      <c r="K153" s="23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23">
        <v>0</v>
      </c>
      <c r="R153" s="24" t="s"/>
      <c r="S153" s="25" t="s"/>
      <c r="T153" s="25" t="s"/>
      <c r="U153" s="25" t="s"/>
      <c r="V153" s="25" t="s"/>
      <c r="W153" s="25" t="s"/>
      <c r="X153" s="25" t="s"/>
      <c r="Y153" s="25" t="s"/>
      <c r="Z153" s="23">
        <v>0</v>
      </c>
      <c r="AA153" s="23">
        <v>0</v>
      </c>
      <c r="AB153" s="25" t="s"/>
      <c r="AC153" s="26" t="s"/>
      <c r="AD153" s="23">
        <v>0</v>
      </c>
      <c r="AE153" s="23">
        <v>0</v>
      </c>
      <c r="AF153" s="23">
        <v>0</v>
      </c>
      <c r="AG153" s="23">
        <v>0</v>
      </c>
      <c r="AH153" s="23">
        <v>0</v>
      </c>
      <c r="AI153" s="23">
        <v>0</v>
      </c>
      <c r="AJ153" s="23">
        <v>0</v>
      </c>
      <c r="AK153" s="27" t="s"/>
      <c r="AL153" s="27" t="s"/>
      <c r="AM153" s="27" t="s"/>
    </row>
    <row r="154" spans="1:39" s="155" customFormat="1" ht="12.95" customHeight="1">
      <c r="A154" s="17">
        <v>999910000069</v>
      </c>
      <c r="B154" s="18" t="s">
        <v>382</v>
      </c>
      <c r="C154" s="18" t="s">
        <v>23</v>
      </c>
      <c r="D154" s="18" t="s">
        <v>383</v>
      </c>
      <c r="E154" s="18" t="s">
        <v>14</v>
      </c>
      <c r="F154" s="18" t="s">
        <v>59</v>
      </c>
      <c r="G154" s="19" t="s">
        <v>7</v>
      </c>
      <c r="H154" s="20" t="s">
        <v>21</v>
      </c>
      <c r="I154" s="21">
        <v>45870</v>
      </c>
      <c r="J154" s="22">
        <f>=SUM(K154:Q154)</f>
        <v>910000</v>
      </c>
      <c r="K154" s="23">
        <v>280000</v>
      </c>
      <c r="L154" s="23">
        <v>0</v>
      </c>
      <c r="M154" s="23">
        <v>520000</v>
      </c>
      <c r="N154" s="23">
        <v>55000</v>
      </c>
      <c r="O154" s="23">
        <v>35000</v>
      </c>
      <c r="P154" s="23">
        <v>0</v>
      </c>
      <c r="Q154" s="23">
        <v>20000</v>
      </c>
      <c r="R154" s="24" t="s"/>
      <c r="S154" s="25" t="s"/>
      <c r="T154" s="25" t="s"/>
      <c r="U154" s="25" t="s"/>
      <c r="V154" s="25" t="s"/>
      <c r="W154" s="25" t="s"/>
      <c r="X154" s="25" t="s"/>
      <c r="Y154" s="25" t="s"/>
      <c r="Z154" s="23">
        <v>0</v>
      </c>
      <c r="AA154" s="23">
        <v>0</v>
      </c>
      <c r="AB154" s="25" t="s"/>
      <c r="AC154" s="26" t="s"/>
      <c r="AD154" s="23">
        <v>53636.36</v>
      </c>
      <c r="AE154" s="23">
        <v>0</v>
      </c>
      <c r="AF154" s="23">
        <v>5471.7</v>
      </c>
      <c r="AG154" s="23">
        <v>3600</v>
      </c>
      <c r="AH154" s="23">
        <v>0</v>
      </c>
      <c r="AI154" s="23">
        <v>0</v>
      </c>
      <c r="AJ154" s="23">
        <v>0</v>
      </c>
      <c r="AK154" s="27" t="s"/>
      <c r="AL154" s="27" t="s"/>
      <c r="AM154" s="27" t="s"/>
    </row>
    <row r="155" spans="1:39" s="155" customFormat="1" ht="12.95" customHeight="1">
      <c r="A155" s="17">
        <v>999910000070</v>
      </c>
      <c r="B155" s="18" t="s">
        <v>384</v>
      </c>
      <c r="C155" s="18" t="s">
        <v>37</v>
      </c>
      <c r="D155" s="18" t="s">
        <v>331</v>
      </c>
      <c r="E155" s="18" t="s">
        <v>14</v>
      </c>
      <c r="F155" s="18" t="s">
        <v>59</v>
      </c>
      <c r="G155" s="19" t="s">
        <v>7</v>
      </c>
      <c r="H155" s="20" t="s">
        <v>21</v>
      </c>
      <c r="I155" s="21">
        <v>46258</v>
      </c>
      <c r="J155" s="22">
        <f>=SUM(K155:Q155)</f>
        <v>5085039.70365111</v>
      </c>
      <c r="K155" s="23">
        <v>696272.846508247</v>
      </c>
      <c r="L155" s="23">
        <v>2891766.85714286</v>
      </c>
      <c r="M155" s="23">
        <v>772000</v>
      </c>
      <c r="N155" s="23">
        <v>500000</v>
      </c>
      <c r="O155" s="23">
        <v>125000</v>
      </c>
      <c r="P155" s="23">
        <v>0</v>
      </c>
      <c r="Q155" s="23">
        <v>100000</v>
      </c>
      <c r="R155" s="24" t="s"/>
      <c r="S155" s="25" t="s"/>
      <c r="T155" s="25" t="s"/>
      <c r="U155" s="25" t="s"/>
      <c r="V155" s="25" t="s"/>
      <c r="W155" s="25" t="s"/>
      <c r="X155" s="25" t="s"/>
      <c r="Y155" s="25" t="s"/>
      <c r="Z155" s="23">
        <v>29000</v>
      </c>
      <c r="AA155" s="23">
        <v>0</v>
      </c>
      <c r="AB155" s="25" t="s"/>
      <c r="AC155" s="26" t="s"/>
      <c r="AD155" s="23">
        <v>2554.66</v>
      </c>
      <c r="AE155" s="23">
        <v>362507.93</v>
      </c>
      <c r="AF155" s="23">
        <v>4614</v>
      </c>
      <c r="AG155" s="23">
        <v>16307.77</v>
      </c>
      <c r="AH155" s="23">
        <v>893</v>
      </c>
      <c r="AI155" s="23">
        <v>0</v>
      </c>
      <c r="AJ155" s="23">
        <v>550.47</v>
      </c>
      <c r="AK155" s="27" t="s"/>
      <c r="AL155" s="27" t="s"/>
      <c r="AM155" s="27" t="s"/>
    </row>
    <row r="156" spans="1:39" s="155" customFormat="1" ht="12.95" customHeight="1">
      <c r="A156" s="17">
        <v>999910000071</v>
      </c>
      <c r="B156" s="55" t="s">
        <v>385</v>
      </c>
      <c r="C156" s="18" t="s">
        <v>168</v>
      </c>
      <c r="D156" s="18" t="s">
        <v>4</v>
      </c>
      <c r="E156" s="18" t="s">
        <v>4</v>
      </c>
      <c r="F156" s="18" t="s">
        <v>59</v>
      </c>
      <c r="G156" s="19" t="s">
        <v>290</v>
      </c>
      <c r="H156" s="20" t="s">
        <v>4</v>
      </c>
      <c r="I156" s="21" t="s">
        <v>7</v>
      </c>
      <c r="J156" s="22">
        <f>=SUM(K156:Q156)</f>
        <v>0</v>
      </c>
      <c r="K156" s="23">
        <v>0</v>
      </c>
      <c r="L156" s="23">
        <v>0</v>
      </c>
      <c r="M156" s="23">
        <v>0</v>
      </c>
      <c r="N156" s="23">
        <v>0</v>
      </c>
      <c r="O156" s="23">
        <v>0</v>
      </c>
      <c r="P156" s="23">
        <v>0</v>
      </c>
      <c r="Q156" s="23">
        <v>0</v>
      </c>
      <c r="R156" s="24" t="s"/>
      <c r="S156" s="25" t="s"/>
      <c r="T156" s="25" t="s"/>
      <c r="U156" s="25" t="s"/>
      <c r="V156" s="25" t="s"/>
      <c r="W156" s="25" t="s"/>
      <c r="X156" s="25" t="s"/>
      <c r="Y156" s="25" t="s"/>
      <c r="Z156" s="23">
        <v>0</v>
      </c>
      <c r="AA156" s="23">
        <v>0</v>
      </c>
      <c r="AB156" s="25" t="s"/>
      <c r="AC156" s="26" t="s"/>
      <c r="AD156" s="23">
        <v>0</v>
      </c>
      <c r="AE156" s="23">
        <v>0</v>
      </c>
      <c r="AF156" s="23">
        <v>0</v>
      </c>
      <c r="AG156" s="23">
        <v>0</v>
      </c>
      <c r="AH156" s="23">
        <v>0</v>
      </c>
      <c r="AI156" s="23">
        <v>0</v>
      </c>
      <c r="AJ156" s="23">
        <v>0</v>
      </c>
      <c r="AK156" s="27" t="s"/>
      <c r="AL156" s="27" t="s"/>
      <c r="AM156" s="27" t="s"/>
    </row>
    <row r="157" spans="1:39" s="155" customFormat="1" ht="12.95" customHeight="1">
      <c r="A157" s="17">
        <v>999910000072</v>
      </c>
      <c r="B157" s="18" t="s">
        <v>386</v>
      </c>
      <c r="C157" s="18" t="s">
        <v>371</v>
      </c>
      <c r="D157" s="18" t="s">
        <v>387</v>
      </c>
      <c r="E157" s="18" t="s">
        <v>14</v>
      </c>
      <c r="F157" s="18" t="s">
        <v>372</v>
      </c>
      <c r="G157" s="19" t="s">
        <v>7</v>
      </c>
      <c r="H157" s="20" t="s">
        <v>21</v>
      </c>
      <c r="I157" s="21">
        <v>46388</v>
      </c>
      <c r="J157" s="22">
        <f>=SUM(K157:Q157)</f>
        <v>6393510.43489371</v>
      </c>
      <c r="K157" s="23">
        <v>983768.274179422</v>
      </c>
      <c r="L157" s="23">
        <v>2178668.5</v>
      </c>
      <c r="M157" s="23">
        <v>800000</v>
      </c>
      <c r="N157" s="23">
        <v>420000</v>
      </c>
      <c r="O157" s="23">
        <v>105000</v>
      </c>
      <c r="P157" s="23">
        <v>1796073.66071429</v>
      </c>
      <c r="Q157" s="23">
        <v>110000</v>
      </c>
      <c r="R157" s="24" t="s"/>
      <c r="S157" s="25" t="s"/>
      <c r="T157" s="25" t="s"/>
      <c r="U157" s="25" t="s"/>
      <c r="V157" s="25" t="s"/>
      <c r="W157" s="25" t="s"/>
      <c r="X157" s="25" t="s"/>
      <c r="Y157" s="25" t="s"/>
      <c r="Z157" s="23">
        <v>595000</v>
      </c>
      <c r="AA157" s="23">
        <v>0</v>
      </c>
      <c r="AB157" s="25" t="s"/>
      <c r="AC157" s="26" t="s"/>
      <c r="AD157" s="23">
        <v>410</v>
      </c>
      <c r="AE157" s="23">
        <v>80794.8</v>
      </c>
      <c r="AF157" s="23">
        <v>0</v>
      </c>
      <c r="AG157" s="23">
        <v>3882.63</v>
      </c>
      <c r="AH157" s="23">
        <v>0</v>
      </c>
      <c r="AI157" s="23">
        <v>0</v>
      </c>
      <c r="AJ157" s="23">
        <v>0</v>
      </c>
      <c r="AK157" s="27" t="s"/>
      <c r="AL157" s="27" t="s"/>
      <c r="AM157" s="27" t="s"/>
    </row>
    <row r="158" spans="1:39" s="155" customFormat="1" ht="12.95" customHeight="1">
      <c r="A158" s="17">
        <v>999910000073</v>
      </c>
      <c r="B158" s="18" t="s">
        <v>388</v>
      </c>
      <c r="C158" s="18" t="s">
        <v>4</v>
      </c>
      <c r="D158" s="18" t="s">
        <v>389</v>
      </c>
      <c r="E158" s="18" t="s">
        <v>4</v>
      </c>
      <c r="F158" s="18" t="s">
        <v>59</v>
      </c>
      <c r="G158" s="19" t="s">
        <v>365</v>
      </c>
      <c r="H158" s="20" t="s">
        <v>4</v>
      </c>
      <c r="I158" s="21" t="s">
        <v>7</v>
      </c>
      <c r="J158" s="22">
        <f>=SUM(K158:Q158)</f>
        <v>0</v>
      </c>
      <c r="K158" s="23">
        <v>0</v>
      </c>
      <c r="L158" s="23">
        <v>0</v>
      </c>
      <c r="M158" s="23">
        <v>0</v>
      </c>
      <c r="N158" s="23">
        <v>0</v>
      </c>
      <c r="O158" s="23">
        <v>0</v>
      </c>
      <c r="P158" s="23">
        <v>0</v>
      </c>
      <c r="Q158" s="23">
        <v>0</v>
      </c>
      <c r="R158" s="24" t="s"/>
      <c r="S158" s="25" t="s"/>
      <c r="T158" s="25" t="s"/>
      <c r="U158" s="25" t="s"/>
      <c r="V158" s="25" t="s"/>
      <c r="W158" s="25" t="s"/>
      <c r="X158" s="25" t="s"/>
      <c r="Y158" s="25" t="s"/>
      <c r="Z158" s="23">
        <v>0</v>
      </c>
      <c r="AA158" s="23">
        <v>0</v>
      </c>
      <c r="AB158" s="25" t="s"/>
      <c r="AC158" s="26" t="s"/>
      <c r="AD158" s="23">
        <v>0</v>
      </c>
      <c r="AE158" s="23">
        <v>0</v>
      </c>
      <c r="AF158" s="23">
        <v>0</v>
      </c>
      <c r="AG158" s="23">
        <v>0</v>
      </c>
      <c r="AH158" s="23">
        <v>0</v>
      </c>
      <c r="AI158" s="23">
        <v>0</v>
      </c>
      <c r="AJ158" s="23">
        <v>0</v>
      </c>
      <c r="AK158" s="27" t="s"/>
      <c r="AL158" s="27" t="s"/>
      <c r="AM158" s="27" t="s"/>
    </row>
    <row r="159" spans="1:39" s="155" customFormat="1" ht="12.95" customHeight="1">
      <c r="A159" s="17">
        <v>999910000074</v>
      </c>
      <c r="B159" s="18" t="s">
        <v>390</v>
      </c>
      <c r="C159" s="18" t="s">
        <v>23</v>
      </c>
      <c r="D159" s="18" t="s">
        <v>391</v>
      </c>
      <c r="E159" s="18" t="s">
        <v>135</v>
      </c>
      <c r="F159" s="18" t="s">
        <v>26</v>
      </c>
      <c r="G159" s="19" t="s">
        <v>7</v>
      </c>
      <c r="H159" s="20" t="s">
        <v>27</v>
      </c>
      <c r="I159" s="21">
        <v>46405</v>
      </c>
      <c r="J159" s="22">
        <f>=SUM(K159:Q159)</f>
        <v>14492012.3333333</v>
      </c>
      <c r="K159" s="23">
        <v>546030</v>
      </c>
      <c r="L159" s="23">
        <v>6233757.33333333</v>
      </c>
      <c r="M159" s="23">
        <v>5167870</v>
      </c>
      <c r="N159" s="23">
        <v>200000</v>
      </c>
      <c r="O159" s="23">
        <v>50000</v>
      </c>
      <c r="P159" s="23">
        <v>1864355</v>
      </c>
      <c r="Q159" s="23">
        <v>430000</v>
      </c>
      <c r="R159" s="24" t="s"/>
      <c r="S159" s="25" t="s"/>
      <c r="T159" s="25" t="s"/>
      <c r="U159" s="25" t="s"/>
      <c r="V159" s="25" t="s"/>
      <c r="W159" s="25" t="s"/>
      <c r="X159" s="25" t="s"/>
      <c r="Y159" s="25" t="s"/>
      <c r="Z159" s="23">
        <v>74148</v>
      </c>
      <c r="AA159" s="23">
        <v>0</v>
      </c>
      <c r="AB159" s="25" t="s"/>
      <c r="AC159" s="26" t="s"/>
      <c r="AD159" s="23">
        <v>133657</v>
      </c>
      <c r="AE159" s="23">
        <v>291819.15</v>
      </c>
      <c r="AF159" s="23">
        <v>0</v>
      </c>
      <c r="AG159" s="23">
        <v>17474.33</v>
      </c>
      <c r="AH159" s="23">
        <v>0</v>
      </c>
      <c r="AI159" s="23">
        <v>751730</v>
      </c>
      <c r="AJ159" s="23">
        <v>262</v>
      </c>
      <c r="AK159" s="27" t="s"/>
      <c r="AL159" s="27" t="s"/>
      <c r="AM159" s="27" t="s"/>
    </row>
    <row r="160" spans="1:39" s="155" customFormat="1" ht="12.95" customHeight="1">
      <c r="A160" s="17">
        <v>999910000075</v>
      </c>
      <c r="B160" s="18" t="s">
        <v>392</v>
      </c>
      <c r="C160" s="18" t="s">
        <v>376</v>
      </c>
      <c r="D160" s="18" t="s">
        <v>393</v>
      </c>
      <c r="E160" s="18" t="s">
        <v>14</v>
      </c>
      <c r="F160" s="18" t="s">
        <v>59</v>
      </c>
      <c r="G160" s="19" t="s">
        <v>7</v>
      </c>
      <c r="H160" s="20" t="s">
        <v>21</v>
      </c>
      <c r="I160" s="21">
        <v>46537</v>
      </c>
      <c r="J160" s="22">
        <f>=SUM(K160:Q160)</f>
        <v>0</v>
      </c>
      <c r="K160" s="23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23">
        <v>0</v>
      </c>
      <c r="R160" s="24" t="s"/>
      <c r="S160" s="25" t="s"/>
      <c r="T160" s="25" t="s"/>
      <c r="U160" s="25" t="s"/>
      <c r="V160" s="25" t="s"/>
      <c r="W160" s="25" t="s"/>
      <c r="X160" s="25" t="s"/>
      <c r="Y160" s="25" t="s"/>
      <c r="Z160" s="23">
        <v>0</v>
      </c>
      <c r="AA160" s="23">
        <v>0</v>
      </c>
      <c r="AB160" s="25" t="s"/>
      <c r="AC160" s="26" t="s"/>
      <c r="AD160" s="23">
        <v>0</v>
      </c>
      <c r="AE160" s="23">
        <v>0</v>
      </c>
      <c r="AF160" s="23">
        <v>0</v>
      </c>
      <c r="AG160" s="23">
        <v>0</v>
      </c>
      <c r="AH160" s="23">
        <v>0</v>
      </c>
      <c r="AI160" s="23">
        <v>0</v>
      </c>
      <c r="AJ160" s="23">
        <v>0</v>
      </c>
      <c r="AK160" s="27" t="s"/>
      <c r="AL160" s="27" t="s"/>
      <c r="AM160" s="27" t="s"/>
    </row>
    <row r="161" spans="1:39" s="155" customFormat="1" ht="12.95" customHeight="1">
      <c r="A161" s="17">
        <v>999910000076</v>
      </c>
      <c r="B161" s="18" t="s">
        <v>394</v>
      </c>
      <c r="C161" s="18" t="s">
        <v>131</v>
      </c>
      <c r="D161" s="18" t="s">
        <v>395</v>
      </c>
      <c r="E161" s="18" t="s">
        <v>14</v>
      </c>
      <c r="F161" s="56" t="s">
        <v>59</v>
      </c>
      <c r="G161" s="57" t="s">
        <v>7</v>
      </c>
      <c r="H161" s="58" t="s">
        <v>21</v>
      </c>
      <c r="I161" s="21">
        <v>46111</v>
      </c>
      <c r="J161" s="22">
        <f>=SUM(K161:Q161)</f>
        <v>0</v>
      </c>
      <c r="K161" s="23">
        <v>0</v>
      </c>
      <c r="L161" s="23">
        <v>0</v>
      </c>
      <c r="M161" s="23">
        <v>0</v>
      </c>
      <c r="N161" s="23">
        <v>0</v>
      </c>
      <c r="O161" s="23">
        <v>0</v>
      </c>
      <c r="P161" s="23">
        <v>0</v>
      </c>
      <c r="Q161" s="23">
        <v>0</v>
      </c>
      <c r="R161" s="24" t="s"/>
      <c r="S161" s="25" t="s"/>
      <c r="T161" s="25" t="s"/>
      <c r="U161" s="25" t="s"/>
      <c r="V161" s="25" t="s"/>
      <c r="W161" s="25" t="s"/>
      <c r="X161" s="25" t="s"/>
      <c r="Y161" s="25" t="s"/>
      <c r="Z161" s="23">
        <v>2056601</v>
      </c>
      <c r="AA161" s="23">
        <v>0</v>
      </c>
      <c r="AB161" s="25" t="s"/>
      <c r="AC161" s="26" t="s"/>
      <c r="AD161" s="23">
        <v>0</v>
      </c>
      <c r="AE161" s="23">
        <v>0</v>
      </c>
      <c r="AF161" s="23">
        <v>0</v>
      </c>
      <c r="AG161" s="23">
        <v>0</v>
      </c>
      <c r="AH161" s="23">
        <v>0</v>
      </c>
      <c r="AI161" s="23">
        <v>0</v>
      </c>
      <c r="AJ161" s="23">
        <v>0</v>
      </c>
      <c r="AK161" s="27" t="s"/>
      <c r="AL161" s="27" t="s"/>
      <c r="AM161" s="27" t="s"/>
    </row>
    <row r="162" spans="1:39" s="155" customFormat="1" ht="12.95" customHeight="1">
      <c r="A162" s="17">
        <v>999910000077</v>
      </c>
      <c r="B162" s="18" t="s">
        <v>396</v>
      </c>
      <c r="C162" s="18" t="s">
        <v>81</v>
      </c>
      <c r="D162" s="18" t="s">
        <v>397</v>
      </c>
      <c r="E162" s="18" t="s">
        <v>14</v>
      </c>
      <c r="F162" s="18" t="s">
        <v>59</v>
      </c>
      <c r="G162" s="19" t="s">
        <v>277</v>
      </c>
      <c r="H162" s="20" t="s">
        <v>21</v>
      </c>
      <c r="I162" s="21">
        <v>46326</v>
      </c>
      <c r="J162" s="22">
        <f>=SUM(K162:Q162)</f>
        <v>565000</v>
      </c>
      <c r="K162" s="23">
        <v>150000</v>
      </c>
      <c r="L162" s="23">
        <v>195000</v>
      </c>
      <c r="M162" s="23">
        <v>90000</v>
      </c>
      <c r="N162" s="23">
        <v>20000</v>
      </c>
      <c r="O162" s="23">
        <v>0</v>
      </c>
      <c r="P162" s="23">
        <v>100000</v>
      </c>
      <c r="Q162" s="23">
        <v>10000</v>
      </c>
      <c r="R162" s="24" t="s"/>
      <c r="S162" s="25" t="s"/>
      <c r="T162" s="25" t="s"/>
      <c r="U162" s="25" t="s"/>
      <c r="V162" s="25" t="s"/>
      <c r="W162" s="25" t="s"/>
      <c r="X162" s="25" t="s"/>
      <c r="Y162" s="25" t="s"/>
      <c r="Z162" s="23">
        <v>0</v>
      </c>
      <c r="AA162" s="23">
        <v>0</v>
      </c>
      <c r="AB162" s="25" t="s"/>
      <c r="AC162" s="26" t="s"/>
      <c r="AD162" s="23">
        <v>0</v>
      </c>
      <c r="AE162" s="23">
        <v>0</v>
      </c>
      <c r="AF162" s="23">
        <v>0</v>
      </c>
      <c r="AG162" s="23">
        <v>0</v>
      </c>
      <c r="AH162" s="23">
        <v>0</v>
      </c>
      <c r="AI162" s="23">
        <v>0</v>
      </c>
      <c r="AJ162" s="23">
        <v>0</v>
      </c>
      <c r="AK162" s="27" t="s"/>
      <c r="AL162" s="27" t="s"/>
      <c r="AM162" s="27" t="s"/>
    </row>
    <row r="163" spans="1:39" s="155" customFormat="1" ht="12.95" customHeight="1">
      <c r="A163" s="17">
        <v>999910000078</v>
      </c>
      <c r="B163" s="18" t="s">
        <v>398</v>
      </c>
      <c r="C163" s="18" t="s">
        <v>40</v>
      </c>
      <c r="D163" s="18" t="s">
        <v>105</v>
      </c>
      <c r="E163" s="18" t="s">
        <v>14</v>
      </c>
      <c r="F163" s="18" t="s">
        <v>59</v>
      </c>
      <c r="G163" s="19" t="s">
        <v>277</v>
      </c>
      <c r="H163" s="20" t="s">
        <v>21</v>
      </c>
      <c r="I163" s="21">
        <v>46326</v>
      </c>
      <c r="J163" s="22">
        <f>=SUM(K163:Q163)</f>
        <v>288500</v>
      </c>
      <c r="K163" s="23">
        <v>80000</v>
      </c>
      <c r="L163" s="23">
        <v>40000</v>
      </c>
      <c r="M163" s="23">
        <v>145000</v>
      </c>
      <c r="N163" s="23">
        <v>20000</v>
      </c>
      <c r="O163" s="23">
        <v>0</v>
      </c>
      <c r="P163" s="23">
        <v>0</v>
      </c>
      <c r="Q163" s="23">
        <v>3500</v>
      </c>
      <c r="R163" s="24" t="s"/>
      <c r="S163" s="25" t="s"/>
      <c r="T163" s="25" t="s"/>
      <c r="U163" s="25" t="s"/>
      <c r="V163" s="25" t="s"/>
      <c r="W163" s="25" t="s"/>
      <c r="X163" s="25" t="s"/>
      <c r="Y163" s="25" t="s"/>
      <c r="Z163" s="23">
        <v>0</v>
      </c>
      <c r="AA163" s="23">
        <v>0</v>
      </c>
      <c r="AB163" s="25" t="s"/>
      <c r="AC163" s="26" t="s"/>
      <c r="AD163" s="23">
        <v>0</v>
      </c>
      <c r="AE163" s="23">
        <v>0</v>
      </c>
      <c r="AF163" s="23">
        <v>0</v>
      </c>
      <c r="AG163" s="23">
        <v>0</v>
      </c>
      <c r="AH163" s="23">
        <v>0</v>
      </c>
      <c r="AI163" s="23">
        <v>0</v>
      </c>
      <c r="AJ163" s="23">
        <v>0</v>
      </c>
      <c r="AK163" s="27" t="s"/>
      <c r="AL163" s="27" t="s"/>
      <c r="AM163" s="27" t="s"/>
    </row>
    <row r="164" spans="1:39" s="155" customFormat="1" ht="12.95" customHeight="1">
      <c r="A164" s="17">
        <v>999910000079</v>
      </c>
      <c r="B164" s="18" t="s">
        <v>399</v>
      </c>
      <c r="C164" s="18" t="s">
        <v>40</v>
      </c>
      <c r="D164" s="18" t="s">
        <v>41</v>
      </c>
      <c r="E164" s="18" t="s">
        <v>14</v>
      </c>
      <c r="F164" s="18" t="s">
        <v>59</v>
      </c>
      <c r="G164" s="19" t="s">
        <v>277</v>
      </c>
      <c r="H164" s="20" t="s">
        <v>21</v>
      </c>
      <c r="I164" s="21">
        <v>46326</v>
      </c>
      <c r="J164" s="22">
        <f>=SUM(K164:Q164)</f>
        <v>507843</v>
      </c>
      <c r="K164" s="23">
        <v>134721</v>
      </c>
      <c r="L164" s="23">
        <v>63240</v>
      </c>
      <c r="M164" s="23">
        <v>181020</v>
      </c>
      <c r="N164" s="23">
        <v>120862</v>
      </c>
      <c r="O164" s="23">
        <v>0</v>
      </c>
      <c r="P164" s="23">
        <v>0</v>
      </c>
      <c r="Q164" s="23">
        <v>8000</v>
      </c>
      <c r="R164" s="24" t="s"/>
      <c r="S164" s="25" t="s"/>
      <c r="T164" s="25" t="s"/>
      <c r="U164" s="25" t="s"/>
      <c r="V164" s="25" t="s"/>
      <c r="W164" s="25" t="s"/>
      <c r="X164" s="25" t="s"/>
      <c r="Y164" s="25" t="s"/>
      <c r="Z164" s="23">
        <v>0</v>
      </c>
      <c r="AA164" s="23">
        <v>0</v>
      </c>
      <c r="AB164" s="25" t="s"/>
      <c r="AC164" s="26" t="s"/>
      <c r="AD164" s="23">
        <v>0</v>
      </c>
      <c r="AE164" s="23">
        <v>0</v>
      </c>
      <c r="AF164" s="23">
        <v>0</v>
      </c>
      <c r="AG164" s="23">
        <v>0</v>
      </c>
      <c r="AH164" s="23">
        <v>0</v>
      </c>
      <c r="AI164" s="23">
        <v>0</v>
      </c>
      <c r="AJ164" s="23">
        <v>0</v>
      </c>
      <c r="AK164" s="27" t="s"/>
      <c r="AL164" s="27" t="s"/>
      <c r="AM164" s="27" t="s"/>
    </row>
    <row r="165" spans="1:39" s="155" customFormat="1" ht="12.95" customHeight="1">
      <c r="A165" s="17">
        <v>999910000080</v>
      </c>
      <c r="B165" s="18" t="s">
        <v>400</v>
      </c>
      <c r="C165" s="18" t="s">
        <v>61</v>
      </c>
      <c r="D165" s="18" t="s">
        <v>62</v>
      </c>
      <c r="E165" s="18" t="s">
        <v>14</v>
      </c>
      <c r="F165" s="18" t="s">
        <v>59</v>
      </c>
      <c r="G165" s="19" t="s">
        <v>277</v>
      </c>
      <c r="H165" s="20" t="s">
        <v>21</v>
      </c>
      <c r="I165" s="21">
        <v>46326</v>
      </c>
      <c r="J165" s="22">
        <f>=SUM(K165:Q165)</f>
        <v>57000</v>
      </c>
      <c r="K165" s="23">
        <v>2000</v>
      </c>
      <c r="L165" s="23">
        <v>0</v>
      </c>
      <c r="M165" s="23">
        <v>55000</v>
      </c>
      <c r="N165" s="23">
        <v>0</v>
      </c>
      <c r="O165" s="23">
        <v>0</v>
      </c>
      <c r="P165" s="23">
        <v>0</v>
      </c>
      <c r="Q165" s="23">
        <v>0</v>
      </c>
      <c r="R165" s="24" t="s"/>
      <c r="S165" s="25" t="s"/>
      <c r="T165" s="25" t="s"/>
      <c r="U165" s="25" t="s"/>
      <c r="V165" s="25" t="s"/>
      <c r="W165" s="25" t="s"/>
      <c r="X165" s="25" t="s"/>
      <c r="Y165" s="25" t="s"/>
      <c r="Z165" s="23">
        <v>0</v>
      </c>
      <c r="AA165" s="23">
        <v>0</v>
      </c>
      <c r="AB165" s="25" t="s"/>
      <c r="AC165" s="26" t="s"/>
      <c r="AD165" s="23">
        <v>0</v>
      </c>
      <c r="AE165" s="23">
        <v>0</v>
      </c>
      <c r="AF165" s="23">
        <v>0</v>
      </c>
      <c r="AG165" s="23">
        <v>0</v>
      </c>
      <c r="AH165" s="23">
        <v>0</v>
      </c>
      <c r="AI165" s="23">
        <v>0</v>
      </c>
      <c r="AJ165" s="23">
        <v>0</v>
      </c>
      <c r="AK165" s="27" t="s"/>
      <c r="AL165" s="27" t="s"/>
      <c r="AM165" s="27" t="s"/>
    </row>
    <row r="166" spans="1:39" s="155" customFormat="1" ht="12.95" customHeight="1">
      <c r="A166" s="17">
        <v>999910000081</v>
      </c>
      <c r="B166" s="18" t="s">
        <v>401</v>
      </c>
      <c r="C166" s="18" t="s">
        <v>147</v>
      </c>
      <c r="D166" s="18" t="s">
        <v>320</v>
      </c>
      <c r="E166" s="18" t="s">
        <v>126</v>
      </c>
      <c r="F166" s="18" t="s">
        <v>15</v>
      </c>
      <c r="G166" s="19" t="s">
        <v>7</v>
      </c>
      <c r="H166" s="20" t="s">
        <v>115</v>
      </c>
      <c r="I166" s="21">
        <v>46023</v>
      </c>
      <c r="J166" s="22">
        <f>=SUM(K166:Q166)</f>
        <v>199520</v>
      </c>
      <c r="K166" s="23">
        <v>110160</v>
      </c>
      <c r="L166" s="23">
        <v>0</v>
      </c>
      <c r="M166" s="23">
        <v>16000</v>
      </c>
      <c r="N166" s="23">
        <v>5000</v>
      </c>
      <c r="O166" s="23">
        <v>0</v>
      </c>
      <c r="P166" s="23">
        <v>63360</v>
      </c>
      <c r="Q166" s="23">
        <v>5000</v>
      </c>
      <c r="R166" s="24" t="s"/>
      <c r="S166" s="25" t="s"/>
      <c r="T166" s="25" t="s"/>
      <c r="U166" s="25" t="s"/>
      <c r="V166" s="25" t="s"/>
      <c r="W166" s="25" t="s"/>
      <c r="X166" s="25" t="s"/>
      <c r="Y166" s="25" t="s"/>
      <c r="Z166" s="43">
        <v>807464</v>
      </c>
      <c r="AA166" s="23">
        <v>0</v>
      </c>
      <c r="AB166" s="25" t="s"/>
      <c r="AC166" s="26" t="s"/>
      <c r="AD166" s="23">
        <v>17346.41</v>
      </c>
      <c r="AE166" s="23">
        <v>0</v>
      </c>
      <c r="AF166" s="23">
        <v>6087.61</v>
      </c>
      <c r="AG166" s="23">
        <v>3717.11</v>
      </c>
      <c r="AH166" s="23">
        <v>0</v>
      </c>
      <c r="AI166" s="23">
        <v>0</v>
      </c>
      <c r="AJ166" s="23">
        <v>0</v>
      </c>
      <c r="AK166" s="27" t="s"/>
      <c r="AL166" s="27" t="s"/>
      <c r="AM166" s="27" t="s"/>
    </row>
    <row r="167" spans="1:39" s="155" customFormat="1" ht="12.95" customHeight="1">
      <c r="A167" s="17">
        <v>999910000082</v>
      </c>
      <c r="B167" s="18" t="s">
        <v>402</v>
      </c>
      <c r="C167" s="18" t="s">
        <v>147</v>
      </c>
      <c r="D167" s="18" t="s">
        <v>403</v>
      </c>
      <c r="E167" s="18" t="s">
        <v>126</v>
      </c>
      <c r="F167" s="18" t="s">
        <v>15</v>
      </c>
      <c r="G167" s="19" t="s">
        <v>7</v>
      </c>
      <c r="H167" s="20" t="s">
        <v>115</v>
      </c>
      <c r="I167" s="21">
        <v>44805</v>
      </c>
      <c r="J167" s="22">
        <f>=SUM(K167:Q167)</f>
        <v>503220</v>
      </c>
      <c r="K167" s="23">
        <v>268500</v>
      </c>
      <c r="L167" s="23">
        <v>0</v>
      </c>
      <c r="M167" s="23">
        <v>80000</v>
      </c>
      <c r="N167" s="23">
        <v>20000</v>
      </c>
      <c r="O167" s="23">
        <v>0</v>
      </c>
      <c r="P167" s="23">
        <v>126720</v>
      </c>
      <c r="Q167" s="23">
        <v>8000</v>
      </c>
      <c r="R167" s="24" t="s"/>
      <c r="S167" s="25" t="s"/>
      <c r="T167" s="25" t="s"/>
      <c r="U167" s="25" t="s"/>
      <c r="V167" s="25" t="s"/>
      <c r="W167" s="25" t="s"/>
      <c r="X167" s="25" t="s"/>
      <c r="Y167" s="25" t="s"/>
      <c r="Z167" s="23">
        <v>0</v>
      </c>
      <c r="AA167" s="23">
        <v>0</v>
      </c>
      <c r="AB167" s="25" t="s"/>
      <c r="AC167" s="26" t="s"/>
      <c r="AD167" s="23">
        <v>398874.07</v>
      </c>
      <c r="AE167" s="23">
        <v>0</v>
      </c>
      <c r="AF167" s="23">
        <v>5113.89</v>
      </c>
      <c r="AG167" s="23">
        <v>321.06</v>
      </c>
      <c r="AH167" s="23">
        <v>0</v>
      </c>
      <c r="AI167" s="23">
        <v>0</v>
      </c>
      <c r="AJ167" s="23">
        <v>1178</v>
      </c>
      <c r="AK167" s="27" t="s"/>
      <c r="AL167" s="27" t="s"/>
      <c r="AM167" s="27" t="s"/>
    </row>
    <row r="168" spans="1:39" s="155" customFormat="1" ht="12.95" customHeight="1">
      <c r="A168" s="17">
        <v>999910000083</v>
      </c>
      <c r="B168" s="18" t="s">
        <v>404</v>
      </c>
      <c r="C168" s="18" t="s">
        <v>147</v>
      </c>
      <c r="D168" s="18" t="s">
        <v>286</v>
      </c>
      <c r="E168" s="18" t="s">
        <v>126</v>
      </c>
      <c r="F168" s="18" t="s">
        <v>15</v>
      </c>
      <c r="G168" s="19" t="s">
        <v>7</v>
      </c>
      <c r="H168" s="20" t="s">
        <v>115</v>
      </c>
      <c r="I168" s="21">
        <v>44986</v>
      </c>
      <c r="J168" s="22">
        <f>=SUM(K168:Q168)</f>
        <v>0</v>
      </c>
      <c r="K168" s="23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23">
        <v>0</v>
      </c>
      <c r="R168" s="24" t="s"/>
      <c r="S168" s="25" t="s"/>
      <c r="T168" s="25" t="s"/>
      <c r="U168" s="25" t="s"/>
      <c r="V168" s="25" t="s"/>
      <c r="W168" s="25" t="s"/>
      <c r="X168" s="25" t="s"/>
      <c r="Y168" s="25" t="s"/>
      <c r="Z168" s="23">
        <v>0</v>
      </c>
      <c r="AA168" s="23">
        <v>0</v>
      </c>
      <c r="AB168" s="25" t="s"/>
      <c r="AC168" s="26" t="s"/>
      <c r="AD168" s="23">
        <v>0</v>
      </c>
      <c r="AE168" s="23">
        <v>0</v>
      </c>
      <c r="AF168" s="23">
        <v>0</v>
      </c>
      <c r="AG168" s="23">
        <v>0</v>
      </c>
      <c r="AH168" s="23">
        <v>0</v>
      </c>
      <c r="AI168" s="23">
        <v>0</v>
      </c>
      <c r="AJ168" s="23">
        <v>0</v>
      </c>
      <c r="AK168" s="59" t="s">
        <v>405</v>
      </c>
      <c r="AL168" s="42" t="s">
        <v>176</v>
      </c>
      <c r="AM168" s="59" t="s"/>
    </row>
    <row r="169" spans="1:39" s="155" customFormat="1" ht="12.95" customHeight="1">
      <c r="A169" s="17">
        <v>999910000084</v>
      </c>
      <c r="B169" s="18" t="s">
        <v>406</v>
      </c>
      <c r="C169" s="18" t="s">
        <v>168</v>
      </c>
      <c r="D169" s="18" t="s">
        <v>407</v>
      </c>
      <c r="E169" s="18" t="s">
        <v>126</v>
      </c>
      <c r="F169" s="18" t="s">
        <v>191</v>
      </c>
      <c r="G169" s="19" t="s">
        <v>7</v>
      </c>
      <c r="H169" s="20" t="s">
        <v>27</v>
      </c>
      <c r="I169" s="21">
        <v>46203</v>
      </c>
      <c r="J169" s="22">
        <f>=SUM(K169:Q169)</f>
        <v>221521</v>
      </c>
      <c r="K169" s="23">
        <v>27601</v>
      </c>
      <c r="L169" s="23">
        <v>0</v>
      </c>
      <c r="M169" s="23">
        <v>80000</v>
      </c>
      <c r="N169" s="23">
        <v>30000</v>
      </c>
      <c r="O169" s="23">
        <v>0</v>
      </c>
      <c r="P169" s="23">
        <v>73920</v>
      </c>
      <c r="Q169" s="23">
        <v>10000</v>
      </c>
      <c r="R169" s="24" t="s"/>
      <c r="S169" s="25" t="s"/>
      <c r="T169" s="25" t="s"/>
      <c r="U169" s="25" t="s"/>
      <c r="V169" s="25" t="s"/>
      <c r="W169" s="25" t="s"/>
      <c r="X169" s="25" t="s"/>
      <c r="Y169" s="25" t="s"/>
      <c r="Z169" s="23">
        <v>0</v>
      </c>
      <c r="AA169" s="23">
        <v>0</v>
      </c>
      <c r="AB169" s="25" t="s"/>
      <c r="AC169" s="26" t="s"/>
      <c r="AD169" s="23">
        <v>64188.74</v>
      </c>
      <c r="AE169" s="23">
        <v>0</v>
      </c>
      <c r="AF169" s="23">
        <v>0</v>
      </c>
      <c r="AG169" s="23">
        <v>0</v>
      </c>
      <c r="AH169" s="23">
        <v>0</v>
      </c>
      <c r="AI169" s="23">
        <v>0</v>
      </c>
      <c r="AJ169" s="23">
        <v>0</v>
      </c>
      <c r="AK169" s="27" t="s"/>
      <c r="AL169" s="27" t="s"/>
      <c r="AM169" s="27" t="s"/>
    </row>
    <row r="170" spans="1:39" s="156" customFormat="1" ht="12.95" customHeight="1">
      <c r="A170" s="29">
        <v>999910000085</v>
      </c>
      <c r="B170" s="30" t="s">
        <v>408</v>
      </c>
      <c r="C170" s="30" t="s">
        <v>371</v>
      </c>
      <c r="D170" s="30" t="s">
        <v>409</v>
      </c>
      <c r="E170" s="30" t="s">
        <v>126</v>
      </c>
      <c r="F170" s="30" t="s">
        <v>127</v>
      </c>
      <c r="G170" s="31" t="s">
        <v>7</v>
      </c>
      <c r="H170" s="32" t="s">
        <v>70</v>
      </c>
      <c r="I170" s="33" t="s">
        <v>7</v>
      </c>
      <c r="J170" s="22">
        <f>=SUM(K170:Q170)</f>
        <v>1640145</v>
      </c>
      <c r="K170" s="52">
        <v>1336145</v>
      </c>
      <c r="L170" s="52">
        <v>0</v>
      </c>
      <c r="M170" s="52">
        <v>0</v>
      </c>
      <c r="N170" s="52">
        <v>0</v>
      </c>
      <c r="O170" s="52">
        <v>0</v>
      </c>
      <c r="P170" s="52">
        <v>0</v>
      </c>
      <c r="Q170" s="52">
        <v>304000</v>
      </c>
      <c r="R170" s="36" t="s"/>
      <c r="S170" s="37" t="s"/>
      <c r="T170" s="37" t="s"/>
      <c r="U170" s="37" t="s"/>
      <c r="V170" s="37" t="s"/>
      <c r="W170" s="37" t="s"/>
      <c r="X170" s="37" t="s"/>
      <c r="Y170" s="37" t="s"/>
      <c r="Z170" s="35">
        <v>0</v>
      </c>
      <c r="AA170" s="35">
        <v>0</v>
      </c>
      <c r="AB170" s="37" t="s"/>
      <c r="AC170" s="37" t="s"/>
      <c r="AD170" s="35">
        <v>0</v>
      </c>
      <c r="AE170" s="35">
        <v>0</v>
      </c>
      <c r="AF170" s="35">
        <v>0</v>
      </c>
      <c r="AG170" s="35">
        <v>0</v>
      </c>
      <c r="AH170" s="35">
        <v>0</v>
      </c>
      <c r="AI170" s="35">
        <v>0</v>
      </c>
      <c r="AJ170" s="35">
        <v>0</v>
      </c>
      <c r="AK170" s="42" t="s"/>
      <c r="AL170" s="42" t="s"/>
      <c r="AM170" s="60" t="s"/>
    </row>
    <row r="171" spans="1:39" s="155" customFormat="1" ht="12.95" customHeight="1">
      <c r="A171" s="17">
        <v>999910000086</v>
      </c>
      <c r="B171" s="18" t="s">
        <v>410</v>
      </c>
      <c r="C171" s="18" t="s">
        <v>147</v>
      </c>
      <c r="D171" s="18" t="s">
        <v>411</v>
      </c>
      <c r="E171" s="18" t="s">
        <v>126</v>
      </c>
      <c r="F171" s="18" t="s">
        <v>15</v>
      </c>
      <c r="G171" s="19" t="s">
        <v>7</v>
      </c>
      <c r="H171" s="20" t="s">
        <v>115</v>
      </c>
      <c r="I171" s="21" t="s">
        <v>7</v>
      </c>
      <c r="J171" s="22">
        <f>=SUM(K171:Q171)</f>
        <v>299186</v>
      </c>
      <c r="K171" s="51">
        <v>40000</v>
      </c>
      <c r="L171" s="51">
        <v>20000</v>
      </c>
      <c r="M171" s="51">
        <v>184186</v>
      </c>
      <c r="N171" s="51">
        <v>50000</v>
      </c>
      <c r="O171" s="51">
        <v>5000</v>
      </c>
      <c r="P171" s="51">
        <v>0</v>
      </c>
      <c r="Q171" s="51">
        <v>0</v>
      </c>
      <c r="R171" s="24" t="s"/>
      <c r="S171" s="25" t="s"/>
      <c r="T171" s="25" t="s"/>
      <c r="U171" s="25" t="s"/>
      <c r="V171" s="25" t="s"/>
      <c r="W171" s="25" t="s"/>
      <c r="X171" s="25" t="s"/>
      <c r="Y171" s="25" t="s"/>
      <c r="Z171" s="23">
        <v>0</v>
      </c>
      <c r="AA171" s="23">
        <v>0</v>
      </c>
      <c r="AB171" s="25" t="s"/>
      <c r="AC171" s="26" t="s"/>
      <c r="AD171" s="23">
        <v>0</v>
      </c>
      <c r="AE171" s="23">
        <v>0</v>
      </c>
      <c r="AF171" s="23">
        <v>0</v>
      </c>
      <c r="AG171" s="23">
        <v>0</v>
      </c>
      <c r="AH171" s="23">
        <v>0</v>
      </c>
      <c r="AI171" s="23">
        <v>0</v>
      </c>
      <c r="AJ171" s="23">
        <v>0</v>
      </c>
      <c r="AK171" s="27" t="s"/>
      <c r="AL171" s="27" t="s"/>
      <c r="AM171" s="27" t="s"/>
    </row>
    <row r="172" spans="1:39" s="155" customFormat="1" ht="12.95" customHeight="1">
      <c r="A172" s="17">
        <v>999910000087</v>
      </c>
      <c r="B172" s="18" t="s">
        <v>412</v>
      </c>
      <c r="C172" s="18" t="s">
        <v>347</v>
      </c>
      <c r="D172" s="18" t="s">
        <v>348</v>
      </c>
      <c r="E172" s="18" t="s">
        <v>74</v>
      </c>
      <c r="F172" s="18" t="s">
        <v>413</v>
      </c>
      <c r="G172" s="19" t="s">
        <v>7</v>
      </c>
      <c r="H172" s="20" t="s">
        <v>70</v>
      </c>
      <c r="I172" s="21">
        <v>46264</v>
      </c>
      <c r="J172" s="22">
        <f>=SUM(K172:Q172)</f>
        <v>5264156.8663297</v>
      </c>
      <c r="K172" s="23">
        <v>200000</v>
      </c>
      <c r="L172" s="23">
        <v>1226017.52380952</v>
      </c>
      <c r="M172" s="23">
        <v>1894025.01712335</v>
      </c>
      <c r="N172" s="23">
        <v>50000</v>
      </c>
      <c r="O172" s="23">
        <v>50000</v>
      </c>
      <c r="P172" s="23">
        <v>1844114.32539683</v>
      </c>
      <c r="Q172" s="23">
        <v>0</v>
      </c>
      <c r="R172" s="24" t="s"/>
      <c r="S172" s="25" t="s"/>
      <c r="T172" s="25" t="s"/>
      <c r="U172" s="25" t="s"/>
      <c r="V172" s="25" t="s"/>
      <c r="W172" s="25" t="s"/>
      <c r="X172" s="25" t="s"/>
      <c r="Y172" s="25" t="s"/>
      <c r="Z172" s="23">
        <v>0</v>
      </c>
      <c r="AA172" s="23">
        <v>0</v>
      </c>
      <c r="AB172" s="25" t="s"/>
      <c r="AC172" s="26" t="s"/>
      <c r="AD172" s="23">
        <v>0</v>
      </c>
      <c r="AE172" s="23">
        <v>0</v>
      </c>
      <c r="AF172" s="23">
        <v>0</v>
      </c>
      <c r="AG172" s="23">
        <v>0</v>
      </c>
      <c r="AH172" s="23">
        <v>0</v>
      </c>
      <c r="AI172" s="23">
        <v>0</v>
      </c>
      <c r="AJ172" s="23">
        <v>0</v>
      </c>
      <c r="AK172" s="27" t="s"/>
      <c r="AL172" s="27" t="s"/>
      <c r="AM172" s="27" t="s"/>
    </row>
    <row r="173" spans="1:39" s="155" customFormat="1" ht="12.95" customHeight="1">
      <c r="A173" s="17">
        <v>999910000088</v>
      </c>
      <c r="B173" s="18" t="s">
        <v>414</v>
      </c>
      <c r="C173" s="18" t="s">
        <v>415</v>
      </c>
      <c r="D173" s="18" t="s">
        <v>416</v>
      </c>
      <c r="E173" s="18" t="s">
        <v>135</v>
      </c>
      <c r="F173" s="18" t="s">
        <v>413</v>
      </c>
      <c r="G173" s="19" t="s">
        <v>7</v>
      </c>
      <c r="H173" s="20" t="s">
        <v>70</v>
      </c>
      <c r="I173" s="21">
        <v>46052</v>
      </c>
      <c r="J173" s="22">
        <f>=SUM(K173:Q173)</f>
        <v>0</v>
      </c>
      <c r="K173" s="23">
        <v>0</v>
      </c>
      <c r="L173" s="23">
        <v>0</v>
      </c>
      <c r="M173" s="23">
        <v>0</v>
      </c>
      <c r="N173" s="23">
        <v>0</v>
      </c>
      <c r="O173" s="23">
        <v>0</v>
      </c>
      <c r="P173" s="23">
        <v>0</v>
      </c>
      <c r="Q173" s="23">
        <v>0</v>
      </c>
      <c r="R173" s="24" t="s"/>
      <c r="S173" s="25" t="s"/>
      <c r="T173" s="25" t="s"/>
      <c r="U173" s="25" t="s"/>
      <c r="V173" s="25" t="s"/>
      <c r="W173" s="25" t="s"/>
      <c r="X173" s="25" t="s"/>
      <c r="Y173" s="25" t="s"/>
      <c r="Z173" s="23">
        <v>0</v>
      </c>
      <c r="AA173" s="23">
        <v>0</v>
      </c>
      <c r="AB173" s="25" t="s"/>
      <c r="AC173" s="26" t="s"/>
      <c r="AD173" s="23">
        <v>0</v>
      </c>
      <c r="AE173" s="23">
        <v>0</v>
      </c>
      <c r="AF173" s="23">
        <v>0</v>
      </c>
      <c r="AG173" s="23">
        <v>0</v>
      </c>
      <c r="AH173" s="23">
        <v>0</v>
      </c>
      <c r="AI173" s="23">
        <v>0</v>
      </c>
      <c r="AJ173" s="23">
        <v>0</v>
      </c>
      <c r="AK173" s="27" t="s"/>
      <c r="AL173" s="27" t="s"/>
      <c r="AM173" s="27" t="s"/>
    </row>
    <row r="174" spans="1:39" s="155" customFormat="1" ht="12.95" customHeight="1">
      <c r="A174" s="17">
        <v>999910000089</v>
      </c>
      <c r="B174" s="18" t="s">
        <v>417</v>
      </c>
      <c r="C174" s="18" t="s">
        <v>347</v>
      </c>
      <c r="D174" s="18" t="s">
        <v>418</v>
      </c>
      <c r="E174" s="18" t="s">
        <v>74</v>
      </c>
      <c r="F174" s="18" t="s">
        <v>413</v>
      </c>
      <c r="G174" s="19" t="s">
        <v>7</v>
      </c>
      <c r="H174" s="20" t="s">
        <v>70</v>
      </c>
      <c r="I174" s="21">
        <v>46142</v>
      </c>
      <c r="J174" s="22">
        <f>=SUM(K174:Q174)</f>
        <v>4460000</v>
      </c>
      <c r="K174" s="23">
        <v>200000</v>
      </c>
      <c r="L174" s="23">
        <v>1250000</v>
      </c>
      <c r="M174" s="23">
        <v>1975000</v>
      </c>
      <c r="N174" s="23">
        <v>200000</v>
      </c>
      <c r="O174" s="23">
        <v>50000</v>
      </c>
      <c r="P174" s="23">
        <v>85000</v>
      </c>
      <c r="Q174" s="23">
        <v>700000</v>
      </c>
      <c r="R174" s="24" t="s"/>
      <c r="S174" s="25" t="s"/>
      <c r="T174" s="25" t="s"/>
      <c r="U174" s="25" t="s"/>
      <c r="V174" s="25" t="s"/>
      <c r="W174" s="25" t="s"/>
      <c r="X174" s="25" t="s"/>
      <c r="Y174" s="25" t="s"/>
      <c r="Z174" s="23">
        <v>0</v>
      </c>
      <c r="AA174" s="23">
        <v>0</v>
      </c>
      <c r="AB174" s="25" t="s"/>
      <c r="AC174" s="26" t="s"/>
      <c r="AD174" s="23">
        <v>0</v>
      </c>
      <c r="AE174" s="23">
        <v>0</v>
      </c>
      <c r="AF174" s="23">
        <v>0</v>
      </c>
      <c r="AG174" s="23">
        <v>0</v>
      </c>
      <c r="AH174" s="23">
        <v>0</v>
      </c>
      <c r="AI174" s="23">
        <v>0</v>
      </c>
      <c r="AJ174" s="23">
        <v>0</v>
      </c>
      <c r="AK174" s="27" t="s"/>
      <c r="AL174" s="27" t="s"/>
      <c r="AM174" s="27" t="s"/>
    </row>
    <row r="175" spans="1:39" s="155" customFormat="1" ht="12.95" customHeight="1">
      <c r="A175" s="17">
        <v>999910000090</v>
      </c>
      <c r="B175" s="18" t="s">
        <v>419</v>
      </c>
      <c r="C175" s="18" t="s">
        <v>347</v>
      </c>
      <c r="D175" s="18" t="s">
        <v>352</v>
      </c>
      <c r="E175" s="18" t="s">
        <v>74</v>
      </c>
      <c r="F175" s="18" t="s">
        <v>413</v>
      </c>
      <c r="G175" s="19" t="s">
        <v>7</v>
      </c>
      <c r="H175" s="20" t="s">
        <v>70</v>
      </c>
      <c r="I175" s="21">
        <v>46325</v>
      </c>
      <c r="J175" s="22">
        <f>=SUM(K175:Q175)</f>
        <v>6444705.40890632</v>
      </c>
      <c r="K175" s="23">
        <v>200000</v>
      </c>
      <c r="L175" s="23">
        <v>2485773.14285714</v>
      </c>
      <c r="M175" s="23">
        <v>2176318.77398569</v>
      </c>
      <c r="N175" s="23">
        <v>300000</v>
      </c>
      <c r="O175" s="23">
        <v>50000</v>
      </c>
      <c r="P175" s="23">
        <v>1232613.49206349</v>
      </c>
      <c r="Q175" s="23">
        <v>0</v>
      </c>
      <c r="R175" s="24" t="s"/>
      <c r="S175" s="25" t="s"/>
      <c r="T175" s="25" t="s"/>
      <c r="U175" s="25" t="s"/>
      <c r="V175" s="25" t="s"/>
      <c r="W175" s="25" t="s"/>
      <c r="X175" s="25" t="s"/>
      <c r="Y175" s="25" t="s"/>
      <c r="Z175" s="23">
        <v>0</v>
      </c>
      <c r="AA175" s="23">
        <v>0</v>
      </c>
      <c r="AB175" s="25" t="s"/>
      <c r="AC175" s="26" t="s"/>
      <c r="AD175" s="23">
        <v>0</v>
      </c>
      <c r="AE175" s="23">
        <v>0</v>
      </c>
      <c r="AF175" s="23">
        <v>0</v>
      </c>
      <c r="AG175" s="23">
        <v>0</v>
      </c>
      <c r="AH175" s="23">
        <v>0</v>
      </c>
      <c r="AI175" s="23">
        <v>0</v>
      </c>
      <c r="AJ175" s="23">
        <v>0</v>
      </c>
      <c r="AK175" s="27" t="s"/>
      <c r="AL175" s="27" t="s"/>
      <c r="AM175" s="27" t="s"/>
    </row>
    <row r="176" spans="1:39" s="156" customFormat="1" ht="12.95" customHeight="1">
      <c r="A176" s="29">
        <v>999910000091</v>
      </c>
      <c r="B176" s="30" t="s">
        <v>420</v>
      </c>
      <c r="C176" s="30" t="s">
        <v>371</v>
      </c>
      <c r="D176" s="30" t="s">
        <v>421</v>
      </c>
      <c r="E176" s="30" t="s">
        <v>126</v>
      </c>
      <c r="F176" s="30" t="s">
        <v>372</v>
      </c>
      <c r="G176" s="31" t="s">
        <v>7</v>
      </c>
      <c r="H176" s="32" t="s">
        <v>21</v>
      </c>
      <c r="I176" s="33" t="s">
        <v>7</v>
      </c>
      <c r="J176" s="22">
        <f>=SUM(K176:Q176)</f>
        <v>576720</v>
      </c>
      <c r="K176" s="52">
        <v>160000</v>
      </c>
      <c r="L176" s="52">
        <v>0</v>
      </c>
      <c r="M176" s="52">
        <v>250000</v>
      </c>
      <c r="N176" s="52">
        <v>30000</v>
      </c>
      <c r="O176" s="52">
        <v>0</v>
      </c>
      <c r="P176" s="52">
        <v>126720</v>
      </c>
      <c r="Q176" s="52">
        <v>10000</v>
      </c>
      <c r="R176" s="36" t="s"/>
      <c r="S176" s="37" t="s"/>
      <c r="T176" s="37" t="s"/>
      <c r="U176" s="37" t="s"/>
      <c r="V176" s="37" t="s"/>
      <c r="W176" s="37" t="s"/>
      <c r="X176" s="37" t="s"/>
      <c r="Y176" s="37" t="s"/>
      <c r="Z176" s="35">
        <v>0</v>
      </c>
      <c r="AA176" s="52">
        <v>300000</v>
      </c>
      <c r="AB176" s="37" t="s"/>
      <c r="AC176" s="37" t="s"/>
      <c r="AD176" s="35">
        <v>0</v>
      </c>
      <c r="AE176" s="35">
        <v>0</v>
      </c>
      <c r="AF176" s="35">
        <v>0</v>
      </c>
      <c r="AG176" s="35">
        <v>0</v>
      </c>
      <c r="AH176" s="35">
        <v>0</v>
      </c>
      <c r="AI176" s="35">
        <v>0</v>
      </c>
      <c r="AJ176" s="35">
        <v>0</v>
      </c>
      <c r="AK176" s="42" t="s"/>
      <c r="AL176" s="42" t="s"/>
      <c r="AM176" s="42" t="s"/>
    </row>
    <row r="177" spans="1:39" s="156" customFormat="1" ht="12.95" customHeight="1">
      <c r="A177" s="29">
        <v>999910000092</v>
      </c>
      <c r="B177" s="30" t="s">
        <v>422</v>
      </c>
      <c r="C177" s="30" t="s">
        <v>371</v>
      </c>
      <c r="D177" s="30" t="s">
        <v>153</v>
      </c>
      <c r="E177" s="30" t="s">
        <v>126</v>
      </c>
      <c r="F177" s="30" t="s">
        <v>372</v>
      </c>
      <c r="G177" s="31" t="s">
        <v>7</v>
      </c>
      <c r="H177" s="32" t="s">
        <v>21</v>
      </c>
      <c r="I177" s="33" t="s">
        <v>7</v>
      </c>
      <c r="J177" s="22">
        <f>=SUM(K177:Q177)</f>
        <v>515781</v>
      </c>
      <c r="K177" s="52">
        <v>361047</v>
      </c>
      <c r="L177" s="52">
        <v>0</v>
      </c>
      <c r="M177" s="52">
        <v>100000</v>
      </c>
      <c r="N177" s="52">
        <v>10000</v>
      </c>
      <c r="O177" s="52">
        <v>10000</v>
      </c>
      <c r="P177" s="52">
        <v>0</v>
      </c>
      <c r="Q177" s="52">
        <v>34734</v>
      </c>
      <c r="R177" s="36" t="s"/>
      <c r="S177" s="37" t="s"/>
      <c r="T177" s="37" t="s"/>
      <c r="U177" s="37" t="s"/>
      <c r="V177" s="37" t="s"/>
      <c r="W177" s="37" t="s"/>
      <c r="X177" s="37" t="s"/>
      <c r="Y177" s="37" t="s"/>
      <c r="Z177" s="35">
        <v>0</v>
      </c>
      <c r="AA177" s="35">
        <v>0</v>
      </c>
      <c r="AB177" s="37" t="s"/>
      <c r="AC177" s="37" t="s"/>
      <c r="AD177" s="35">
        <v>0</v>
      </c>
      <c r="AE177" s="35">
        <v>0</v>
      </c>
      <c r="AF177" s="35">
        <v>0</v>
      </c>
      <c r="AG177" s="35">
        <v>0</v>
      </c>
      <c r="AH177" s="35">
        <v>0</v>
      </c>
      <c r="AI177" s="35">
        <v>0</v>
      </c>
      <c r="AJ177" s="35">
        <v>0</v>
      </c>
      <c r="AK177" s="42" t="s"/>
      <c r="AL177" s="42" t="s"/>
      <c r="AM177" s="42" t="s"/>
    </row>
    <row r="178" spans="1:39" s="155" customFormat="1" ht="12.95" customHeight="1">
      <c r="A178" s="17">
        <v>999910000093</v>
      </c>
      <c r="B178" s="18" t="s">
        <v>423</v>
      </c>
      <c r="C178" s="18" t="s">
        <v>234</v>
      </c>
      <c r="D178" s="18" t="s">
        <v>424</v>
      </c>
      <c r="E178" s="18" t="s">
        <v>135</v>
      </c>
      <c r="F178" s="18" t="s">
        <v>237</v>
      </c>
      <c r="G178" s="19" t="s">
        <v>7</v>
      </c>
      <c r="H178" s="20" t="s">
        <v>115</v>
      </c>
      <c r="I178" s="21">
        <v>46143</v>
      </c>
      <c r="J178" s="22">
        <f>=SUM(K178:Q178)</f>
        <v>2090000</v>
      </c>
      <c r="K178" s="23">
        <v>1520000</v>
      </c>
      <c r="L178" s="23">
        <v>0</v>
      </c>
      <c r="M178" s="23">
        <v>200000</v>
      </c>
      <c r="N178" s="23">
        <v>120000</v>
      </c>
      <c r="O178" s="23">
        <v>100000</v>
      </c>
      <c r="P178" s="23">
        <v>100000</v>
      </c>
      <c r="Q178" s="23">
        <v>50000</v>
      </c>
      <c r="R178" s="24" t="s"/>
      <c r="S178" s="25" t="s"/>
      <c r="T178" s="25" t="s"/>
      <c r="U178" s="25" t="s"/>
      <c r="V178" s="25" t="s"/>
      <c r="W178" s="25" t="s"/>
      <c r="X178" s="25" t="s"/>
      <c r="Y178" s="25" t="s"/>
      <c r="Z178" s="23">
        <v>0</v>
      </c>
      <c r="AA178" s="23">
        <v>477200</v>
      </c>
      <c r="AB178" s="25" t="s"/>
      <c r="AC178" s="26" t="s"/>
      <c r="AD178" s="23">
        <v>437950.28</v>
      </c>
      <c r="AE178" s="23">
        <v>2155564.06</v>
      </c>
      <c r="AF178" s="23">
        <v>754065.09</v>
      </c>
      <c r="AG178" s="23">
        <v>94972.06</v>
      </c>
      <c r="AH178" s="23">
        <v>299174.57</v>
      </c>
      <c r="AI178" s="23">
        <v>477256.25</v>
      </c>
      <c r="AJ178" s="23">
        <v>27011.35</v>
      </c>
      <c r="AK178" s="27" t="s"/>
      <c r="AL178" s="27" t="s"/>
      <c r="AM178" s="27" t="s"/>
    </row>
    <row r="179" spans="1:39" s="155" customFormat="1" ht="12.95" customHeight="1">
      <c r="A179" s="17">
        <v>999910000094</v>
      </c>
      <c r="B179" s="18" t="s">
        <v>425</v>
      </c>
      <c r="C179" s="18" t="s">
        <v>112</v>
      </c>
      <c r="D179" s="18" t="s">
        <v>426</v>
      </c>
      <c r="E179" s="18" t="s">
        <v>427</v>
      </c>
      <c r="F179" s="18" t="s">
        <v>237</v>
      </c>
      <c r="G179" s="19" t="s">
        <v>7</v>
      </c>
      <c r="H179" s="20" t="s">
        <v>115</v>
      </c>
      <c r="I179" s="21">
        <v>45870</v>
      </c>
      <c r="J179" s="22">
        <f>=SUM(K179:Q179)</f>
        <v>3009000</v>
      </c>
      <c r="K179" s="23">
        <v>1500000</v>
      </c>
      <c r="L179" s="23">
        <v>0</v>
      </c>
      <c r="M179" s="23">
        <v>709000</v>
      </c>
      <c r="N179" s="23">
        <v>400000</v>
      </c>
      <c r="O179" s="23">
        <v>150000</v>
      </c>
      <c r="P179" s="23">
        <v>0</v>
      </c>
      <c r="Q179" s="23">
        <v>250000</v>
      </c>
      <c r="R179" s="24" t="s"/>
      <c r="S179" s="25" t="s"/>
      <c r="T179" s="25" t="s"/>
      <c r="U179" s="25" t="s"/>
      <c r="V179" s="25" t="s"/>
      <c r="W179" s="25" t="s"/>
      <c r="X179" s="25" t="s"/>
      <c r="Y179" s="25" t="s"/>
      <c r="Z179" s="23">
        <v>0</v>
      </c>
      <c r="AA179" s="23">
        <v>0</v>
      </c>
      <c r="AB179" s="25" t="s"/>
      <c r="AC179" s="26" t="s"/>
      <c r="AD179" s="23">
        <v>1157012.69</v>
      </c>
      <c r="AE179" s="23">
        <v>2430016.46</v>
      </c>
      <c r="AF179" s="23">
        <v>58577.81</v>
      </c>
      <c r="AG179" s="23">
        <v>47016.27</v>
      </c>
      <c r="AH179" s="23">
        <v>145161.04</v>
      </c>
      <c r="AI179" s="23">
        <v>0</v>
      </c>
      <c r="AJ179" s="23">
        <v>22847.01</v>
      </c>
      <c r="AK179" s="27" t="s"/>
      <c r="AL179" s="27" t="s"/>
      <c r="AM179" s="27" t="s"/>
    </row>
    <row r="180" spans="1:39" s="155" customFormat="1" ht="12.95" customHeight="1">
      <c r="A180" s="17">
        <v>999910000095</v>
      </c>
      <c r="B180" s="18" t="s">
        <v>428</v>
      </c>
      <c r="C180" s="18" t="s">
        <v>112</v>
      </c>
      <c r="D180" s="18" t="s">
        <v>429</v>
      </c>
      <c r="E180" s="18" t="s">
        <v>74</v>
      </c>
      <c r="F180" s="18" t="s">
        <v>237</v>
      </c>
      <c r="G180" s="19" t="s">
        <v>7</v>
      </c>
      <c r="H180" s="20" t="s">
        <v>115</v>
      </c>
      <c r="I180" s="21">
        <v>46113</v>
      </c>
      <c r="J180" s="22">
        <f>=SUM(K180:Q180)</f>
        <v>1053365</v>
      </c>
      <c r="K180" s="23">
        <v>320000</v>
      </c>
      <c r="L180" s="23">
        <v>0</v>
      </c>
      <c r="M180" s="23">
        <v>525000</v>
      </c>
      <c r="N180" s="23">
        <v>100000</v>
      </c>
      <c r="O180" s="23">
        <v>52500</v>
      </c>
      <c r="P180" s="23">
        <v>0</v>
      </c>
      <c r="Q180" s="23">
        <v>55865</v>
      </c>
      <c r="R180" s="24" t="s"/>
      <c r="S180" s="25" t="s"/>
      <c r="T180" s="25" t="s"/>
      <c r="U180" s="25" t="s"/>
      <c r="V180" s="25" t="s"/>
      <c r="W180" s="25" t="s"/>
      <c r="X180" s="25" t="s"/>
      <c r="Y180" s="25" t="s"/>
      <c r="Z180" s="23">
        <v>0</v>
      </c>
      <c r="AA180" s="23">
        <v>0</v>
      </c>
      <c r="AB180" s="25" t="s"/>
      <c r="AC180" s="26" t="s"/>
      <c r="AD180" s="23">
        <v>113641.46</v>
      </c>
      <c r="AE180" s="23">
        <v>6012.92</v>
      </c>
      <c r="AF180" s="23">
        <v>0</v>
      </c>
      <c r="AG180" s="23">
        <v>79172.1</v>
      </c>
      <c r="AH180" s="23">
        <v>75290</v>
      </c>
      <c r="AI180" s="23">
        <v>0</v>
      </c>
      <c r="AJ180" s="23">
        <v>14892.89</v>
      </c>
      <c r="AK180" s="27" t="s"/>
      <c r="AL180" s="27" t="s"/>
      <c r="AM180" s="27" t="s"/>
    </row>
    <row r="181" spans="1:39" s="155" customFormat="1" ht="12.95" customHeight="1">
      <c r="A181" s="17">
        <v>999910000096</v>
      </c>
      <c r="B181" s="18" t="s">
        <v>430</v>
      </c>
      <c r="C181" s="18" t="s">
        <v>234</v>
      </c>
      <c r="D181" s="18" t="s">
        <v>431</v>
      </c>
      <c r="E181" s="18" t="s">
        <v>432</v>
      </c>
      <c r="F181" s="18" t="s">
        <v>237</v>
      </c>
      <c r="G181" s="19" t="s">
        <v>7</v>
      </c>
      <c r="H181" s="20" t="s">
        <v>115</v>
      </c>
      <c r="I181" s="21">
        <v>45658</v>
      </c>
      <c r="J181" s="22">
        <f>=SUM(K181:Q181)</f>
        <v>8795370</v>
      </c>
      <c r="K181" s="23">
        <v>2981850</v>
      </c>
      <c r="L181" s="23">
        <v>0</v>
      </c>
      <c r="M181" s="23">
        <v>1943520</v>
      </c>
      <c r="N181" s="23">
        <v>2070000</v>
      </c>
      <c r="O181" s="23">
        <v>300000</v>
      </c>
      <c r="P181" s="23">
        <v>1000000</v>
      </c>
      <c r="Q181" s="23">
        <v>500000</v>
      </c>
      <c r="R181" s="24" t="s"/>
      <c r="S181" s="25" t="s"/>
      <c r="T181" s="25" t="s"/>
      <c r="U181" s="25" t="s"/>
      <c r="V181" s="25" t="s"/>
      <c r="W181" s="25" t="s"/>
      <c r="X181" s="25" t="s"/>
      <c r="Y181" s="25" t="s"/>
      <c r="Z181" s="23">
        <v>0</v>
      </c>
      <c r="AA181" s="23">
        <v>1157300</v>
      </c>
      <c r="AB181" s="25" t="s"/>
      <c r="AC181" s="26" t="s"/>
      <c r="AD181" s="23">
        <v>961122.77</v>
      </c>
      <c r="AE181" s="23">
        <v>6498366.69</v>
      </c>
      <c r="AF181" s="23">
        <v>1685586.79</v>
      </c>
      <c r="AG181" s="23">
        <v>537927.46</v>
      </c>
      <c r="AH181" s="23">
        <v>201869.66</v>
      </c>
      <c r="AI181" s="23">
        <v>1553452.79</v>
      </c>
      <c r="AJ181" s="23">
        <v>276577.86</v>
      </c>
      <c r="AK181" s="27" t="s"/>
      <c r="AL181" s="27" t="s"/>
      <c r="AM181" s="27" t="s"/>
    </row>
    <row r="182" spans="1:39" s="155" customFormat="1" ht="12.95" customHeight="1">
      <c r="A182" s="17">
        <v>999910000097</v>
      </c>
      <c r="B182" s="18" t="s">
        <v>433</v>
      </c>
      <c r="C182" s="18" t="s">
        <v>234</v>
      </c>
      <c r="D182" s="18" t="s">
        <v>434</v>
      </c>
      <c r="E182" s="18" t="s">
        <v>432</v>
      </c>
      <c r="F182" s="18" t="s">
        <v>237</v>
      </c>
      <c r="G182" s="19" t="s">
        <v>7</v>
      </c>
      <c r="H182" s="20" t="s">
        <v>115</v>
      </c>
      <c r="I182" s="21">
        <v>46388</v>
      </c>
      <c r="J182" s="22">
        <f>=SUM(K182:Q182)</f>
        <v>6675804</v>
      </c>
      <c r="K182" s="23">
        <v>1932320</v>
      </c>
      <c r="L182" s="23">
        <v>0</v>
      </c>
      <c r="M182" s="23">
        <v>1330525</v>
      </c>
      <c r="N182" s="23">
        <v>469800</v>
      </c>
      <c r="O182" s="23">
        <v>150000</v>
      </c>
      <c r="P182" s="23">
        <v>2043159</v>
      </c>
      <c r="Q182" s="23">
        <v>750000</v>
      </c>
      <c r="R182" s="24" t="s"/>
      <c r="S182" s="25" t="s"/>
      <c r="T182" s="25" t="s"/>
      <c r="U182" s="25" t="s"/>
      <c r="V182" s="25" t="s"/>
      <c r="W182" s="25" t="s"/>
      <c r="X182" s="25" t="s"/>
      <c r="Y182" s="25" t="s"/>
      <c r="Z182" s="23">
        <v>0</v>
      </c>
      <c r="AA182" s="23">
        <v>2645500</v>
      </c>
      <c r="AB182" s="25" t="s"/>
      <c r="AC182" s="26" t="s"/>
      <c r="AD182" s="23">
        <v>386829.67</v>
      </c>
      <c r="AE182" s="23">
        <v>2986739.2</v>
      </c>
      <c r="AF182" s="23">
        <v>855926.41</v>
      </c>
      <c r="AG182" s="23">
        <v>132418.36</v>
      </c>
      <c r="AH182" s="23">
        <v>194354.75</v>
      </c>
      <c r="AI182" s="23">
        <v>4413171.99</v>
      </c>
      <c r="AJ182" s="23">
        <v>12639.35</v>
      </c>
      <c r="AK182" s="27" t="s"/>
      <c r="AL182" s="27" t="s"/>
      <c r="AM182" s="27" t="s"/>
    </row>
    <row r="183" spans="1:39" s="155" customFormat="1" ht="12.95" customHeight="1">
      <c r="A183" s="17">
        <v>999910000098</v>
      </c>
      <c r="B183" s="18" t="s">
        <v>435</v>
      </c>
      <c r="C183" s="18" t="s">
        <v>112</v>
      </c>
      <c r="D183" s="18" t="s">
        <v>436</v>
      </c>
      <c r="E183" s="18" t="s">
        <v>427</v>
      </c>
      <c r="F183" s="18" t="s">
        <v>237</v>
      </c>
      <c r="G183" s="19" t="s">
        <v>7</v>
      </c>
      <c r="H183" s="20" t="s">
        <v>115</v>
      </c>
      <c r="I183" s="21">
        <v>46327</v>
      </c>
      <c r="J183" s="22">
        <f>=SUM(K183:Q183)</f>
        <v>1119000</v>
      </c>
      <c r="K183" s="23">
        <v>500000</v>
      </c>
      <c r="L183" s="23">
        <v>0</v>
      </c>
      <c r="M183" s="23">
        <v>439000</v>
      </c>
      <c r="N183" s="23">
        <v>100000</v>
      </c>
      <c r="O183" s="23">
        <v>50000</v>
      </c>
      <c r="P183" s="23">
        <v>0</v>
      </c>
      <c r="Q183" s="23">
        <v>30000</v>
      </c>
      <c r="R183" s="24" t="s"/>
      <c r="S183" s="25" t="s"/>
      <c r="T183" s="25" t="s"/>
      <c r="U183" s="25" t="s"/>
      <c r="V183" s="25" t="s"/>
      <c r="W183" s="25" t="s"/>
      <c r="X183" s="25" t="s"/>
      <c r="Y183" s="25" t="s"/>
      <c r="Z183" s="23">
        <v>0</v>
      </c>
      <c r="AA183" s="23">
        <v>0</v>
      </c>
      <c r="AB183" s="25" t="s"/>
      <c r="AC183" s="26" t="s"/>
      <c r="AD183" s="23">
        <v>98718.45</v>
      </c>
      <c r="AE183" s="23">
        <v>1454099.31</v>
      </c>
      <c r="AF183" s="23">
        <v>141647.7</v>
      </c>
      <c r="AG183" s="23">
        <v>71780.06</v>
      </c>
      <c r="AH183" s="23">
        <v>33212</v>
      </c>
      <c r="AI183" s="23">
        <v>0</v>
      </c>
      <c r="AJ183" s="23">
        <v>8922.75</v>
      </c>
      <c r="AK183" s="27" t="s"/>
      <c r="AL183" s="27" t="s"/>
      <c r="AM183" s="27" t="s"/>
    </row>
    <row r="184" spans="1:39" s="155" customFormat="1" ht="12.95" customHeight="1">
      <c r="A184" s="17">
        <v>999910000099</v>
      </c>
      <c r="B184" s="18" t="s">
        <v>437</v>
      </c>
      <c r="C184" s="18" t="s">
        <v>112</v>
      </c>
      <c r="D184" s="18" t="s">
        <v>438</v>
      </c>
      <c r="E184" s="18" t="s">
        <v>439</v>
      </c>
      <c r="F184" s="18" t="s">
        <v>237</v>
      </c>
      <c r="G184" s="19" t="s">
        <v>7</v>
      </c>
      <c r="H184" s="20" t="s">
        <v>115</v>
      </c>
      <c r="I184" s="21">
        <v>46357</v>
      </c>
      <c r="J184" s="22">
        <f>=SUM(K184:Q184)</f>
        <v>555000</v>
      </c>
      <c r="K184" s="23">
        <v>180000</v>
      </c>
      <c r="L184" s="23">
        <v>0</v>
      </c>
      <c r="M184" s="23">
        <v>190000</v>
      </c>
      <c r="N184" s="23">
        <v>150000</v>
      </c>
      <c r="O184" s="23">
        <v>30000</v>
      </c>
      <c r="P184" s="23">
        <v>0</v>
      </c>
      <c r="Q184" s="23">
        <v>5000</v>
      </c>
      <c r="R184" s="24" t="s"/>
      <c r="S184" s="25" t="s"/>
      <c r="T184" s="25" t="s"/>
      <c r="U184" s="25" t="s"/>
      <c r="V184" s="25" t="s"/>
      <c r="W184" s="25" t="s"/>
      <c r="X184" s="25" t="s"/>
      <c r="Y184" s="25" t="s"/>
      <c r="Z184" s="23">
        <v>0</v>
      </c>
      <c r="AA184" s="23">
        <v>0</v>
      </c>
      <c r="AB184" s="25" t="s"/>
      <c r="AC184" s="26" t="s"/>
      <c r="AD184" s="23">
        <v>22736.63</v>
      </c>
      <c r="AE184" s="23">
        <v>0</v>
      </c>
      <c r="AF184" s="23">
        <v>208278</v>
      </c>
      <c r="AG184" s="23">
        <v>28753.35</v>
      </c>
      <c r="AH184" s="23">
        <v>17800</v>
      </c>
      <c r="AI184" s="23">
        <v>0</v>
      </c>
      <c r="AJ184" s="23">
        <v>3451.67</v>
      </c>
      <c r="AK184" s="27" t="s"/>
      <c r="AL184" s="27" t="s"/>
      <c r="AM184" s="27" t="s"/>
    </row>
    <row r="185" spans="1:39" s="155" customFormat="1" ht="12.95" customHeight="1">
      <c r="A185" s="17">
        <v>999910000100</v>
      </c>
      <c r="B185" s="18" t="s">
        <v>440</v>
      </c>
      <c r="C185" s="18" t="s">
        <v>441</v>
      </c>
      <c r="D185" s="18" t="s">
        <v>442</v>
      </c>
      <c r="E185" s="18" t="s">
        <v>443</v>
      </c>
      <c r="F185" s="18" t="s">
        <v>237</v>
      </c>
      <c r="G185" s="19" t="s">
        <v>7</v>
      </c>
      <c r="H185" s="20" t="s">
        <v>115</v>
      </c>
      <c r="I185" s="21">
        <v>46204</v>
      </c>
      <c r="J185" s="22">
        <f>=SUM(K185:Q185)</f>
        <v>450000</v>
      </c>
      <c r="K185" s="23">
        <v>235000</v>
      </c>
      <c r="L185" s="23">
        <v>0</v>
      </c>
      <c r="M185" s="23">
        <v>150000</v>
      </c>
      <c r="N185" s="23">
        <v>48000</v>
      </c>
      <c r="O185" s="23">
        <v>10000</v>
      </c>
      <c r="P185" s="23">
        <v>0</v>
      </c>
      <c r="Q185" s="23">
        <v>7000</v>
      </c>
      <c r="R185" s="24" t="s"/>
      <c r="S185" s="25" t="s"/>
      <c r="T185" s="25" t="s"/>
      <c r="U185" s="25" t="s"/>
      <c r="V185" s="25" t="s"/>
      <c r="W185" s="25" t="s"/>
      <c r="X185" s="25" t="s"/>
      <c r="Y185" s="25" t="s"/>
      <c r="Z185" s="23">
        <v>0</v>
      </c>
      <c r="AA185" s="23">
        <v>0</v>
      </c>
      <c r="AB185" s="25" t="s"/>
      <c r="AC185" s="26" t="s"/>
      <c r="AD185" s="23">
        <v>29215.05</v>
      </c>
      <c r="AE185" s="23">
        <v>0</v>
      </c>
      <c r="AF185" s="23">
        <v>51415.09</v>
      </c>
      <c r="AG185" s="23">
        <v>23578.6</v>
      </c>
      <c r="AH185" s="23">
        <v>5000</v>
      </c>
      <c r="AI185" s="23">
        <v>0</v>
      </c>
      <c r="AJ185" s="23">
        <v>5016.77</v>
      </c>
      <c r="AK185" s="27" t="s"/>
      <c r="AL185" s="27" t="s"/>
      <c r="AM185" s="27" t="s"/>
    </row>
    <row r="186" spans="1:39" s="155" customFormat="1" ht="12.95" customHeight="1">
      <c r="A186" s="17">
        <v>999910000101</v>
      </c>
      <c r="B186" s="18" t="s">
        <v>444</v>
      </c>
      <c r="C186" s="18" t="s">
        <v>112</v>
      </c>
      <c r="D186" s="18" t="s">
        <v>445</v>
      </c>
      <c r="E186" s="18" t="s">
        <v>443</v>
      </c>
      <c r="F186" s="18" t="s">
        <v>237</v>
      </c>
      <c r="G186" s="19" t="s">
        <v>7</v>
      </c>
      <c r="H186" s="20" t="s">
        <v>115</v>
      </c>
      <c r="I186" s="21">
        <v>45658</v>
      </c>
      <c r="J186" s="22">
        <f>=SUM(K186:Q186)</f>
        <v>170000</v>
      </c>
      <c r="K186" s="23">
        <v>50000</v>
      </c>
      <c r="L186" s="23">
        <v>0</v>
      </c>
      <c r="M186" s="23">
        <v>75000</v>
      </c>
      <c r="N186" s="23">
        <v>30000</v>
      </c>
      <c r="O186" s="23">
        <v>10000</v>
      </c>
      <c r="P186" s="23">
        <v>0</v>
      </c>
      <c r="Q186" s="23">
        <v>5000</v>
      </c>
      <c r="R186" s="24" t="s"/>
      <c r="S186" s="25" t="s"/>
      <c r="T186" s="25" t="s"/>
      <c r="U186" s="25" t="s"/>
      <c r="V186" s="25" t="s"/>
      <c r="W186" s="25" t="s"/>
      <c r="X186" s="25" t="s"/>
      <c r="Y186" s="25" t="s"/>
      <c r="Z186" s="23">
        <v>0</v>
      </c>
      <c r="AA186" s="23">
        <v>0</v>
      </c>
      <c r="AB186" s="25" t="s"/>
      <c r="AC186" s="26" t="s"/>
      <c r="AD186" s="23">
        <v>10907.09</v>
      </c>
      <c r="AE186" s="23">
        <v>0</v>
      </c>
      <c r="AF186" s="23">
        <v>0</v>
      </c>
      <c r="AG186" s="23">
        <v>2313.47</v>
      </c>
      <c r="AH186" s="23">
        <v>8500</v>
      </c>
      <c r="AI186" s="23">
        <v>0</v>
      </c>
      <c r="AJ186" s="23">
        <v>362.75</v>
      </c>
      <c r="AK186" s="27" t="s"/>
      <c r="AL186" s="27" t="s"/>
      <c r="AM186" s="27" t="s"/>
    </row>
    <row r="187" spans="1:39" s="155" customFormat="1" ht="12.95" customHeight="1">
      <c r="A187" s="17">
        <v>999910000102</v>
      </c>
      <c r="B187" s="18" t="s">
        <v>446</v>
      </c>
      <c r="C187" s="18" t="s">
        <v>447</v>
      </c>
      <c r="D187" s="18" t="s">
        <v>212</v>
      </c>
      <c r="E187" s="18" t="s">
        <v>74</v>
      </c>
      <c r="F187" s="18" t="s">
        <v>237</v>
      </c>
      <c r="G187" s="19" t="s">
        <v>7</v>
      </c>
      <c r="H187" s="20" t="s">
        <v>115</v>
      </c>
      <c r="I187" s="21">
        <v>46082</v>
      </c>
      <c r="J187" s="22">
        <f>=SUM(K187:Q187)</f>
        <v>518420</v>
      </c>
      <c r="K187" s="23">
        <v>290000</v>
      </c>
      <c r="L187" s="23">
        <v>0</v>
      </c>
      <c r="M187" s="23">
        <v>163420</v>
      </c>
      <c r="N187" s="23">
        <v>48000</v>
      </c>
      <c r="O187" s="23">
        <v>10000</v>
      </c>
      <c r="P187" s="23">
        <v>0</v>
      </c>
      <c r="Q187" s="23">
        <v>7000</v>
      </c>
      <c r="R187" s="24" t="s"/>
      <c r="S187" s="25" t="s"/>
      <c r="T187" s="25" t="s"/>
      <c r="U187" s="25" t="s"/>
      <c r="V187" s="25" t="s"/>
      <c r="W187" s="25" t="s"/>
      <c r="X187" s="25" t="s"/>
      <c r="Y187" s="25" t="s"/>
      <c r="Z187" s="23">
        <v>0</v>
      </c>
      <c r="AA187" s="23">
        <v>0</v>
      </c>
      <c r="AB187" s="25" t="s"/>
      <c r="AC187" s="26" t="s"/>
      <c r="AD187" s="23">
        <v>535719.06</v>
      </c>
      <c r="AE187" s="23">
        <v>0</v>
      </c>
      <c r="AF187" s="23">
        <v>66037.74</v>
      </c>
      <c r="AG187" s="23">
        <v>12190.52</v>
      </c>
      <c r="AH187" s="23">
        <v>8300</v>
      </c>
      <c r="AI187" s="23">
        <v>0</v>
      </c>
      <c r="AJ187" s="23">
        <v>25166.68</v>
      </c>
      <c r="AK187" s="27" t="s"/>
      <c r="AL187" s="27" t="s"/>
      <c r="AM187" s="27" t="s"/>
    </row>
    <row r="188" spans="1:39" s="155" customFormat="1" ht="12.95" customHeight="1">
      <c r="A188" s="17">
        <v>999910000103</v>
      </c>
      <c r="B188" s="18" t="s">
        <v>448</v>
      </c>
      <c r="C188" s="18" t="s">
        <v>447</v>
      </c>
      <c r="D188" s="18" t="s">
        <v>449</v>
      </c>
      <c r="E188" s="18" t="s">
        <v>74</v>
      </c>
      <c r="F188" s="18" t="s">
        <v>237</v>
      </c>
      <c r="G188" s="19" t="s">
        <v>7</v>
      </c>
      <c r="H188" s="20" t="s">
        <v>115</v>
      </c>
      <c r="I188" s="21">
        <v>46266</v>
      </c>
      <c r="J188" s="22">
        <f>=SUM(K188:Q188)</f>
        <v>610640</v>
      </c>
      <c r="K188" s="23">
        <v>220750</v>
      </c>
      <c r="L188" s="23">
        <v>0</v>
      </c>
      <c r="M188" s="23">
        <v>264890</v>
      </c>
      <c r="N188" s="23">
        <v>99000</v>
      </c>
      <c r="O188" s="23">
        <v>10000</v>
      </c>
      <c r="P188" s="23">
        <v>0</v>
      </c>
      <c r="Q188" s="23">
        <v>16000</v>
      </c>
      <c r="R188" s="24" t="s"/>
      <c r="S188" s="25" t="s"/>
      <c r="T188" s="25" t="s"/>
      <c r="U188" s="25" t="s"/>
      <c r="V188" s="25" t="s"/>
      <c r="W188" s="25" t="s"/>
      <c r="X188" s="25" t="s"/>
      <c r="Y188" s="25" t="s"/>
      <c r="Z188" s="23">
        <v>0</v>
      </c>
      <c r="AA188" s="23">
        <v>0</v>
      </c>
      <c r="AB188" s="25" t="s"/>
      <c r="AC188" s="26" t="s"/>
      <c r="AD188" s="23">
        <v>115871.39</v>
      </c>
      <c r="AE188" s="23">
        <v>0</v>
      </c>
      <c r="AF188" s="23">
        <v>12783.02</v>
      </c>
      <c r="AG188" s="23">
        <v>17862.91</v>
      </c>
      <c r="AH188" s="23">
        <v>4726</v>
      </c>
      <c r="AI188" s="23">
        <v>0</v>
      </c>
      <c r="AJ188" s="23">
        <v>6539.87</v>
      </c>
      <c r="AK188" s="27" t="s"/>
      <c r="AL188" s="27" t="s"/>
      <c r="AM188" s="27" t="s"/>
    </row>
    <row r="189" spans="1:39" s="155" customFormat="1" ht="12.95" customHeight="1">
      <c r="A189" s="17">
        <v>999910000104</v>
      </c>
      <c r="B189" s="18" t="s">
        <v>450</v>
      </c>
      <c r="C189" s="18" t="s">
        <v>234</v>
      </c>
      <c r="D189" s="18" t="s">
        <v>451</v>
      </c>
      <c r="E189" s="18" t="s">
        <v>452</v>
      </c>
      <c r="F189" s="18" t="s">
        <v>237</v>
      </c>
      <c r="G189" s="19" t="s">
        <v>7</v>
      </c>
      <c r="H189" s="20" t="s">
        <v>115</v>
      </c>
      <c r="I189" s="21">
        <v>46388</v>
      </c>
      <c r="J189" s="22">
        <f>=SUM(K189:Q189)</f>
        <v>2988737.23</v>
      </c>
      <c r="K189" s="23">
        <v>862537.23</v>
      </c>
      <c r="L189" s="23">
        <v>0</v>
      </c>
      <c r="M189" s="23">
        <v>1184600</v>
      </c>
      <c r="N189" s="23">
        <v>381600</v>
      </c>
      <c r="O189" s="23">
        <v>100000</v>
      </c>
      <c r="P189" s="23">
        <v>260000</v>
      </c>
      <c r="Q189" s="23">
        <v>200000</v>
      </c>
      <c r="R189" s="24" t="s"/>
      <c r="S189" s="25" t="s"/>
      <c r="T189" s="25" t="s"/>
      <c r="U189" s="25" t="s"/>
      <c r="V189" s="25" t="s"/>
      <c r="W189" s="25" t="s"/>
      <c r="X189" s="25" t="s"/>
      <c r="Y189" s="25" t="s"/>
      <c r="Z189" s="23">
        <v>0</v>
      </c>
      <c r="AA189" s="23">
        <v>0</v>
      </c>
      <c r="AB189" s="25" t="s"/>
      <c r="AC189" s="26" t="s"/>
      <c r="AD189" s="23">
        <v>14382.1</v>
      </c>
      <c r="AE189" s="23">
        <v>0</v>
      </c>
      <c r="AF189" s="23">
        <v>0</v>
      </c>
      <c r="AG189" s="23">
        <v>79764.45</v>
      </c>
      <c r="AH189" s="23">
        <v>15301.74</v>
      </c>
      <c r="AI189" s="23">
        <v>0</v>
      </c>
      <c r="AJ189" s="23">
        <v>3052.26</v>
      </c>
      <c r="AK189" s="27" t="s"/>
      <c r="AL189" s="27" t="s"/>
      <c r="AM189" s="27" t="s"/>
    </row>
    <row r="190" spans="1:39" s="155" customFormat="1" ht="12.95" customHeight="1">
      <c r="A190" s="17">
        <v>999910000105</v>
      </c>
      <c r="B190" s="18" t="s">
        <v>453</v>
      </c>
      <c r="C190" s="18" t="s">
        <v>234</v>
      </c>
      <c r="D190" s="18" t="s">
        <v>451</v>
      </c>
      <c r="E190" s="18" t="s">
        <v>443</v>
      </c>
      <c r="F190" s="18" t="s">
        <v>237</v>
      </c>
      <c r="G190" s="19" t="s">
        <v>7</v>
      </c>
      <c r="H190" s="20" t="s">
        <v>115</v>
      </c>
      <c r="I190" s="21">
        <v>46631</v>
      </c>
      <c r="J190" s="22">
        <f>=SUM(K190:Q190)</f>
        <v>1760941.25</v>
      </c>
      <c r="K190" s="23">
        <v>185250</v>
      </c>
      <c r="L190" s="23">
        <v>0</v>
      </c>
      <c r="M190" s="23">
        <v>133200</v>
      </c>
      <c r="N190" s="23">
        <v>398000</v>
      </c>
      <c r="O190" s="23">
        <v>192000</v>
      </c>
      <c r="P190" s="23">
        <v>582491.25</v>
      </c>
      <c r="Q190" s="23">
        <v>270000</v>
      </c>
      <c r="R190" s="24" t="s"/>
      <c r="S190" s="25" t="s"/>
      <c r="T190" s="25" t="s"/>
      <c r="U190" s="25" t="s"/>
      <c r="V190" s="25" t="s"/>
      <c r="W190" s="25" t="s"/>
      <c r="X190" s="25" t="s"/>
      <c r="Y190" s="25" t="s"/>
      <c r="Z190" s="23">
        <v>0</v>
      </c>
      <c r="AA190" s="23">
        <v>0</v>
      </c>
      <c r="AB190" s="25" t="s"/>
      <c r="AC190" s="26" t="s"/>
      <c r="AD190" s="23">
        <v>0</v>
      </c>
      <c r="AE190" s="23">
        <v>0</v>
      </c>
      <c r="AF190" s="23">
        <v>0</v>
      </c>
      <c r="AG190" s="23">
        <v>5486.92</v>
      </c>
      <c r="AH190" s="23">
        <v>0</v>
      </c>
      <c r="AI190" s="23">
        <v>87941.14</v>
      </c>
      <c r="AJ190" s="23">
        <v>0</v>
      </c>
      <c r="AK190" s="27" t="s"/>
      <c r="AL190" s="27" t="s"/>
      <c r="AM190" s="27" t="s"/>
    </row>
    <row r="191" spans="1:39" s="155" customFormat="1" ht="12.95" customHeight="1">
      <c r="A191" s="17">
        <v>999910000106</v>
      </c>
      <c r="B191" s="18" t="s">
        <v>454</v>
      </c>
      <c r="C191" s="18" t="s">
        <v>234</v>
      </c>
      <c r="D191" s="18" t="s">
        <v>455</v>
      </c>
      <c r="E191" s="18" t="s">
        <v>74</v>
      </c>
      <c r="F191" s="18" t="s">
        <v>237</v>
      </c>
      <c r="G191" s="19" t="s">
        <v>7</v>
      </c>
      <c r="H191" s="20" t="s">
        <v>115</v>
      </c>
      <c r="I191" s="21">
        <v>46753</v>
      </c>
      <c r="J191" s="22">
        <f>=SUM(K191:Q191)</f>
        <v>4236810</v>
      </c>
      <c r="K191" s="23">
        <v>2449750</v>
      </c>
      <c r="L191" s="23">
        <v>0</v>
      </c>
      <c r="M191" s="23">
        <v>572560</v>
      </c>
      <c r="N191" s="23">
        <v>604500</v>
      </c>
      <c r="O191" s="23">
        <v>100000</v>
      </c>
      <c r="P191" s="23">
        <v>350000</v>
      </c>
      <c r="Q191" s="23">
        <v>160000</v>
      </c>
      <c r="R191" s="24" t="s"/>
      <c r="S191" s="25" t="s"/>
      <c r="T191" s="25" t="s"/>
      <c r="U191" s="25" t="s"/>
      <c r="V191" s="25" t="s"/>
      <c r="W191" s="25" t="s"/>
      <c r="X191" s="25" t="s"/>
      <c r="Y191" s="25" t="s"/>
      <c r="Z191" s="23">
        <v>0</v>
      </c>
      <c r="AA191" s="23">
        <v>0</v>
      </c>
      <c r="AB191" s="25" t="s"/>
      <c r="AC191" s="26" t="s"/>
      <c r="AD191" s="23">
        <v>12203.94</v>
      </c>
      <c r="AE191" s="23">
        <v>0</v>
      </c>
      <c r="AF191" s="23">
        <v>0</v>
      </c>
      <c r="AG191" s="23">
        <v>8493.98</v>
      </c>
      <c r="AH191" s="23">
        <v>2948</v>
      </c>
      <c r="AI191" s="23">
        <v>13471.09</v>
      </c>
      <c r="AJ191" s="23">
        <v>0</v>
      </c>
      <c r="AK191" s="27" t="s"/>
      <c r="AL191" s="27" t="s"/>
      <c r="AM191" s="27" t="s"/>
    </row>
    <row r="192" spans="1:39" s="155" customFormat="1" ht="12.95" customHeight="1">
      <c r="A192" s="17">
        <v>999910000107</v>
      </c>
      <c r="B192" s="18" t="s">
        <v>456</v>
      </c>
      <c r="C192" s="18" t="s">
        <v>457</v>
      </c>
      <c r="D192" s="18" t="s">
        <v>458</v>
      </c>
      <c r="E192" s="18" t="s">
        <v>443</v>
      </c>
      <c r="F192" s="18" t="s">
        <v>237</v>
      </c>
      <c r="G192" s="19" t="s">
        <v>7</v>
      </c>
      <c r="H192" s="20" t="s">
        <v>115</v>
      </c>
      <c r="I192" s="21">
        <v>45870</v>
      </c>
      <c r="J192" s="22">
        <f>=SUM(K192:Q192)</f>
        <v>821900</v>
      </c>
      <c r="K192" s="23">
        <v>284500</v>
      </c>
      <c r="L192" s="23">
        <v>0</v>
      </c>
      <c r="M192" s="23">
        <v>100400</v>
      </c>
      <c r="N192" s="23">
        <v>270000</v>
      </c>
      <c r="O192" s="23">
        <v>0</v>
      </c>
      <c r="P192" s="23">
        <v>0</v>
      </c>
      <c r="Q192" s="23">
        <v>167000</v>
      </c>
      <c r="R192" s="24" t="s"/>
      <c r="S192" s="25" t="s"/>
      <c r="T192" s="25" t="s"/>
      <c r="U192" s="25" t="s"/>
      <c r="V192" s="25" t="s"/>
      <c r="W192" s="25" t="s"/>
      <c r="X192" s="25" t="s"/>
      <c r="Y192" s="25" t="s"/>
      <c r="Z192" s="23">
        <v>0</v>
      </c>
      <c r="AA192" s="23">
        <v>0</v>
      </c>
      <c r="AB192" s="25" t="s"/>
      <c r="AC192" s="26" t="s"/>
      <c r="AD192" s="23">
        <v>0</v>
      </c>
      <c r="AE192" s="23">
        <v>0</v>
      </c>
      <c r="AF192" s="23">
        <v>0</v>
      </c>
      <c r="AG192" s="23">
        <v>0</v>
      </c>
      <c r="AH192" s="23">
        <v>0</v>
      </c>
      <c r="AI192" s="23">
        <v>0</v>
      </c>
      <c r="AJ192" s="23">
        <v>417</v>
      </c>
      <c r="AK192" s="27" t="s"/>
      <c r="AL192" s="27" t="s"/>
      <c r="AM192" s="27" t="s"/>
    </row>
    <row r="193" spans="1:39" s="155" customFormat="1" ht="12.95" customHeight="1">
      <c r="A193" s="17">
        <v>999910000109</v>
      </c>
      <c r="B193" s="18" t="s">
        <v>459</v>
      </c>
      <c r="C193" s="18" t="s">
        <v>460</v>
      </c>
      <c r="D193" s="18" t="s">
        <v>461</v>
      </c>
      <c r="E193" s="18" t="s">
        <v>443</v>
      </c>
      <c r="F193" s="18" t="s">
        <v>237</v>
      </c>
      <c r="G193" s="19" t="s">
        <v>7</v>
      </c>
      <c r="H193" s="20" t="s">
        <v>115</v>
      </c>
      <c r="I193" s="21">
        <v>46143</v>
      </c>
      <c r="J193" s="22">
        <f>=SUM(K193:Q193)</f>
        <v>1155230</v>
      </c>
      <c r="K193" s="23">
        <v>350000</v>
      </c>
      <c r="L193" s="23">
        <v>0</v>
      </c>
      <c r="M193" s="23">
        <v>162230</v>
      </c>
      <c r="N193" s="23">
        <v>396000</v>
      </c>
      <c r="O193" s="23">
        <v>0</v>
      </c>
      <c r="P193" s="23">
        <v>0</v>
      </c>
      <c r="Q193" s="23">
        <v>247000</v>
      </c>
      <c r="R193" s="24" t="s"/>
      <c r="S193" s="25" t="s"/>
      <c r="T193" s="25" t="s"/>
      <c r="U193" s="25" t="s"/>
      <c r="V193" s="25" t="s"/>
      <c r="W193" s="25" t="s"/>
      <c r="X193" s="25" t="s"/>
      <c r="Y193" s="25" t="s"/>
      <c r="Z193" s="23">
        <v>0</v>
      </c>
      <c r="AA193" s="23">
        <v>0</v>
      </c>
      <c r="AB193" s="25" t="s"/>
      <c r="AC193" s="26" t="s"/>
      <c r="AD193" s="23">
        <v>27980.99</v>
      </c>
      <c r="AE193" s="23">
        <v>0</v>
      </c>
      <c r="AF193" s="23">
        <v>0</v>
      </c>
      <c r="AG193" s="23">
        <v>5053.96</v>
      </c>
      <c r="AH193" s="23">
        <v>0</v>
      </c>
      <c r="AI193" s="23">
        <v>0</v>
      </c>
      <c r="AJ193" s="23">
        <v>0</v>
      </c>
      <c r="AK193" s="27" t="s"/>
      <c r="AL193" s="27" t="s"/>
      <c r="AM193" s="27" t="s"/>
    </row>
    <row r="194" spans="1:39" s="155" customFormat="1" ht="12.95" customHeight="1">
      <c r="A194" s="17">
        <v>999910000110</v>
      </c>
      <c r="B194" s="18" t="s">
        <v>462</v>
      </c>
      <c r="C194" s="18" t="s">
        <v>463</v>
      </c>
      <c r="D194" s="18" t="s">
        <v>464</v>
      </c>
      <c r="E194" s="18" t="s">
        <v>74</v>
      </c>
      <c r="F194" s="18" t="s">
        <v>237</v>
      </c>
      <c r="G194" s="19" t="s">
        <v>7</v>
      </c>
      <c r="H194" s="20" t="s">
        <v>115</v>
      </c>
      <c r="I194" s="21">
        <v>46113</v>
      </c>
      <c r="J194" s="22">
        <f>=SUM(K194:Q194)</f>
        <v>494895.75</v>
      </c>
      <c r="K194" s="23">
        <v>324095.75</v>
      </c>
      <c r="L194" s="23">
        <v>0</v>
      </c>
      <c r="M194" s="23">
        <v>0</v>
      </c>
      <c r="N194" s="23">
        <v>70800</v>
      </c>
      <c r="O194" s="23">
        <v>0</v>
      </c>
      <c r="P194" s="23">
        <v>0</v>
      </c>
      <c r="Q194" s="23">
        <v>100000</v>
      </c>
      <c r="R194" s="24" t="s"/>
      <c r="S194" s="25" t="s"/>
      <c r="T194" s="25" t="s"/>
      <c r="U194" s="25" t="s"/>
      <c r="V194" s="25" t="s"/>
      <c r="W194" s="25" t="s"/>
      <c r="X194" s="25" t="s"/>
      <c r="Y194" s="25" t="s"/>
      <c r="Z194" s="23">
        <v>0</v>
      </c>
      <c r="AA194" s="23">
        <v>0</v>
      </c>
      <c r="AB194" s="25" t="s"/>
      <c r="AC194" s="26" t="s"/>
      <c r="AD194" s="23">
        <v>0</v>
      </c>
      <c r="AE194" s="23">
        <v>0</v>
      </c>
      <c r="AF194" s="23">
        <v>0</v>
      </c>
      <c r="AG194" s="23">
        <v>3693.4</v>
      </c>
      <c r="AH194" s="23">
        <v>0</v>
      </c>
      <c r="AI194" s="23">
        <v>0</v>
      </c>
      <c r="AJ194" s="23">
        <v>0</v>
      </c>
      <c r="AK194" s="27" t="s"/>
      <c r="AL194" s="27" t="s"/>
      <c r="AM194" s="27" t="s"/>
    </row>
    <row r="195" spans="1:39" s="155" customFormat="1" ht="12.95" customHeight="1">
      <c r="A195" s="17">
        <v>999910000111</v>
      </c>
      <c r="B195" s="18" t="s">
        <v>465</v>
      </c>
      <c r="C195" s="18" t="s">
        <v>466</v>
      </c>
      <c r="D195" s="18" t="s">
        <v>431</v>
      </c>
      <c r="E195" s="18" t="s">
        <v>29</v>
      </c>
      <c r="F195" s="18" t="s">
        <v>237</v>
      </c>
      <c r="G195" s="19" t="s">
        <v>7</v>
      </c>
      <c r="H195" s="20" t="s">
        <v>115</v>
      </c>
      <c r="I195" s="21">
        <v>46054</v>
      </c>
      <c r="J195" s="22">
        <f>=SUM(K195:Q195)</f>
        <v>2176400</v>
      </c>
      <c r="K195" s="23">
        <v>120000</v>
      </c>
      <c r="L195" s="23">
        <v>0</v>
      </c>
      <c r="M195" s="23">
        <v>390400</v>
      </c>
      <c r="N195" s="23">
        <v>724000</v>
      </c>
      <c r="O195" s="23">
        <v>132000</v>
      </c>
      <c r="P195" s="23">
        <v>350000</v>
      </c>
      <c r="Q195" s="23">
        <v>460000</v>
      </c>
      <c r="R195" s="24" t="s"/>
      <c r="S195" s="25" t="s"/>
      <c r="T195" s="25" t="s"/>
      <c r="U195" s="25" t="s"/>
      <c r="V195" s="25" t="s"/>
      <c r="W195" s="25" t="s"/>
      <c r="X195" s="25" t="s"/>
      <c r="Y195" s="25" t="s"/>
      <c r="Z195" s="23">
        <v>0</v>
      </c>
      <c r="AA195" s="23">
        <v>0</v>
      </c>
      <c r="AB195" s="25" t="s"/>
      <c r="AC195" s="26" t="s"/>
      <c r="AD195" s="23">
        <v>0</v>
      </c>
      <c r="AE195" s="23">
        <v>0</v>
      </c>
      <c r="AF195" s="23">
        <v>0</v>
      </c>
      <c r="AG195" s="23">
        <v>0</v>
      </c>
      <c r="AH195" s="23">
        <v>0</v>
      </c>
      <c r="AI195" s="23">
        <v>0</v>
      </c>
      <c r="AJ195" s="23">
        <v>7936.64</v>
      </c>
      <c r="AK195" s="27" t="s"/>
      <c r="AL195" s="27" t="s"/>
      <c r="AM195" s="27" t="s"/>
    </row>
    <row r="196" spans="1:39" s="155" customFormat="1" ht="12.95" customHeight="1">
      <c r="A196" s="17">
        <v>999910000112</v>
      </c>
      <c r="B196" s="18" t="s">
        <v>467</v>
      </c>
      <c r="C196" s="18" t="s">
        <v>468</v>
      </c>
      <c r="D196" s="18" t="s">
        <v>469</v>
      </c>
      <c r="E196" s="18" t="s">
        <v>470</v>
      </c>
      <c r="F196" s="18" t="s">
        <v>237</v>
      </c>
      <c r="G196" s="19" t="s">
        <v>7</v>
      </c>
      <c r="H196" s="20" t="s">
        <v>115</v>
      </c>
      <c r="I196" s="21">
        <v>46569</v>
      </c>
      <c r="J196" s="22">
        <f>=SUM(K196:Q196)</f>
        <v>614600</v>
      </c>
      <c r="K196" s="23">
        <v>383600</v>
      </c>
      <c r="L196" s="23">
        <v>0</v>
      </c>
      <c r="M196" s="23">
        <v>120000</v>
      </c>
      <c r="N196" s="23">
        <v>60000</v>
      </c>
      <c r="O196" s="23">
        <v>40000</v>
      </c>
      <c r="P196" s="23">
        <v>0</v>
      </c>
      <c r="Q196" s="23">
        <v>11000</v>
      </c>
      <c r="R196" s="24" t="s"/>
      <c r="S196" s="25" t="s"/>
      <c r="T196" s="25" t="s"/>
      <c r="U196" s="25" t="s"/>
      <c r="V196" s="25" t="s"/>
      <c r="W196" s="25" t="s"/>
      <c r="X196" s="25" t="s"/>
      <c r="Y196" s="25" t="s"/>
      <c r="Z196" s="23">
        <v>0</v>
      </c>
      <c r="AA196" s="23">
        <v>0</v>
      </c>
      <c r="AB196" s="25" t="s"/>
      <c r="AC196" s="26" t="s"/>
      <c r="AD196" s="23">
        <v>0</v>
      </c>
      <c r="AE196" s="23">
        <v>0</v>
      </c>
      <c r="AF196" s="23">
        <v>47801</v>
      </c>
      <c r="AG196" s="23">
        <v>0</v>
      </c>
      <c r="AH196" s="23">
        <v>0</v>
      </c>
      <c r="AI196" s="23">
        <v>0</v>
      </c>
      <c r="AJ196" s="23">
        <v>0</v>
      </c>
      <c r="AK196" s="27" t="s"/>
      <c r="AL196" s="27" t="s"/>
      <c r="AM196" s="27" t="s"/>
    </row>
    <row r="197" spans="1:39" s="155" customFormat="1" ht="12.95" customHeight="1">
      <c r="A197" s="17">
        <v>999910000113</v>
      </c>
      <c r="B197" s="18" t="s">
        <v>471</v>
      </c>
      <c r="C197" s="18" t="s">
        <v>441</v>
      </c>
      <c r="D197" s="18" t="s">
        <v>472</v>
      </c>
      <c r="E197" s="18" t="s">
        <v>443</v>
      </c>
      <c r="F197" s="18" t="s">
        <v>237</v>
      </c>
      <c r="G197" s="19" t="s">
        <v>7</v>
      </c>
      <c r="H197" s="20" t="s">
        <v>115</v>
      </c>
      <c r="I197" s="21">
        <v>46174</v>
      </c>
      <c r="J197" s="22">
        <f>=SUM(K197:Q197)</f>
        <v>267800</v>
      </c>
      <c r="K197" s="43">
        <v>110000</v>
      </c>
      <c r="L197" s="23" t="s"/>
      <c r="M197" s="43">
        <v>110000</v>
      </c>
      <c r="N197" s="43">
        <v>36000</v>
      </c>
      <c r="O197" s="43">
        <v>6000</v>
      </c>
      <c r="P197" s="23">
        <v>0</v>
      </c>
      <c r="Q197" s="43">
        <v>5800</v>
      </c>
      <c r="R197" s="24" t="s"/>
      <c r="S197" s="25" t="s"/>
      <c r="T197" s="25" t="s"/>
      <c r="U197" s="25" t="s"/>
      <c r="V197" s="25" t="s"/>
      <c r="W197" s="25" t="s"/>
      <c r="X197" s="25" t="s"/>
      <c r="Y197" s="25" t="s"/>
      <c r="Z197" s="23">
        <v>0</v>
      </c>
      <c r="AA197" s="23">
        <v>0</v>
      </c>
      <c r="AB197" s="25" t="s"/>
      <c r="AC197" s="26" t="s"/>
      <c r="AD197" s="23">
        <v>0</v>
      </c>
      <c r="AE197" s="23">
        <v>0</v>
      </c>
      <c r="AF197" s="23">
        <v>0</v>
      </c>
      <c r="AG197" s="23">
        <v>0</v>
      </c>
      <c r="AH197" s="23">
        <v>0</v>
      </c>
      <c r="AI197" s="23">
        <v>0</v>
      </c>
      <c r="AJ197" s="23">
        <v>0</v>
      </c>
      <c r="AK197" s="27" t="s"/>
      <c r="AL197" s="27" t="s"/>
      <c r="AM197" s="27" t="s"/>
    </row>
    <row r="198" spans="1:39" s="155" customFormat="1" ht="12.95" customHeight="1">
      <c r="A198" s="17">
        <v>999910000114</v>
      </c>
      <c r="B198" s="18" t="s">
        <v>473</v>
      </c>
      <c r="C198" s="18" t="s">
        <v>23</v>
      </c>
      <c r="D198" s="18" t="s">
        <v>474</v>
      </c>
      <c r="E198" s="18" t="s">
        <v>135</v>
      </c>
      <c r="F198" s="18" t="s">
        <v>26</v>
      </c>
      <c r="G198" s="19" t="s">
        <v>7</v>
      </c>
      <c r="H198" s="20" t="s">
        <v>27</v>
      </c>
      <c r="I198" s="21">
        <v>46142</v>
      </c>
      <c r="J198" s="22">
        <f>=SUM(K198:Q198)</f>
        <v>9795995</v>
      </c>
      <c r="K198" s="35">
        <f>=1507125+380000</f>
        <v>1887125</v>
      </c>
      <c r="L198" s="35">
        <v>3136000</v>
      </c>
      <c r="M198" s="35">
        <v>981400</v>
      </c>
      <c r="N198" s="35">
        <v>410000</v>
      </c>
      <c r="O198" s="35">
        <v>0</v>
      </c>
      <c r="P198" s="35">
        <v>3341470</v>
      </c>
      <c r="Q198" s="35">
        <v>40000</v>
      </c>
      <c r="R198" s="24" t="s"/>
      <c r="S198" s="25" t="s"/>
      <c r="T198" s="25" t="s"/>
      <c r="U198" s="25" t="s"/>
      <c r="V198" s="25" t="s"/>
      <c r="W198" s="25" t="s"/>
      <c r="X198" s="25" t="s"/>
      <c r="Y198" s="25" t="s"/>
      <c r="Z198" s="23">
        <v>3657324</v>
      </c>
      <c r="AA198" s="23">
        <v>0</v>
      </c>
      <c r="AB198" s="25" t="s"/>
      <c r="AC198" s="26" t="s"/>
      <c r="AD198" s="23">
        <v>46465</v>
      </c>
      <c r="AE198" s="23">
        <v>3371139</v>
      </c>
      <c r="AF198" s="23">
        <v>36377</v>
      </c>
      <c r="AG198" s="23">
        <v>354672</v>
      </c>
      <c r="AH198" s="23">
        <v>294</v>
      </c>
      <c r="AI198" s="23">
        <v>1849130.98</v>
      </c>
      <c r="AJ198" s="23">
        <v>1440</v>
      </c>
      <c r="AK198" s="27" t="s"/>
      <c r="AL198" s="27" t="s"/>
      <c r="AM198" s="27" t="s"/>
    </row>
    <row r="199" spans="1:39" s="155" customFormat="1" ht="12.95" customHeight="1">
      <c r="A199" s="17">
        <v>999910000115</v>
      </c>
      <c r="B199" s="18" t="s">
        <v>475</v>
      </c>
      <c r="C199" s="18" t="s">
        <v>168</v>
      </c>
      <c r="D199" s="18" t="s">
        <v>476</v>
      </c>
      <c r="E199" s="18" t="s">
        <v>135</v>
      </c>
      <c r="F199" s="18" t="s">
        <v>26</v>
      </c>
      <c r="G199" s="19" t="s">
        <v>7</v>
      </c>
      <c r="H199" s="20" t="s">
        <v>27</v>
      </c>
      <c r="I199" s="21">
        <v>46258</v>
      </c>
      <c r="J199" s="22">
        <f>=SUM(K199:Q199)</f>
        <v>6356332.04310477</v>
      </c>
      <c r="K199" s="23">
        <v>1023601.19786667</v>
      </c>
      <c r="L199" s="23">
        <v>2669805.60714286</v>
      </c>
      <c r="M199" s="23">
        <v>0</v>
      </c>
      <c r="N199" s="23">
        <v>200000</v>
      </c>
      <c r="O199" s="23">
        <v>0</v>
      </c>
      <c r="P199" s="23">
        <v>2062925.23809524</v>
      </c>
      <c r="Q199" s="23">
        <v>400000</v>
      </c>
      <c r="R199" s="24" t="s"/>
      <c r="S199" s="25" t="s"/>
      <c r="T199" s="25" t="s"/>
      <c r="U199" s="25" t="s"/>
      <c r="V199" s="25" t="s"/>
      <c r="W199" s="25" t="s"/>
      <c r="X199" s="25" t="s"/>
      <c r="Y199" s="25" t="s"/>
      <c r="Z199" s="23">
        <v>0</v>
      </c>
      <c r="AA199" s="23">
        <v>0</v>
      </c>
      <c r="AB199" s="25" t="s"/>
      <c r="AC199" s="26" t="s"/>
      <c r="AD199" s="23">
        <v>165863</v>
      </c>
      <c r="AE199" s="23">
        <v>1149077</v>
      </c>
      <c r="AF199" s="23">
        <v>0</v>
      </c>
      <c r="AG199" s="23">
        <v>67387</v>
      </c>
      <c r="AH199" s="23">
        <v>2327</v>
      </c>
      <c r="AI199" s="23">
        <v>1408080</v>
      </c>
      <c r="AJ199" s="23">
        <v>364</v>
      </c>
      <c r="AK199" s="27" t="s"/>
      <c r="AL199" s="27" t="s"/>
      <c r="AM199" s="27" t="s"/>
    </row>
    <row r="200" spans="1:39" s="155" customFormat="1" ht="12.95" customHeight="1">
      <c r="A200" s="17">
        <v>999910000116</v>
      </c>
      <c r="B200" s="18" t="s">
        <v>477</v>
      </c>
      <c r="C200" s="18" t="s">
        <v>168</v>
      </c>
      <c r="D200" s="18" t="s">
        <v>476</v>
      </c>
      <c r="E200" s="18" t="s">
        <v>74</v>
      </c>
      <c r="F200" s="18" t="s">
        <v>26</v>
      </c>
      <c r="G200" s="19" t="s">
        <v>7</v>
      </c>
      <c r="H200" s="20" t="s">
        <v>27</v>
      </c>
      <c r="I200" s="21">
        <v>46174</v>
      </c>
      <c r="J200" s="22">
        <f>=SUM(K200:Q200)</f>
        <v>0</v>
      </c>
      <c r="K200" s="23">
        <v>0</v>
      </c>
      <c r="L200" s="23">
        <v>0</v>
      </c>
      <c r="M200" s="23">
        <v>0</v>
      </c>
      <c r="N200" s="23">
        <v>0</v>
      </c>
      <c r="O200" s="23">
        <v>0</v>
      </c>
      <c r="P200" s="23">
        <v>0</v>
      </c>
      <c r="Q200" s="23">
        <v>0</v>
      </c>
      <c r="R200" s="24" t="s"/>
      <c r="S200" s="25" t="s"/>
      <c r="T200" s="25" t="s"/>
      <c r="U200" s="25" t="s"/>
      <c r="V200" s="25" t="s"/>
      <c r="W200" s="25" t="s"/>
      <c r="X200" s="25" t="s"/>
      <c r="Y200" s="25" t="s"/>
      <c r="Z200" s="23">
        <v>0</v>
      </c>
      <c r="AA200" s="23">
        <v>0</v>
      </c>
      <c r="AB200" s="25" t="s"/>
      <c r="AC200" s="26" t="s"/>
      <c r="AD200" s="23">
        <v>600</v>
      </c>
      <c r="AE200" s="23">
        <v>98317</v>
      </c>
      <c r="AF200" s="23">
        <v>0</v>
      </c>
      <c r="AG200" s="23">
        <v>1156</v>
      </c>
      <c r="AH200" s="23">
        <v>0</v>
      </c>
      <c r="AI200" s="23">
        <v>650000</v>
      </c>
      <c r="AJ200" s="23">
        <v>0</v>
      </c>
      <c r="AK200" s="27" t="s"/>
      <c r="AL200" s="27" t="s"/>
      <c r="AM200" s="27" t="s"/>
    </row>
    <row r="201" spans="1:39" s="155" customFormat="1" ht="12.95" customHeight="1">
      <c r="A201" s="17">
        <v>999910000117</v>
      </c>
      <c r="B201" s="18" t="s">
        <v>478</v>
      </c>
      <c r="C201" s="18" t="s">
        <v>479</v>
      </c>
      <c r="D201" s="18" t="s">
        <v>480</v>
      </c>
      <c r="E201" s="18" t="s">
        <v>135</v>
      </c>
      <c r="F201" s="18" t="s">
        <v>114</v>
      </c>
      <c r="G201" s="19" t="s">
        <v>7</v>
      </c>
      <c r="H201" s="20" t="s">
        <v>115</v>
      </c>
      <c r="I201" s="21">
        <v>46266</v>
      </c>
      <c r="J201" s="22">
        <f>=SUM(K201:Q201)</f>
        <v>5152123.95756127</v>
      </c>
      <c r="K201" s="23">
        <v>268966.576608889</v>
      </c>
      <c r="L201" s="23">
        <v>1793475.23809524</v>
      </c>
      <c r="M201" s="23">
        <v>524000</v>
      </c>
      <c r="N201" s="23">
        <v>100000</v>
      </c>
      <c r="O201" s="23">
        <v>0</v>
      </c>
      <c r="P201" s="23">
        <v>2440682.14285714</v>
      </c>
      <c r="Q201" s="23">
        <v>25000</v>
      </c>
      <c r="R201" s="24" t="s"/>
      <c r="S201" s="25" t="s"/>
      <c r="T201" s="25" t="s"/>
      <c r="U201" s="25" t="s"/>
      <c r="V201" s="25" t="s"/>
      <c r="W201" s="25" t="s"/>
      <c r="X201" s="25" t="s"/>
      <c r="Y201" s="25" t="s"/>
      <c r="Z201" s="23">
        <v>959393</v>
      </c>
      <c r="AA201" s="23">
        <v>0</v>
      </c>
      <c r="AB201" s="25" t="s"/>
      <c r="AC201" s="26" t="s"/>
      <c r="AD201" s="23">
        <v>0</v>
      </c>
      <c r="AE201" s="23">
        <v>199837</v>
      </c>
      <c r="AF201" s="23">
        <v>0</v>
      </c>
      <c r="AG201" s="23">
        <v>69915</v>
      </c>
      <c r="AH201" s="23">
        <v>1392</v>
      </c>
      <c r="AI201" s="23">
        <v>641514</v>
      </c>
      <c r="AJ201" s="23">
        <v>0</v>
      </c>
      <c r="AK201" s="27" t="s"/>
      <c r="AL201" s="27" t="s"/>
      <c r="AM201" s="27" t="s"/>
    </row>
    <row r="202" spans="1:39" s="155" customFormat="1" ht="12.95" customHeight="1">
      <c r="A202" s="17">
        <v>999910000118</v>
      </c>
      <c r="B202" s="18" t="s">
        <v>481</v>
      </c>
      <c r="C202" s="18" t="s">
        <v>479</v>
      </c>
      <c r="D202" s="18" t="s">
        <v>480</v>
      </c>
      <c r="E202" s="18" t="s">
        <v>74</v>
      </c>
      <c r="F202" s="18" t="s">
        <v>114</v>
      </c>
      <c r="G202" s="19" t="s">
        <v>7</v>
      </c>
      <c r="H202" s="20" t="s">
        <v>115</v>
      </c>
      <c r="I202" s="21">
        <v>46266</v>
      </c>
      <c r="J202" s="22">
        <f>=SUM(K202:Q202)</f>
        <v>7120247.33225474</v>
      </c>
      <c r="K202" s="23">
        <v>760148.10606426</v>
      </c>
      <c r="L202" s="23">
        <v>2034702.61904762</v>
      </c>
      <c r="M202" s="23">
        <v>950000</v>
      </c>
      <c r="N202" s="23">
        <v>0</v>
      </c>
      <c r="O202" s="23">
        <v>0</v>
      </c>
      <c r="P202" s="23">
        <v>3187896.60714286</v>
      </c>
      <c r="Q202" s="23">
        <v>187500</v>
      </c>
      <c r="R202" s="24" t="s"/>
      <c r="S202" s="25" t="s"/>
      <c r="T202" s="25" t="s"/>
      <c r="U202" s="25" t="s"/>
      <c r="V202" s="25" t="s"/>
      <c r="W202" s="25" t="s"/>
      <c r="X202" s="25" t="s"/>
      <c r="Y202" s="25" t="s"/>
      <c r="Z202" s="23">
        <v>1421083</v>
      </c>
      <c r="AA202" s="23">
        <v>0</v>
      </c>
      <c r="AB202" s="25" t="s"/>
      <c r="AC202" s="26" t="s"/>
      <c r="AD202" s="23">
        <v>0</v>
      </c>
      <c r="AE202" s="23">
        <v>407029</v>
      </c>
      <c r="AF202" s="23">
        <v>406</v>
      </c>
      <c r="AG202" s="23">
        <v>158521</v>
      </c>
      <c r="AH202" s="23">
        <v>3626</v>
      </c>
      <c r="AI202" s="23">
        <v>937017</v>
      </c>
      <c r="AJ202" s="23">
        <v>0</v>
      </c>
      <c r="AK202" s="27" t="s"/>
      <c r="AL202" s="27" t="s"/>
      <c r="AM202" s="27" t="s"/>
    </row>
    <row r="203" spans="1:39" s="155" customFormat="1" ht="12.95" customHeight="1">
      <c r="A203" s="17">
        <v>999910000119</v>
      </c>
      <c r="B203" s="18" t="s">
        <v>482</v>
      </c>
      <c r="C203" s="18" t="s">
        <v>112</v>
      </c>
      <c r="D203" s="18" t="s">
        <v>469</v>
      </c>
      <c r="E203" s="18" t="s">
        <v>483</v>
      </c>
      <c r="F203" s="18" t="s">
        <v>114</v>
      </c>
      <c r="G203" s="19" t="s">
        <v>7</v>
      </c>
      <c r="H203" s="20" t="s">
        <v>115</v>
      </c>
      <c r="I203" s="21">
        <v>46629</v>
      </c>
      <c r="J203" s="22">
        <f>=SUM(K203:Q203)</f>
        <v>3066706.4</v>
      </c>
      <c r="K203" s="23">
        <v>272789.600000001</v>
      </c>
      <c r="L203" s="23">
        <v>1634673</v>
      </c>
      <c r="M203" s="23">
        <v>772975</v>
      </c>
      <c r="N203" s="23">
        <v>123200</v>
      </c>
      <c r="O203" s="23">
        <v>0</v>
      </c>
      <c r="P203" s="23">
        <v>0</v>
      </c>
      <c r="Q203" s="23">
        <v>263068.8</v>
      </c>
      <c r="R203" s="24" t="s"/>
      <c r="S203" s="25" t="s"/>
      <c r="T203" s="25" t="s"/>
      <c r="U203" s="25" t="s"/>
      <c r="V203" s="25" t="s"/>
      <c r="W203" s="25" t="s"/>
      <c r="X203" s="25" t="s"/>
      <c r="Y203" s="25" t="s"/>
      <c r="Z203" s="23">
        <v>0</v>
      </c>
      <c r="AA203" s="23">
        <v>0</v>
      </c>
      <c r="AB203" s="25" t="s"/>
      <c r="AC203" s="26" t="s"/>
      <c r="AD203" s="23">
        <v>28284</v>
      </c>
      <c r="AE203" s="23">
        <v>372269</v>
      </c>
      <c r="AF203" s="23">
        <v>0</v>
      </c>
      <c r="AG203" s="23">
        <v>2500</v>
      </c>
      <c r="AH203" s="23">
        <v>542</v>
      </c>
      <c r="AI203" s="23">
        <v>30260</v>
      </c>
      <c r="AJ203" s="23">
        <v>254</v>
      </c>
      <c r="AK203" s="27" t="s"/>
      <c r="AL203" s="27" t="s"/>
      <c r="AM203" s="27" t="s"/>
    </row>
    <row r="204" spans="1:39" s="155" customFormat="1" ht="12.95" customHeight="1">
      <c r="A204" s="17">
        <v>999910000120</v>
      </c>
      <c r="B204" s="18" t="s">
        <v>484</v>
      </c>
      <c r="C204" s="18" t="s">
        <v>239</v>
      </c>
      <c r="D204" s="18" t="s">
        <v>143</v>
      </c>
      <c r="E204" s="18" t="s">
        <v>126</v>
      </c>
      <c r="F204" s="18" t="s">
        <v>42</v>
      </c>
      <c r="G204" s="19" t="s">
        <v>277</v>
      </c>
      <c r="H204" s="20" t="s">
        <v>27</v>
      </c>
      <c r="I204" s="21">
        <v>46356</v>
      </c>
      <c r="J204" s="22">
        <f>=SUM(K204:Q204)</f>
        <v>0</v>
      </c>
      <c r="K204" s="23">
        <v>0</v>
      </c>
      <c r="L204" s="23">
        <v>0</v>
      </c>
      <c r="M204" s="23">
        <v>0</v>
      </c>
      <c r="N204" s="23">
        <v>0</v>
      </c>
      <c r="O204" s="23">
        <v>0</v>
      </c>
      <c r="P204" s="23">
        <v>0</v>
      </c>
      <c r="Q204" s="23">
        <v>0</v>
      </c>
      <c r="R204" s="24" t="s"/>
      <c r="S204" s="25" t="s"/>
      <c r="T204" s="25" t="s"/>
      <c r="U204" s="25" t="s"/>
      <c r="V204" s="25" t="s"/>
      <c r="W204" s="25" t="s"/>
      <c r="X204" s="25" t="s"/>
      <c r="Y204" s="25" t="s"/>
      <c r="Z204" s="61">
        <v>70000</v>
      </c>
      <c r="AA204" s="23">
        <v>0</v>
      </c>
      <c r="AB204" s="25" t="s"/>
      <c r="AC204" s="26" t="s"/>
      <c r="AD204" s="23">
        <v>0</v>
      </c>
      <c r="AE204" s="23">
        <v>0</v>
      </c>
      <c r="AF204" s="23">
        <v>0</v>
      </c>
      <c r="AG204" s="23">
        <v>0</v>
      </c>
      <c r="AH204" s="23">
        <v>0</v>
      </c>
      <c r="AI204" s="23">
        <v>0</v>
      </c>
      <c r="AJ204" s="23">
        <v>0</v>
      </c>
      <c r="AK204" s="27" t="s">
        <v>485</v>
      </c>
      <c r="AL204" s="42" t="s">
        <v>176</v>
      </c>
      <c r="AM204" s="27" t="s"/>
    </row>
    <row r="205" spans="1:39" s="155" customFormat="1" ht="12.95" customHeight="1">
      <c r="A205" s="17">
        <v>999910000121</v>
      </c>
      <c r="B205" s="18" t="s">
        <v>486</v>
      </c>
      <c r="C205" s="18" t="s">
        <v>4</v>
      </c>
      <c r="D205" s="18" t="s">
        <v>4</v>
      </c>
      <c r="E205" s="18" t="s">
        <v>4</v>
      </c>
      <c r="F205" s="18" t="s">
        <v>59</v>
      </c>
      <c r="G205" s="19" t="s">
        <v>365</v>
      </c>
      <c r="H205" s="20" t="s">
        <v>4</v>
      </c>
      <c r="I205" s="21" t="s">
        <v>7</v>
      </c>
      <c r="J205" s="22">
        <f>=SUM(K205:Q205)</f>
        <v>0</v>
      </c>
      <c r="K205" s="23">
        <v>0</v>
      </c>
      <c r="L205" s="23">
        <v>0</v>
      </c>
      <c r="M205" s="23">
        <v>0</v>
      </c>
      <c r="N205" s="23">
        <v>0</v>
      </c>
      <c r="O205" s="23">
        <v>0</v>
      </c>
      <c r="P205" s="23">
        <v>0</v>
      </c>
      <c r="Q205" s="23">
        <v>0</v>
      </c>
      <c r="R205" s="24" t="s"/>
      <c r="S205" s="25" t="s"/>
      <c r="T205" s="25" t="s"/>
      <c r="U205" s="25" t="s"/>
      <c r="V205" s="25" t="s"/>
      <c r="W205" s="25" t="s"/>
      <c r="X205" s="25" t="s"/>
      <c r="Y205" s="25" t="s"/>
      <c r="Z205" s="23">
        <v>0</v>
      </c>
      <c r="AA205" s="23">
        <v>0</v>
      </c>
      <c r="AB205" s="25" t="s"/>
      <c r="AC205" s="26" t="s"/>
      <c r="AD205" s="23">
        <v>0</v>
      </c>
      <c r="AE205" s="23">
        <v>0</v>
      </c>
      <c r="AF205" s="23">
        <v>0</v>
      </c>
      <c r="AG205" s="23">
        <v>0</v>
      </c>
      <c r="AH205" s="23">
        <v>0</v>
      </c>
      <c r="AI205" s="23">
        <v>0</v>
      </c>
      <c r="AJ205" s="23">
        <v>0</v>
      </c>
      <c r="AK205" s="27" t="s"/>
      <c r="AL205" s="27" t="s"/>
      <c r="AM205" s="27" t="s"/>
    </row>
    <row r="206" spans="1:39" s="155" customFormat="1" ht="12.95" customHeight="1">
      <c r="A206" s="17">
        <v>999910000122</v>
      </c>
      <c r="B206" s="18" t="s">
        <v>487</v>
      </c>
      <c r="C206" s="18" t="s">
        <v>67</v>
      </c>
      <c r="D206" s="18" t="s">
        <v>72</v>
      </c>
      <c r="E206" s="18" t="s">
        <v>488</v>
      </c>
      <c r="F206" s="18" t="s">
        <v>69</v>
      </c>
      <c r="G206" s="19" t="s">
        <v>7</v>
      </c>
      <c r="H206" s="20" t="s">
        <v>70</v>
      </c>
      <c r="I206" s="21">
        <v>46295</v>
      </c>
      <c r="J206" s="22">
        <f>=SUM(K206:Q206)</f>
        <v>1741512</v>
      </c>
      <c r="K206" s="23">
        <v>0</v>
      </c>
      <c r="L206" s="23">
        <v>361512</v>
      </c>
      <c r="M206" s="23">
        <v>780000</v>
      </c>
      <c r="N206" s="23">
        <v>500000</v>
      </c>
      <c r="O206" s="23">
        <v>0</v>
      </c>
      <c r="P206" s="23">
        <v>100000</v>
      </c>
      <c r="Q206" s="23">
        <v>0</v>
      </c>
      <c r="R206" s="24" t="s"/>
      <c r="S206" s="25" t="s"/>
      <c r="T206" s="25" t="s"/>
      <c r="U206" s="25" t="s"/>
      <c r="V206" s="25" t="s"/>
      <c r="W206" s="25" t="s"/>
      <c r="X206" s="25" t="s"/>
      <c r="Y206" s="25" t="s"/>
      <c r="Z206" s="23">
        <v>0</v>
      </c>
      <c r="AA206" s="23">
        <v>0</v>
      </c>
      <c r="AB206" s="25" t="s"/>
      <c r="AC206" s="26" t="s"/>
      <c r="AD206" s="23">
        <v>451822.31</v>
      </c>
      <c r="AE206" s="23">
        <v>0</v>
      </c>
      <c r="AF206" s="23">
        <v>0</v>
      </c>
      <c r="AG206" s="23">
        <v>0</v>
      </c>
      <c r="AH206" s="23">
        <v>0</v>
      </c>
      <c r="AI206" s="23">
        <v>0</v>
      </c>
      <c r="AJ206" s="23">
        <v>0</v>
      </c>
      <c r="AK206" s="27" t="s"/>
      <c r="AL206" s="27" t="s"/>
      <c r="AM206" s="27" t="s"/>
    </row>
    <row r="207" spans="1:39" s="155" customFormat="1" ht="12.95" customHeight="1">
      <c r="A207" s="17">
        <v>999910000123</v>
      </c>
      <c r="B207" s="18" t="s">
        <v>489</v>
      </c>
      <c r="C207" s="18" t="s">
        <v>376</v>
      </c>
      <c r="D207" s="18" t="s">
        <v>377</v>
      </c>
      <c r="E207" s="18" t="s">
        <v>74</v>
      </c>
      <c r="F207" s="18" t="s">
        <v>26</v>
      </c>
      <c r="G207" s="19" t="s">
        <v>7</v>
      </c>
      <c r="H207" s="20" t="s">
        <v>27</v>
      </c>
      <c r="I207" s="21">
        <v>46327</v>
      </c>
      <c r="J207" s="22">
        <f>=SUM(K207:Q207)</f>
        <v>7306671.25</v>
      </c>
      <c r="K207" s="23">
        <v>956000</v>
      </c>
      <c r="L207" s="23">
        <v>1965631.25</v>
      </c>
      <c r="M207" s="23">
        <v>1600000</v>
      </c>
      <c r="N207" s="23">
        <v>777600</v>
      </c>
      <c r="O207" s="23">
        <v>0</v>
      </c>
      <c r="P207" s="23">
        <v>1837440</v>
      </c>
      <c r="Q207" s="23">
        <v>170000</v>
      </c>
      <c r="R207" s="24" t="s"/>
      <c r="S207" s="25" t="s"/>
      <c r="T207" s="25" t="s"/>
      <c r="U207" s="25" t="s"/>
      <c r="V207" s="25" t="s"/>
      <c r="W207" s="25" t="s"/>
      <c r="X207" s="25" t="s"/>
      <c r="Y207" s="25" t="s"/>
      <c r="Z207" s="23">
        <v>0</v>
      </c>
      <c r="AA207" s="23">
        <v>0</v>
      </c>
      <c r="AB207" s="25" t="s"/>
      <c r="AC207" s="26" t="s"/>
      <c r="AD207" s="23">
        <v>371970</v>
      </c>
      <c r="AE207" s="23">
        <v>1812154</v>
      </c>
      <c r="AF207" s="23">
        <v>778913</v>
      </c>
      <c r="AG207" s="23">
        <v>233589</v>
      </c>
      <c r="AH207" s="23">
        <v>12611</v>
      </c>
      <c r="AI207" s="23">
        <v>0</v>
      </c>
      <c r="AJ207" s="23">
        <v>22270</v>
      </c>
      <c r="AK207" s="27" t="s"/>
      <c r="AL207" s="27" t="s"/>
      <c r="AM207" s="27" t="s"/>
    </row>
    <row r="208" spans="1:39" s="155" customFormat="1" ht="12.95" customHeight="1">
      <c r="A208" s="17">
        <v>999910000124</v>
      </c>
      <c r="B208" s="18" t="s">
        <v>490</v>
      </c>
      <c r="C208" s="18" t="s">
        <v>52</v>
      </c>
      <c r="D208" s="18" t="s">
        <v>260</v>
      </c>
      <c r="E208" s="18" t="s">
        <v>14</v>
      </c>
      <c r="F208" s="18" t="s">
        <v>114</v>
      </c>
      <c r="G208" s="19" t="s">
        <v>7</v>
      </c>
      <c r="H208" s="20" t="s">
        <v>115</v>
      </c>
      <c r="I208" s="21">
        <v>46476</v>
      </c>
      <c r="J208" s="22">
        <f>=SUM(K208:Q208)</f>
        <v>6902357</v>
      </c>
      <c r="K208" s="62">
        <v>1406462</v>
      </c>
      <c r="L208" s="62">
        <v>2047178</v>
      </c>
      <c r="M208" s="62">
        <v>1343648</v>
      </c>
      <c r="N208" s="62">
        <v>300000</v>
      </c>
      <c r="O208" s="62">
        <v>50000</v>
      </c>
      <c r="P208" s="62">
        <v>1555069</v>
      </c>
      <c r="Q208" s="62">
        <v>200000</v>
      </c>
      <c r="R208" s="24" t="s"/>
      <c r="S208" s="25" t="s"/>
      <c r="T208" s="25" t="s"/>
      <c r="U208" s="25" t="s"/>
      <c r="V208" s="25" t="s"/>
      <c r="W208" s="25" t="s"/>
      <c r="X208" s="25" t="s"/>
      <c r="Y208" s="25" t="s"/>
      <c r="Z208" s="23">
        <v>0</v>
      </c>
      <c r="AA208" s="23">
        <v>0</v>
      </c>
      <c r="AB208" s="25" t="s"/>
      <c r="AC208" s="26" t="s"/>
      <c r="AD208" s="23">
        <v>0</v>
      </c>
      <c r="AE208" s="23">
        <v>0</v>
      </c>
      <c r="AF208" s="23">
        <v>150000</v>
      </c>
      <c r="AG208" s="23">
        <v>0</v>
      </c>
      <c r="AH208" s="23">
        <v>0</v>
      </c>
      <c r="AI208" s="23">
        <v>260000</v>
      </c>
      <c r="AJ208" s="23">
        <v>0</v>
      </c>
      <c r="AK208" s="27" t="s"/>
      <c r="AL208" s="27" t="s"/>
      <c r="AM208" s="27" t="s"/>
    </row>
    <row r="209" spans="1:39" s="155" customFormat="1" ht="12.95" customHeight="1">
      <c r="A209" s="17">
        <v>999910000125</v>
      </c>
      <c r="B209" s="63" t="s">
        <v>491</v>
      </c>
      <c r="C209" s="18" t="s">
        <v>52</v>
      </c>
      <c r="D209" s="18" t="s">
        <v>260</v>
      </c>
      <c r="E209" s="18" t="s">
        <v>135</v>
      </c>
      <c r="F209" s="18" t="s">
        <v>114</v>
      </c>
      <c r="G209" s="19" t="s">
        <v>7</v>
      </c>
      <c r="H209" s="20" t="s">
        <v>115</v>
      </c>
      <c r="I209" s="21">
        <v>46476</v>
      </c>
      <c r="J209" s="22">
        <f>=SUM(K209:Q209)</f>
        <v>0</v>
      </c>
      <c r="K209" s="23">
        <v>0</v>
      </c>
      <c r="L209" s="23">
        <v>0</v>
      </c>
      <c r="M209" s="23">
        <v>0</v>
      </c>
      <c r="N209" s="23">
        <v>0</v>
      </c>
      <c r="O209" s="23">
        <v>0</v>
      </c>
      <c r="P209" s="23">
        <v>0</v>
      </c>
      <c r="Q209" s="23">
        <v>0</v>
      </c>
      <c r="R209" s="24" t="s"/>
      <c r="S209" s="25" t="s"/>
      <c r="T209" s="25" t="s"/>
      <c r="U209" s="25" t="s"/>
      <c r="V209" s="25" t="s"/>
      <c r="W209" s="25" t="s"/>
      <c r="X209" s="25" t="s"/>
      <c r="Y209" s="25" t="s"/>
      <c r="Z209" s="23">
        <v>0</v>
      </c>
      <c r="AA209" s="23">
        <v>0</v>
      </c>
      <c r="AB209" s="25" t="s"/>
      <c r="AC209" s="26" t="s"/>
      <c r="AD209" s="23">
        <v>0</v>
      </c>
      <c r="AE209" s="23">
        <v>0</v>
      </c>
      <c r="AF209" s="23">
        <v>100000</v>
      </c>
      <c r="AG209" s="23">
        <v>0</v>
      </c>
      <c r="AH209" s="23">
        <v>0</v>
      </c>
      <c r="AI209" s="23">
        <v>150000</v>
      </c>
      <c r="AJ209" s="23">
        <v>0</v>
      </c>
      <c r="AK209" s="27" t="s"/>
      <c r="AL209" s="27" t="s"/>
      <c r="AM209" s="27" t="s"/>
    </row>
    <row r="210" spans="1:39" s="155" customFormat="1" ht="12.95" customHeight="1">
      <c r="A210" s="17">
        <v>999910000126</v>
      </c>
      <c r="B210" s="18" t="s">
        <v>492</v>
      </c>
      <c r="C210" s="18" t="s">
        <v>52</v>
      </c>
      <c r="D210" s="18" t="s">
        <v>260</v>
      </c>
      <c r="E210" s="18" t="s">
        <v>74</v>
      </c>
      <c r="F210" s="18" t="s">
        <v>114</v>
      </c>
      <c r="G210" s="19" t="s">
        <v>7</v>
      </c>
      <c r="H210" s="20" t="s">
        <v>115</v>
      </c>
      <c r="I210" s="21">
        <v>46476</v>
      </c>
      <c r="J210" s="22">
        <f>=SUM(K210:Q210)</f>
        <v>7110452</v>
      </c>
      <c r="K210" s="62">
        <v>554879</v>
      </c>
      <c r="L210" s="62">
        <v>2374437</v>
      </c>
      <c r="M210" s="62">
        <v>1704757</v>
      </c>
      <c r="N210" s="62">
        <v>300000</v>
      </c>
      <c r="O210" s="62">
        <v>50000</v>
      </c>
      <c r="P210" s="62">
        <v>1926379</v>
      </c>
      <c r="Q210" s="62">
        <v>200000</v>
      </c>
      <c r="R210" s="24" t="s"/>
      <c r="S210" s="25" t="s"/>
      <c r="T210" s="25" t="s"/>
      <c r="U210" s="25" t="s"/>
      <c r="V210" s="25" t="s"/>
      <c r="W210" s="25" t="s"/>
      <c r="X210" s="25" t="s"/>
      <c r="Y210" s="25" t="s"/>
      <c r="Z210" s="23">
        <v>0</v>
      </c>
      <c r="AA210" s="23">
        <v>0</v>
      </c>
      <c r="AB210" s="25" t="s"/>
      <c r="AC210" s="26" t="s"/>
      <c r="AD210" s="23">
        <v>0</v>
      </c>
      <c r="AE210" s="23">
        <v>0</v>
      </c>
      <c r="AF210" s="23">
        <v>150000</v>
      </c>
      <c r="AG210" s="23">
        <v>0</v>
      </c>
      <c r="AH210" s="23">
        <v>0</v>
      </c>
      <c r="AI210" s="23">
        <v>250000</v>
      </c>
      <c r="AJ210" s="23">
        <v>0</v>
      </c>
      <c r="AK210" s="27" t="s"/>
      <c r="AL210" s="27" t="s"/>
      <c r="AM210" s="27" t="s"/>
    </row>
    <row r="211" spans="1:39" s="155" customFormat="1" ht="12.95" customHeight="1">
      <c r="A211" s="17">
        <v>999910000127</v>
      </c>
      <c r="B211" s="18" t="s">
        <v>493</v>
      </c>
      <c r="C211" s="18" t="s">
        <v>52</v>
      </c>
      <c r="D211" s="18" t="s">
        <v>260</v>
      </c>
      <c r="E211" s="18" t="s">
        <v>494</v>
      </c>
      <c r="F211" s="18" t="s">
        <v>114</v>
      </c>
      <c r="G211" s="19" t="s">
        <v>7</v>
      </c>
      <c r="H211" s="20" t="s">
        <v>115</v>
      </c>
      <c r="I211" s="21" t="s">
        <v>7</v>
      </c>
      <c r="J211" s="22">
        <f>=SUM(K211:Q211)</f>
        <v>5175254</v>
      </c>
      <c r="K211" s="62">
        <v>476347</v>
      </c>
      <c r="L211" s="62">
        <v>1636408</v>
      </c>
      <c r="M211" s="62">
        <v>1093898</v>
      </c>
      <c r="N211" s="62">
        <v>300000</v>
      </c>
      <c r="O211" s="62">
        <v>50000</v>
      </c>
      <c r="P211" s="62">
        <v>1418601</v>
      </c>
      <c r="Q211" s="62">
        <v>200000</v>
      </c>
      <c r="R211" s="24" t="s"/>
      <c r="S211" s="25" t="s"/>
      <c r="T211" s="25" t="s"/>
      <c r="U211" s="25" t="s"/>
      <c r="V211" s="25" t="s"/>
      <c r="W211" s="25" t="s"/>
      <c r="X211" s="25" t="s"/>
      <c r="Y211" s="25" t="s"/>
      <c r="Z211" s="23">
        <v>0</v>
      </c>
      <c r="AA211" s="23">
        <v>0</v>
      </c>
      <c r="AB211" s="25" t="s"/>
      <c r="AC211" s="26" t="s"/>
      <c r="AD211" s="23">
        <v>0</v>
      </c>
      <c r="AE211" s="23">
        <v>0</v>
      </c>
      <c r="AF211" s="23">
        <v>0</v>
      </c>
      <c r="AG211" s="23">
        <v>0</v>
      </c>
      <c r="AH211" s="23">
        <v>0</v>
      </c>
      <c r="AI211" s="23">
        <v>0</v>
      </c>
      <c r="AJ211" s="23">
        <v>0</v>
      </c>
      <c r="AK211" s="27" t="s"/>
      <c r="AL211" s="27" t="s"/>
      <c r="AM211" s="27" t="s"/>
    </row>
    <row r="212" spans="1:39" s="155" customFormat="1" ht="12.95" customHeight="1">
      <c r="A212" s="17">
        <v>999910000128</v>
      </c>
      <c r="B212" s="18" t="s">
        <v>495</v>
      </c>
      <c r="C212" s="18" t="s">
        <v>112</v>
      </c>
      <c r="D212" s="18" t="s">
        <v>496</v>
      </c>
      <c r="E212" s="18" t="s">
        <v>14</v>
      </c>
      <c r="F212" s="18" t="s">
        <v>114</v>
      </c>
      <c r="G212" s="19" t="s">
        <v>7</v>
      </c>
      <c r="H212" s="20" t="s">
        <v>115</v>
      </c>
      <c r="I212" s="21" t="s">
        <v>7</v>
      </c>
      <c r="J212" s="22">
        <f>=SUM(K212:Q212)</f>
        <v>0</v>
      </c>
      <c r="K212" s="23">
        <v>0</v>
      </c>
      <c r="L212" s="23">
        <v>0</v>
      </c>
      <c r="M212" s="23">
        <v>0</v>
      </c>
      <c r="N212" s="23">
        <v>0</v>
      </c>
      <c r="O212" s="23">
        <v>0</v>
      </c>
      <c r="P212" s="23">
        <v>0</v>
      </c>
      <c r="Q212" s="23">
        <v>0</v>
      </c>
      <c r="R212" s="24" t="s"/>
      <c r="S212" s="25" t="s"/>
      <c r="T212" s="25" t="s"/>
      <c r="U212" s="25" t="s"/>
      <c r="V212" s="25" t="s"/>
      <c r="W212" s="25" t="s"/>
      <c r="X212" s="25" t="s"/>
      <c r="Y212" s="25" t="s"/>
      <c r="Z212" s="23">
        <v>0</v>
      </c>
      <c r="AA212" s="23">
        <v>0</v>
      </c>
      <c r="AB212" s="25" t="s"/>
      <c r="AC212" s="26" t="s"/>
      <c r="AD212" s="23">
        <v>0</v>
      </c>
      <c r="AE212" s="23">
        <v>0</v>
      </c>
      <c r="AF212" s="23">
        <v>0</v>
      </c>
      <c r="AG212" s="23">
        <v>0</v>
      </c>
      <c r="AH212" s="23">
        <v>0</v>
      </c>
      <c r="AI212" s="23">
        <v>0</v>
      </c>
      <c r="AJ212" s="23">
        <v>0</v>
      </c>
      <c r="AK212" s="27" t="s"/>
      <c r="AL212" s="27" t="s"/>
      <c r="AM212" s="27" t="s"/>
    </row>
    <row r="213" spans="1:39" s="155" customFormat="1" ht="12.95" customHeight="1">
      <c r="A213" s="17">
        <v>999910000129</v>
      </c>
      <c r="B213" s="18" t="s">
        <v>497</v>
      </c>
      <c r="C213" s="18" t="s">
        <v>67</v>
      </c>
      <c r="D213" s="18" t="s">
        <v>498</v>
      </c>
      <c r="E213" s="18" t="s">
        <v>74</v>
      </c>
      <c r="F213" s="18" t="s">
        <v>69</v>
      </c>
      <c r="G213" s="19" t="s">
        <v>7</v>
      </c>
      <c r="H213" s="20" t="s">
        <v>70</v>
      </c>
      <c r="I213" s="44">
        <v>46266</v>
      </c>
      <c r="J213" s="22">
        <f>=SUM(K213:Q213)</f>
        <v>4710727</v>
      </c>
      <c r="K213" s="23">
        <v>200000</v>
      </c>
      <c r="L213" s="23">
        <v>2182130</v>
      </c>
      <c r="M213" s="23">
        <v>1978597</v>
      </c>
      <c r="N213" s="23">
        <v>300000</v>
      </c>
      <c r="O213" s="23">
        <v>50000</v>
      </c>
      <c r="P213" s="23">
        <v>0</v>
      </c>
      <c r="Q213" s="23">
        <v>0</v>
      </c>
      <c r="R213" s="24" t="s"/>
      <c r="S213" s="25" t="s"/>
      <c r="T213" s="25" t="s"/>
      <c r="U213" s="25" t="s"/>
      <c r="V213" s="25" t="s"/>
      <c r="W213" s="25" t="s"/>
      <c r="X213" s="25" t="s"/>
      <c r="Y213" s="25" t="s"/>
      <c r="Z213" s="23">
        <v>0</v>
      </c>
      <c r="AA213" s="23">
        <v>0</v>
      </c>
      <c r="AB213" s="25" t="s"/>
      <c r="AC213" s="26" t="s"/>
      <c r="AD213" s="23">
        <v>0</v>
      </c>
      <c r="AE213" s="23">
        <v>0</v>
      </c>
      <c r="AF213" s="23">
        <v>0</v>
      </c>
      <c r="AG213" s="23">
        <v>0</v>
      </c>
      <c r="AH213" s="23">
        <v>0</v>
      </c>
      <c r="AI213" s="23">
        <v>0</v>
      </c>
      <c r="AJ213" s="23">
        <v>0</v>
      </c>
      <c r="AK213" s="27" t="s"/>
      <c r="AL213" s="27" t="s"/>
      <c r="AM213" s="27" t="s"/>
    </row>
    <row r="214" spans="1:39" s="155" customFormat="1" ht="12.95" customHeight="1">
      <c r="A214" s="17">
        <v>999910000130</v>
      </c>
      <c r="B214" s="18" t="s">
        <v>499</v>
      </c>
      <c r="C214" s="18" t="s">
        <v>500</v>
      </c>
      <c r="D214" s="18" t="s">
        <v>501</v>
      </c>
      <c r="E214" s="18" t="s">
        <v>29</v>
      </c>
      <c r="F214" s="63" t="s">
        <v>114</v>
      </c>
      <c r="G214" s="64" t="s">
        <v>7</v>
      </c>
      <c r="H214" s="65" t="s">
        <v>115</v>
      </c>
      <c r="I214" s="21">
        <v>46053</v>
      </c>
      <c r="J214" s="22">
        <f>=SUM(K214:Q214)</f>
        <v>2020531.66666667</v>
      </c>
      <c r="K214" s="23">
        <v>607000</v>
      </c>
      <c r="L214" s="23">
        <v>675822.666666667</v>
      </c>
      <c r="M214" s="23">
        <v>413600</v>
      </c>
      <c r="N214" s="23">
        <v>0</v>
      </c>
      <c r="O214" s="23">
        <v>0</v>
      </c>
      <c r="P214" s="23">
        <v>224109</v>
      </c>
      <c r="Q214" s="23">
        <v>100000</v>
      </c>
      <c r="R214" s="24" t="s"/>
      <c r="S214" s="25" t="s"/>
      <c r="T214" s="25" t="s"/>
      <c r="U214" s="25" t="s"/>
      <c r="V214" s="25" t="s"/>
      <c r="W214" s="25" t="s"/>
      <c r="X214" s="25" t="s"/>
      <c r="Y214" s="25" t="s"/>
      <c r="Z214" s="23">
        <v>160400</v>
      </c>
      <c r="AA214" s="23">
        <v>0</v>
      </c>
      <c r="AB214" s="25" t="s"/>
      <c r="AC214" s="26" t="s"/>
      <c r="AD214" s="23">
        <v>276539</v>
      </c>
      <c r="AE214" s="23">
        <v>1459734</v>
      </c>
      <c r="AF214" s="23">
        <v>256871</v>
      </c>
      <c r="AG214" s="23">
        <v>178855</v>
      </c>
      <c r="AH214" s="23">
        <v>5498</v>
      </c>
      <c r="AI214" s="23">
        <v>0</v>
      </c>
      <c r="AJ214" s="23">
        <v>38599</v>
      </c>
      <c r="AK214" s="27" t="s"/>
      <c r="AL214" s="27" t="s"/>
      <c r="AM214" s="27" t="s"/>
    </row>
    <row r="215" spans="1:39" s="155" customFormat="1" ht="12.95" customHeight="1">
      <c r="A215" s="17">
        <v>999910000131</v>
      </c>
      <c r="B215" s="18" t="s">
        <v>502</v>
      </c>
      <c r="C215" s="18" t="s">
        <v>347</v>
      </c>
      <c r="D215" s="18" t="s">
        <v>503</v>
      </c>
      <c r="E215" s="18" t="s">
        <v>74</v>
      </c>
      <c r="F215" s="18" t="s">
        <v>413</v>
      </c>
      <c r="G215" s="19" t="s">
        <v>7</v>
      </c>
      <c r="H215" s="20" t="s">
        <v>70</v>
      </c>
      <c r="I215" s="21">
        <v>45954</v>
      </c>
      <c r="J215" s="22">
        <f>=SUM(K215:Q215)</f>
        <v>5372080.41666667</v>
      </c>
      <c r="K215" s="23">
        <v>1796800</v>
      </c>
      <c r="L215" s="23">
        <v>1291831.66666667</v>
      </c>
      <c r="M215" s="23">
        <v>914620</v>
      </c>
      <c r="N215" s="23">
        <v>132000</v>
      </c>
      <c r="O215" s="23">
        <v>0</v>
      </c>
      <c r="P215" s="23">
        <v>1236828.75</v>
      </c>
      <c r="Q215" s="23">
        <v>0</v>
      </c>
      <c r="R215" s="24" t="s"/>
      <c r="S215" s="25" t="s"/>
      <c r="T215" s="25" t="s"/>
      <c r="U215" s="25" t="s"/>
      <c r="V215" s="25" t="s"/>
      <c r="W215" s="25" t="s"/>
      <c r="X215" s="25" t="s"/>
      <c r="Y215" s="25" t="s"/>
      <c r="Z215" s="23">
        <v>1949325</v>
      </c>
      <c r="AA215" s="23">
        <v>0</v>
      </c>
      <c r="AB215" s="25" t="s"/>
      <c r="AC215" s="26" t="s"/>
      <c r="AD215" s="23">
        <v>17376</v>
      </c>
      <c r="AE215" s="23">
        <v>2759735</v>
      </c>
      <c r="AF215" s="23">
        <v>701887</v>
      </c>
      <c r="AG215" s="23">
        <v>2354</v>
      </c>
      <c r="AH215" s="23">
        <v>0</v>
      </c>
      <c r="AI215" s="23">
        <v>649281.75</v>
      </c>
      <c r="AJ215" s="23">
        <v>14767</v>
      </c>
      <c r="AK215" s="27" t="s"/>
      <c r="AL215" s="27" t="s"/>
      <c r="AM215" s="27" t="s"/>
    </row>
    <row r="216" spans="1:39" s="155" customFormat="1" ht="12.95" customHeight="1">
      <c r="A216" s="17">
        <v>999910000133</v>
      </c>
      <c r="B216" s="18" t="s">
        <v>504</v>
      </c>
      <c r="C216" s="18" t="s">
        <v>193</v>
      </c>
      <c r="D216" s="18" t="s">
        <v>194</v>
      </c>
      <c r="E216" s="18" t="s">
        <v>126</v>
      </c>
      <c r="F216" s="18" t="s">
        <v>191</v>
      </c>
      <c r="G216" s="19" t="s">
        <v>277</v>
      </c>
      <c r="H216" s="20" t="s">
        <v>27</v>
      </c>
      <c r="I216" s="21">
        <v>46326</v>
      </c>
      <c r="J216" s="22">
        <f>=SUM(K216:Q216)</f>
        <v>0</v>
      </c>
      <c r="K216" s="23">
        <v>0</v>
      </c>
      <c r="L216" s="23">
        <v>0</v>
      </c>
      <c r="M216" s="23">
        <v>0</v>
      </c>
      <c r="N216" s="23">
        <v>0</v>
      </c>
      <c r="O216" s="23">
        <v>0</v>
      </c>
      <c r="P216" s="23">
        <v>0</v>
      </c>
      <c r="Q216" s="23">
        <v>0</v>
      </c>
      <c r="R216" s="24" t="s"/>
      <c r="S216" s="25" t="s"/>
      <c r="T216" s="25" t="s"/>
      <c r="U216" s="25" t="s"/>
      <c r="V216" s="25" t="s"/>
      <c r="W216" s="25" t="s"/>
      <c r="X216" s="25" t="s"/>
      <c r="Y216" s="25" t="s"/>
      <c r="Z216" s="51">
        <v>15000</v>
      </c>
      <c r="AA216" s="23">
        <v>0</v>
      </c>
      <c r="AB216" s="25" t="s"/>
      <c r="AC216" s="26" t="s"/>
      <c r="AD216" s="23">
        <v>0</v>
      </c>
      <c r="AE216" s="23">
        <v>0</v>
      </c>
      <c r="AF216" s="23">
        <v>0</v>
      </c>
      <c r="AG216" s="23">
        <v>0</v>
      </c>
      <c r="AH216" s="23">
        <v>0</v>
      </c>
      <c r="AI216" s="23">
        <v>0</v>
      </c>
      <c r="AJ216" s="23">
        <v>0</v>
      </c>
      <c r="AK216" s="59" t="s">
        <v>505</v>
      </c>
      <c r="AL216" s="42" t="s">
        <v>176</v>
      </c>
      <c r="AM216" s="59" t="s"/>
    </row>
    <row r="217" spans="1:39" s="155" customFormat="1" ht="12.95" customHeight="1">
      <c r="A217" s="17">
        <v>999910000134</v>
      </c>
      <c r="B217" s="18" t="s">
        <v>506</v>
      </c>
      <c r="C217" s="18" t="s">
        <v>4</v>
      </c>
      <c r="D217" s="18" t="s">
        <v>4</v>
      </c>
      <c r="E217" s="18" t="s">
        <v>4</v>
      </c>
      <c r="F217" s="18" t="s">
        <v>59</v>
      </c>
      <c r="G217" s="19" t="s">
        <v>365</v>
      </c>
      <c r="H217" s="20" t="s">
        <v>4</v>
      </c>
      <c r="I217" s="21" t="s">
        <v>7</v>
      </c>
      <c r="J217" s="22">
        <f>=SUM(K217:Q217)</f>
        <v>0</v>
      </c>
      <c r="K217" s="23">
        <v>0</v>
      </c>
      <c r="L217" s="23">
        <v>0</v>
      </c>
      <c r="M217" s="23">
        <v>0</v>
      </c>
      <c r="N217" s="23">
        <v>0</v>
      </c>
      <c r="O217" s="23">
        <v>0</v>
      </c>
      <c r="P217" s="23">
        <v>0</v>
      </c>
      <c r="Q217" s="23">
        <v>0</v>
      </c>
      <c r="R217" s="24" t="s"/>
      <c r="S217" s="25" t="s"/>
      <c r="T217" s="25" t="s"/>
      <c r="U217" s="25" t="s"/>
      <c r="V217" s="25" t="s"/>
      <c r="W217" s="25" t="s"/>
      <c r="X217" s="25" t="s"/>
      <c r="Y217" s="25" t="s"/>
      <c r="Z217" s="23">
        <v>0</v>
      </c>
      <c r="AA217" s="23">
        <v>0</v>
      </c>
      <c r="AB217" s="25" t="s"/>
      <c r="AC217" s="26" t="s"/>
      <c r="AD217" s="23">
        <v>0</v>
      </c>
      <c r="AE217" s="23">
        <v>0</v>
      </c>
      <c r="AF217" s="23">
        <v>0</v>
      </c>
      <c r="AG217" s="23">
        <v>0</v>
      </c>
      <c r="AH217" s="23">
        <v>0</v>
      </c>
      <c r="AI217" s="23">
        <v>0</v>
      </c>
      <c r="AJ217" s="23">
        <v>0</v>
      </c>
      <c r="AK217" s="27" t="s"/>
      <c r="AL217" s="27" t="s"/>
      <c r="AM217" s="27" t="s"/>
    </row>
    <row r="218" spans="1:39" s="155" customFormat="1" ht="12.95" customHeight="1">
      <c r="A218" s="17">
        <v>999910000135</v>
      </c>
      <c r="B218" s="18" t="s">
        <v>507</v>
      </c>
      <c r="C218" s="18" t="s">
        <v>67</v>
      </c>
      <c r="D218" s="18" t="s">
        <v>498</v>
      </c>
      <c r="E218" s="18" t="s">
        <v>14</v>
      </c>
      <c r="F218" s="18" t="s">
        <v>69</v>
      </c>
      <c r="G218" s="19" t="s">
        <v>7</v>
      </c>
      <c r="H218" s="20" t="s">
        <v>70</v>
      </c>
      <c r="I218" s="66">
        <v>46266</v>
      </c>
      <c r="J218" s="22">
        <f>=SUM(K218:Q218)</f>
        <v>4457337.35857326</v>
      </c>
      <c r="K218" s="23">
        <v>200000</v>
      </c>
      <c r="L218" s="23">
        <v>1912225.52380952</v>
      </c>
      <c r="M218" s="23">
        <v>1995111.83476374</v>
      </c>
      <c r="N218" s="23">
        <v>300000</v>
      </c>
      <c r="O218" s="23">
        <v>50000</v>
      </c>
      <c r="P218" s="23">
        <v>0</v>
      </c>
      <c r="Q218" s="23">
        <v>0</v>
      </c>
      <c r="R218" s="24" t="s"/>
      <c r="S218" s="25" t="s"/>
      <c r="T218" s="25" t="s"/>
      <c r="U218" s="25" t="s"/>
      <c r="V218" s="25" t="s"/>
      <c r="W218" s="25" t="s"/>
      <c r="X218" s="25" t="s"/>
      <c r="Y218" s="25" t="s"/>
      <c r="Z218" s="23">
        <v>0</v>
      </c>
      <c r="AA218" s="23">
        <v>0</v>
      </c>
      <c r="AB218" s="25" t="s"/>
      <c r="AC218" s="26" t="s"/>
      <c r="AD218" s="23">
        <v>0</v>
      </c>
      <c r="AE218" s="23">
        <v>0</v>
      </c>
      <c r="AF218" s="23">
        <v>0</v>
      </c>
      <c r="AG218" s="23">
        <v>0</v>
      </c>
      <c r="AH218" s="23">
        <v>0</v>
      </c>
      <c r="AI218" s="23">
        <v>0</v>
      </c>
      <c r="AJ218" s="23">
        <v>0</v>
      </c>
      <c r="AK218" s="27" t="s"/>
      <c r="AL218" s="27" t="s"/>
      <c r="AM218" s="27" t="s"/>
    </row>
    <row r="219" spans="1:39" s="155" customFormat="1" ht="12.95" customHeight="1">
      <c r="A219" s="17">
        <v>999910000136</v>
      </c>
      <c r="B219" s="18" t="s">
        <v>508</v>
      </c>
      <c r="C219" s="18" t="s">
        <v>67</v>
      </c>
      <c r="D219" s="18" t="s">
        <v>498</v>
      </c>
      <c r="E219" s="18" t="s">
        <v>29</v>
      </c>
      <c r="F219" s="18" t="s">
        <v>69</v>
      </c>
      <c r="G219" s="19" t="s">
        <v>7</v>
      </c>
      <c r="H219" s="20" t="s">
        <v>70</v>
      </c>
      <c r="I219" s="66">
        <v>46266</v>
      </c>
      <c r="J219" s="22">
        <f>=SUM(K219:Q219)</f>
        <v>962234</v>
      </c>
      <c r="K219" s="23">
        <v>200000</v>
      </c>
      <c r="L219" s="23">
        <v>388663</v>
      </c>
      <c r="M219" s="23">
        <v>323571</v>
      </c>
      <c r="N219" s="23">
        <v>0</v>
      </c>
      <c r="O219" s="23">
        <v>50000</v>
      </c>
      <c r="P219" s="23">
        <v>0</v>
      </c>
      <c r="Q219" s="23">
        <v>0</v>
      </c>
      <c r="R219" s="24" t="s"/>
      <c r="S219" s="25" t="s"/>
      <c r="T219" s="25" t="s"/>
      <c r="U219" s="25" t="s"/>
      <c r="V219" s="25" t="s"/>
      <c r="W219" s="25" t="s"/>
      <c r="X219" s="25" t="s"/>
      <c r="Y219" s="25" t="s"/>
      <c r="Z219" s="23">
        <v>0</v>
      </c>
      <c r="AA219" s="23">
        <v>0</v>
      </c>
      <c r="AB219" s="25" t="s"/>
      <c r="AC219" s="26" t="s"/>
      <c r="AD219" s="23">
        <v>0</v>
      </c>
      <c r="AE219" s="23">
        <v>0</v>
      </c>
      <c r="AF219" s="23">
        <v>0</v>
      </c>
      <c r="AG219" s="23">
        <v>0</v>
      </c>
      <c r="AH219" s="23">
        <v>0</v>
      </c>
      <c r="AI219" s="23">
        <v>0</v>
      </c>
      <c r="AJ219" s="23">
        <v>0</v>
      </c>
      <c r="AK219" s="27" t="s"/>
      <c r="AL219" s="27" t="s"/>
      <c r="AM219" s="27" t="s"/>
    </row>
    <row r="220" spans="1:39" s="155" customFormat="1" ht="12.95" customHeight="1">
      <c r="A220" s="17">
        <v>999910000137</v>
      </c>
      <c r="B220" s="18" t="s">
        <v>509</v>
      </c>
      <c r="C220" s="18" t="s">
        <v>67</v>
      </c>
      <c r="D220" s="18" t="s">
        <v>498</v>
      </c>
      <c r="E220" s="18" t="s">
        <v>76</v>
      </c>
      <c r="F220" s="18" t="s">
        <v>69</v>
      </c>
      <c r="G220" s="19" t="s">
        <v>7</v>
      </c>
      <c r="H220" s="20" t="s">
        <v>70</v>
      </c>
      <c r="I220" s="66">
        <v>46266</v>
      </c>
      <c r="J220" s="22">
        <f>=SUM(K220:Q220)</f>
        <v>2522063</v>
      </c>
      <c r="K220" s="23">
        <v>200000</v>
      </c>
      <c r="L220" s="23">
        <v>975141</v>
      </c>
      <c r="M220" s="23">
        <v>996922</v>
      </c>
      <c r="N220" s="23">
        <v>300000</v>
      </c>
      <c r="O220" s="23">
        <v>50000</v>
      </c>
      <c r="P220" s="23">
        <v>0</v>
      </c>
      <c r="Q220" s="23">
        <v>0</v>
      </c>
      <c r="R220" s="24" t="s"/>
      <c r="S220" s="25" t="s"/>
      <c r="T220" s="25" t="s"/>
      <c r="U220" s="25" t="s"/>
      <c r="V220" s="25" t="s"/>
      <c r="W220" s="25" t="s"/>
      <c r="X220" s="25" t="s"/>
      <c r="Y220" s="25" t="s"/>
      <c r="Z220" s="23">
        <v>0</v>
      </c>
      <c r="AA220" s="23">
        <v>0</v>
      </c>
      <c r="AB220" s="25" t="s"/>
      <c r="AC220" s="26" t="s"/>
      <c r="AD220" s="23">
        <v>0</v>
      </c>
      <c r="AE220" s="23">
        <v>0</v>
      </c>
      <c r="AF220" s="23">
        <v>0</v>
      </c>
      <c r="AG220" s="23">
        <v>0</v>
      </c>
      <c r="AH220" s="23">
        <v>0</v>
      </c>
      <c r="AI220" s="23">
        <v>0</v>
      </c>
      <c r="AJ220" s="23">
        <v>0</v>
      </c>
      <c r="AK220" s="27" t="s"/>
      <c r="AL220" s="27" t="s"/>
      <c r="AM220" s="27" t="s"/>
    </row>
    <row r="221" spans="1:39" s="155" customFormat="1" ht="12.95" customHeight="1">
      <c r="A221" s="17">
        <v>999910000138</v>
      </c>
      <c r="B221" s="18" t="s">
        <v>510</v>
      </c>
      <c r="C221" s="18" t="s">
        <v>67</v>
      </c>
      <c r="D221" s="18" t="s">
        <v>498</v>
      </c>
      <c r="E221" s="18" t="s">
        <v>135</v>
      </c>
      <c r="F221" s="18" t="s">
        <v>69</v>
      </c>
      <c r="G221" s="19" t="s">
        <v>7</v>
      </c>
      <c r="H221" s="20" t="s">
        <v>70</v>
      </c>
      <c r="I221" s="66">
        <v>46266</v>
      </c>
      <c r="J221" s="22">
        <f>=SUM(K221:Q221)</f>
        <v>1634259</v>
      </c>
      <c r="K221" s="23">
        <v>200000</v>
      </c>
      <c r="L221" s="23">
        <v>607286</v>
      </c>
      <c r="M221" s="23">
        <v>626973</v>
      </c>
      <c r="N221" s="23">
        <v>150000</v>
      </c>
      <c r="O221" s="23">
        <v>50000</v>
      </c>
      <c r="P221" s="23">
        <v>0</v>
      </c>
      <c r="Q221" s="23">
        <v>0</v>
      </c>
      <c r="R221" s="24" t="s"/>
      <c r="S221" s="25" t="s"/>
      <c r="T221" s="25" t="s"/>
      <c r="U221" s="25" t="s"/>
      <c r="V221" s="25" t="s"/>
      <c r="W221" s="25" t="s"/>
      <c r="X221" s="25" t="s"/>
      <c r="Y221" s="25" t="s"/>
      <c r="Z221" s="23">
        <v>0</v>
      </c>
      <c r="AA221" s="23">
        <v>0</v>
      </c>
      <c r="AB221" s="25" t="s"/>
      <c r="AC221" s="26" t="s"/>
      <c r="AD221" s="23">
        <v>0</v>
      </c>
      <c r="AE221" s="23">
        <v>0</v>
      </c>
      <c r="AF221" s="23">
        <v>0</v>
      </c>
      <c r="AG221" s="23">
        <v>0</v>
      </c>
      <c r="AH221" s="23">
        <v>0</v>
      </c>
      <c r="AI221" s="23">
        <v>0</v>
      </c>
      <c r="AJ221" s="23">
        <v>0</v>
      </c>
      <c r="AK221" s="27" t="s"/>
      <c r="AL221" s="27" t="s"/>
      <c r="AM221" s="27" t="s"/>
    </row>
    <row r="222" spans="1:39" s="155" customFormat="1" ht="12.95" customHeight="1">
      <c r="A222" s="17">
        <v>999910000139</v>
      </c>
      <c r="B222" s="18" t="s">
        <v>511</v>
      </c>
      <c r="C222" s="18" t="s">
        <v>512</v>
      </c>
      <c r="D222" s="18" t="s">
        <v>100</v>
      </c>
      <c r="E222" s="18" t="s">
        <v>14</v>
      </c>
      <c r="F222" s="18" t="s">
        <v>5</v>
      </c>
      <c r="G222" s="19" t="s">
        <v>277</v>
      </c>
      <c r="H222" s="20" t="s">
        <v>27</v>
      </c>
      <c r="I222" s="21">
        <v>46295</v>
      </c>
      <c r="J222" s="22">
        <f>=SUM(K222:Q222)</f>
        <v>0</v>
      </c>
      <c r="K222" s="23">
        <v>0</v>
      </c>
      <c r="L222" s="23">
        <v>0</v>
      </c>
      <c r="M222" s="23">
        <v>0</v>
      </c>
      <c r="N222" s="23">
        <v>0</v>
      </c>
      <c r="O222" s="23">
        <v>0</v>
      </c>
      <c r="P222" s="23">
        <v>0</v>
      </c>
      <c r="Q222" s="23">
        <v>0</v>
      </c>
      <c r="R222" s="24" t="s"/>
      <c r="S222" s="25" t="s"/>
      <c r="T222" s="25" t="s"/>
      <c r="U222" s="25" t="s"/>
      <c r="V222" s="25" t="s"/>
      <c r="W222" s="25" t="s"/>
      <c r="X222" s="25" t="s"/>
      <c r="Y222" s="25" t="s"/>
      <c r="Z222" s="23">
        <v>0</v>
      </c>
      <c r="AA222" s="23">
        <v>0</v>
      </c>
      <c r="AB222" s="25" t="s"/>
      <c r="AC222" s="26" t="s"/>
      <c r="AD222" s="23">
        <v>0</v>
      </c>
      <c r="AE222" s="23">
        <v>0</v>
      </c>
      <c r="AF222" s="23">
        <v>0</v>
      </c>
      <c r="AG222" s="23">
        <v>0</v>
      </c>
      <c r="AH222" s="23">
        <v>0</v>
      </c>
      <c r="AI222" s="23">
        <v>0</v>
      </c>
      <c r="AJ222" s="23">
        <v>0</v>
      </c>
      <c r="AK222" s="27" t="s"/>
      <c r="AL222" s="27" t="s"/>
      <c r="AM222" s="27" t="s"/>
    </row>
    <row r="223" spans="1:39" s="155" customFormat="1" ht="12.95" customHeight="1">
      <c r="A223" s="17">
        <v>999910000140</v>
      </c>
      <c r="B223" s="18" t="s">
        <v>513</v>
      </c>
      <c r="C223" s="18" t="s">
        <v>185</v>
      </c>
      <c r="D223" s="18" t="s">
        <v>186</v>
      </c>
      <c r="E223" s="18" t="s">
        <v>126</v>
      </c>
      <c r="F223" s="18" t="s">
        <v>114</v>
      </c>
      <c r="G223" s="19" t="s">
        <v>277</v>
      </c>
      <c r="H223" s="20" t="s">
        <v>115</v>
      </c>
      <c r="I223" s="21">
        <v>46302</v>
      </c>
      <c r="J223" s="22">
        <f>=SUM(K223:Q223)</f>
        <v>0</v>
      </c>
      <c r="K223" s="23">
        <v>0</v>
      </c>
      <c r="L223" s="23">
        <v>0</v>
      </c>
      <c r="M223" s="23">
        <v>0</v>
      </c>
      <c r="N223" s="23">
        <v>0</v>
      </c>
      <c r="O223" s="23">
        <v>0</v>
      </c>
      <c r="P223" s="23">
        <v>0</v>
      </c>
      <c r="Q223" s="23">
        <v>0</v>
      </c>
      <c r="R223" s="24" t="s"/>
      <c r="S223" s="25" t="s"/>
      <c r="T223" s="25" t="s"/>
      <c r="U223" s="25" t="s"/>
      <c r="V223" s="25" t="s"/>
      <c r="W223" s="25" t="s"/>
      <c r="X223" s="25" t="s"/>
      <c r="Y223" s="25" t="s"/>
      <c r="Z223" s="51">
        <v>204000</v>
      </c>
      <c r="AA223" s="23">
        <v>0</v>
      </c>
      <c r="AB223" s="25" t="s"/>
      <c r="AC223" s="26" t="s"/>
      <c r="AD223" s="23">
        <v>0</v>
      </c>
      <c r="AE223" s="23">
        <v>0</v>
      </c>
      <c r="AF223" s="23">
        <v>0</v>
      </c>
      <c r="AG223" s="23">
        <v>0</v>
      </c>
      <c r="AH223" s="23">
        <v>0</v>
      </c>
      <c r="AI223" s="23">
        <v>0</v>
      </c>
      <c r="AJ223" s="23">
        <v>0</v>
      </c>
      <c r="AK223" s="59" t="s">
        <v>514</v>
      </c>
      <c r="AL223" s="42" t="s">
        <v>176</v>
      </c>
      <c r="AM223" s="59" t="s"/>
    </row>
    <row r="224" spans="1:39" s="155" customFormat="1" ht="12.95" customHeight="1">
      <c r="A224" s="17">
        <v>999910000141</v>
      </c>
      <c r="B224" s="18" t="s">
        <v>515</v>
      </c>
      <c r="C224" s="18" t="s">
        <v>93</v>
      </c>
      <c r="D224" s="18" t="s">
        <v>516</v>
      </c>
      <c r="E224" s="18" t="s">
        <v>29</v>
      </c>
      <c r="F224" s="18" t="s">
        <v>42</v>
      </c>
      <c r="G224" s="19" t="s">
        <v>277</v>
      </c>
      <c r="H224" s="20" t="s">
        <v>27</v>
      </c>
      <c r="I224" s="21">
        <v>46264</v>
      </c>
      <c r="J224" s="22">
        <f>=SUM(K224:Q224)</f>
        <v>0</v>
      </c>
      <c r="K224" s="23">
        <v>0</v>
      </c>
      <c r="L224" s="23">
        <v>0</v>
      </c>
      <c r="M224" s="23">
        <v>0</v>
      </c>
      <c r="N224" s="23">
        <v>0</v>
      </c>
      <c r="O224" s="23">
        <v>0</v>
      </c>
      <c r="P224" s="23">
        <v>0</v>
      </c>
      <c r="Q224" s="23">
        <v>0</v>
      </c>
      <c r="R224" s="24" t="s"/>
      <c r="S224" s="25" t="s"/>
      <c r="T224" s="25" t="s"/>
      <c r="U224" s="25" t="s"/>
      <c r="V224" s="25" t="s"/>
      <c r="W224" s="25" t="s"/>
      <c r="X224" s="25" t="s"/>
      <c r="Y224" s="25" t="s"/>
      <c r="Z224" s="23">
        <v>0</v>
      </c>
      <c r="AA224" s="23">
        <v>0</v>
      </c>
      <c r="AB224" s="25" t="s"/>
      <c r="AC224" s="26" t="s"/>
      <c r="AD224" s="23">
        <v>0</v>
      </c>
      <c r="AE224" s="23">
        <v>0</v>
      </c>
      <c r="AF224" s="23">
        <v>0</v>
      </c>
      <c r="AG224" s="23">
        <v>0</v>
      </c>
      <c r="AH224" s="23">
        <v>0</v>
      </c>
      <c r="AI224" s="23">
        <v>0</v>
      </c>
      <c r="AJ224" s="23">
        <v>0</v>
      </c>
      <c r="AK224" s="27" t="s"/>
      <c r="AL224" s="27" t="s"/>
      <c r="AM224" s="27" t="s"/>
    </row>
    <row r="225" spans="1:39" s="155" customFormat="1" ht="12.95" customHeight="1">
      <c r="A225" s="17">
        <v>999910000142</v>
      </c>
      <c r="B225" s="18" t="s">
        <v>517</v>
      </c>
      <c r="C225" s="18" t="s">
        <v>234</v>
      </c>
      <c r="D225" s="18" t="s">
        <v>518</v>
      </c>
      <c r="E225" s="18" t="s">
        <v>29</v>
      </c>
      <c r="F225" s="18" t="s">
        <v>237</v>
      </c>
      <c r="G225" s="19" t="s">
        <v>277</v>
      </c>
      <c r="H225" s="20" t="s">
        <v>115</v>
      </c>
      <c r="I225" s="21">
        <v>46387</v>
      </c>
      <c r="J225" s="22">
        <f>=SUM(K225:Q225)</f>
        <v>0</v>
      </c>
      <c r="K225" s="23">
        <v>0</v>
      </c>
      <c r="L225" s="23">
        <v>0</v>
      </c>
      <c r="M225" s="23">
        <v>0</v>
      </c>
      <c r="N225" s="23">
        <v>0</v>
      </c>
      <c r="O225" s="23">
        <v>0</v>
      </c>
      <c r="P225" s="23">
        <v>0</v>
      </c>
      <c r="Q225" s="23">
        <v>0</v>
      </c>
      <c r="R225" s="24" t="s"/>
      <c r="S225" s="25" t="s"/>
      <c r="T225" s="25" t="s"/>
      <c r="U225" s="25" t="s"/>
      <c r="V225" s="25" t="s"/>
      <c r="W225" s="25" t="s"/>
      <c r="X225" s="25" t="s"/>
      <c r="Y225" s="25" t="s"/>
      <c r="Z225" s="23">
        <v>0</v>
      </c>
      <c r="AA225" s="23">
        <v>0</v>
      </c>
      <c r="AB225" s="25" t="s"/>
      <c r="AC225" s="26" t="s"/>
      <c r="AD225" s="23">
        <v>0</v>
      </c>
      <c r="AE225" s="23">
        <v>0</v>
      </c>
      <c r="AF225" s="23">
        <v>0</v>
      </c>
      <c r="AG225" s="23">
        <v>0</v>
      </c>
      <c r="AH225" s="23">
        <v>0</v>
      </c>
      <c r="AI225" s="23">
        <v>0</v>
      </c>
      <c r="AJ225" s="23">
        <v>0</v>
      </c>
      <c r="AK225" s="27" t="s"/>
      <c r="AL225" s="27" t="s"/>
      <c r="AM225" s="27" t="s"/>
    </row>
    <row r="226" spans="1:39" s="155" customFormat="1" ht="12.95" customHeight="1">
      <c r="A226" s="17">
        <v>999910000143</v>
      </c>
      <c r="B226" s="18" t="s">
        <v>519</v>
      </c>
      <c r="C226" s="18" t="s">
        <v>112</v>
      </c>
      <c r="D226" s="18" t="s">
        <v>520</v>
      </c>
      <c r="E226" s="18" t="s">
        <v>236</v>
      </c>
      <c r="F226" s="18" t="s">
        <v>237</v>
      </c>
      <c r="G226" s="19" t="s">
        <v>277</v>
      </c>
      <c r="H226" s="20" t="s">
        <v>115</v>
      </c>
      <c r="I226" s="21">
        <v>46752</v>
      </c>
      <c r="J226" s="22">
        <f>=SUM(K226:Q226)</f>
        <v>0</v>
      </c>
      <c r="K226" s="23">
        <v>0</v>
      </c>
      <c r="L226" s="23">
        <v>0</v>
      </c>
      <c r="M226" s="23">
        <v>0</v>
      </c>
      <c r="N226" s="23">
        <v>0</v>
      </c>
      <c r="O226" s="23">
        <v>0</v>
      </c>
      <c r="P226" s="23">
        <v>0</v>
      </c>
      <c r="Q226" s="23">
        <v>0</v>
      </c>
      <c r="R226" s="24" t="s"/>
      <c r="S226" s="25" t="s"/>
      <c r="T226" s="25" t="s"/>
      <c r="U226" s="25" t="s"/>
      <c r="V226" s="25" t="s"/>
      <c r="W226" s="25" t="s"/>
      <c r="X226" s="25" t="s"/>
      <c r="Y226" s="25" t="s"/>
      <c r="Z226" s="23">
        <v>0</v>
      </c>
      <c r="AA226" s="23">
        <v>0</v>
      </c>
      <c r="AB226" s="25" t="s"/>
      <c r="AC226" s="26" t="s"/>
      <c r="AD226" s="23">
        <v>0</v>
      </c>
      <c r="AE226" s="23">
        <v>0</v>
      </c>
      <c r="AF226" s="23">
        <v>0</v>
      </c>
      <c r="AG226" s="23">
        <v>0</v>
      </c>
      <c r="AH226" s="23">
        <v>0</v>
      </c>
      <c r="AI226" s="23">
        <v>0</v>
      </c>
      <c r="AJ226" s="23">
        <v>0</v>
      </c>
      <c r="AK226" s="27" t="s"/>
      <c r="AL226" s="27" t="s"/>
      <c r="AM226" s="27" t="s"/>
    </row>
    <row r="227" spans="1:39" s="155" customFormat="1" ht="12.95" customHeight="1">
      <c r="A227" s="17">
        <v>999910000144</v>
      </c>
      <c r="B227" s="18" t="s">
        <v>521</v>
      </c>
      <c r="C227" s="18" t="s">
        <v>37</v>
      </c>
      <c r="D227" s="18" t="s">
        <v>522</v>
      </c>
      <c r="E227" s="18" t="s">
        <v>10</v>
      </c>
      <c r="F227" s="18" t="s">
        <v>11</v>
      </c>
      <c r="G227" s="19" t="s">
        <v>7</v>
      </c>
      <c r="H227" s="20" t="s">
        <v>21</v>
      </c>
      <c r="I227" s="44">
        <v>46568</v>
      </c>
      <c r="J227" s="22">
        <f>=SUM(K227:Q227)</f>
        <v>482730.02</v>
      </c>
      <c r="K227" s="43">
        <v>89664</v>
      </c>
      <c r="L227" s="23">
        <v>0</v>
      </c>
      <c r="M227" s="43">
        <v>245283.02</v>
      </c>
      <c r="N227" s="53">
        <v>100000</v>
      </c>
      <c r="O227" s="53">
        <v>20000</v>
      </c>
      <c r="P227" s="23">
        <v>0</v>
      </c>
      <c r="Q227" s="43">
        <v>27783</v>
      </c>
      <c r="R227" s="24" t="s"/>
      <c r="S227" s="25" t="s"/>
      <c r="T227" s="25" t="s"/>
      <c r="U227" s="25" t="s"/>
      <c r="V227" s="25" t="s"/>
      <c r="W227" s="25" t="s"/>
      <c r="X227" s="25" t="s"/>
      <c r="Y227" s="25" t="s"/>
      <c r="Z227" s="23">
        <v>0</v>
      </c>
      <c r="AA227" s="23">
        <v>0</v>
      </c>
      <c r="AB227" s="25" t="s"/>
      <c r="AC227" s="26" t="s"/>
      <c r="AD227" s="23">
        <v>0</v>
      </c>
      <c r="AE227" s="23">
        <v>0</v>
      </c>
      <c r="AF227" s="23">
        <v>0</v>
      </c>
      <c r="AG227" s="23">
        <v>0</v>
      </c>
      <c r="AH227" s="23">
        <v>0</v>
      </c>
      <c r="AI227" s="23">
        <v>0</v>
      </c>
      <c r="AJ227" s="23">
        <v>0</v>
      </c>
      <c r="AK227" s="27" t="s"/>
      <c r="AL227" s="27" t="s"/>
      <c r="AM227" s="27" t="s"/>
    </row>
    <row r="228" spans="1:39" s="155" customFormat="1" ht="12.95" customHeight="1">
      <c r="A228" s="17">
        <v>999910000145</v>
      </c>
      <c r="B228" s="18" t="s">
        <v>523</v>
      </c>
      <c r="C228" s="18" t="s">
        <v>168</v>
      </c>
      <c r="D228" s="18" t="s">
        <v>524</v>
      </c>
      <c r="E228" s="18" t="s">
        <v>4</v>
      </c>
      <c r="F228" s="18" t="s">
        <v>26</v>
      </c>
      <c r="G228" s="19" t="s">
        <v>290</v>
      </c>
      <c r="H228" s="20" t="s">
        <v>4</v>
      </c>
      <c r="I228" s="21" t="s">
        <v>7</v>
      </c>
      <c r="J228" s="22">
        <f>=SUM(K228:Q228)</f>
        <v>170000</v>
      </c>
      <c r="K228" s="23">
        <v>0</v>
      </c>
      <c r="L228" s="23">
        <v>0</v>
      </c>
      <c r="M228" s="23">
        <v>0</v>
      </c>
      <c r="N228" s="23">
        <v>0</v>
      </c>
      <c r="O228" s="23">
        <v>0</v>
      </c>
      <c r="P228" s="43">
        <v>170000</v>
      </c>
      <c r="Q228" s="23">
        <v>0</v>
      </c>
      <c r="R228" s="24" t="s"/>
      <c r="S228" s="25" t="s"/>
      <c r="T228" s="25" t="s"/>
      <c r="U228" s="25" t="s"/>
      <c r="V228" s="25" t="s"/>
      <c r="W228" s="25" t="s"/>
      <c r="X228" s="25" t="s"/>
      <c r="Y228" s="25" t="s"/>
      <c r="Z228" s="23">
        <v>0</v>
      </c>
      <c r="AA228" s="23">
        <v>0</v>
      </c>
      <c r="AB228" s="25" t="s"/>
      <c r="AC228" s="26" t="s"/>
      <c r="AD228" s="23">
        <v>0</v>
      </c>
      <c r="AE228" s="23">
        <v>0</v>
      </c>
      <c r="AF228" s="23">
        <v>0</v>
      </c>
      <c r="AG228" s="23">
        <v>0</v>
      </c>
      <c r="AH228" s="23">
        <v>0</v>
      </c>
      <c r="AI228" s="23">
        <v>0</v>
      </c>
      <c r="AJ228" s="23">
        <v>0</v>
      </c>
      <c r="AK228" s="27" t="s"/>
      <c r="AL228" s="27" t="s"/>
      <c r="AM228" s="27" t="s"/>
    </row>
    <row r="229" spans="1:39" s="155" customFormat="1" ht="12.95" customHeight="1">
      <c r="A229" s="17">
        <v>999910000146</v>
      </c>
      <c r="B229" s="18" t="s">
        <v>525</v>
      </c>
      <c r="C229" s="18" t="s">
        <v>168</v>
      </c>
      <c r="D229" s="18" t="s">
        <v>524</v>
      </c>
      <c r="E229" s="18" t="s">
        <v>4</v>
      </c>
      <c r="F229" s="18" t="s">
        <v>26</v>
      </c>
      <c r="G229" s="19" t="s">
        <v>290</v>
      </c>
      <c r="H229" s="20" t="s">
        <v>4</v>
      </c>
      <c r="I229" s="21" t="s">
        <v>7</v>
      </c>
      <c r="J229" s="22">
        <f>=SUM(K229:Q229)</f>
        <v>132600</v>
      </c>
      <c r="K229" s="23">
        <v>0</v>
      </c>
      <c r="L229" s="43">
        <v>47600</v>
      </c>
      <c r="M229" s="23">
        <v>0</v>
      </c>
      <c r="N229" s="23">
        <v>0</v>
      </c>
      <c r="O229" s="23">
        <v>0</v>
      </c>
      <c r="P229" s="43">
        <v>85000</v>
      </c>
      <c r="Q229" s="23">
        <v>0</v>
      </c>
      <c r="R229" s="24" t="s"/>
      <c r="S229" s="25" t="s"/>
      <c r="T229" s="25" t="s"/>
      <c r="U229" s="25" t="s"/>
      <c r="V229" s="25" t="s"/>
      <c r="W229" s="25" t="s"/>
      <c r="X229" s="25" t="s"/>
      <c r="Y229" s="25" t="s"/>
      <c r="Z229" s="23">
        <v>0</v>
      </c>
      <c r="AA229" s="23">
        <v>0</v>
      </c>
      <c r="AB229" s="25" t="s"/>
      <c r="AC229" s="26" t="s"/>
      <c r="AD229" s="23">
        <v>0</v>
      </c>
      <c r="AE229" s="23">
        <v>0</v>
      </c>
      <c r="AF229" s="23">
        <v>0</v>
      </c>
      <c r="AG229" s="23">
        <v>0</v>
      </c>
      <c r="AH229" s="23">
        <v>0</v>
      </c>
      <c r="AI229" s="23">
        <v>0</v>
      </c>
      <c r="AJ229" s="23">
        <v>0</v>
      </c>
      <c r="AK229" s="27" t="s"/>
      <c r="AL229" s="27" t="s"/>
      <c r="AM229" s="27" t="s"/>
    </row>
    <row r="230" spans="1:39" s="155" customFormat="1" ht="12.95" customHeight="1">
      <c r="A230" s="17">
        <v>999910000147</v>
      </c>
      <c r="B230" s="18" t="s">
        <v>526</v>
      </c>
      <c r="C230" s="18" t="s">
        <v>168</v>
      </c>
      <c r="D230" s="18" t="s">
        <v>524</v>
      </c>
      <c r="E230" s="18" t="s">
        <v>4</v>
      </c>
      <c r="F230" s="18" t="s">
        <v>26</v>
      </c>
      <c r="G230" s="19" t="s">
        <v>290</v>
      </c>
      <c r="H230" s="20" t="s">
        <v>4</v>
      </c>
      <c r="I230" s="21" t="s">
        <v>7</v>
      </c>
      <c r="J230" s="22">
        <f>=SUM(K230:Q230)</f>
        <v>85000</v>
      </c>
      <c r="K230" s="23">
        <v>0</v>
      </c>
      <c r="L230" s="23">
        <v>0</v>
      </c>
      <c r="M230" s="23">
        <v>0</v>
      </c>
      <c r="N230" s="23">
        <v>0</v>
      </c>
      <c r="O230" s="23">
        <v>0</v>
      </c>
      <c r="P230" s="43">
        <v>85000</v>
      </c>
      <c r="Q230" s="23">
        <v>0</v>
      </c>
      <c r="R230" s="24" t="s"/>
      <c r="S230" s="25" t="s"/>
      <c r="T230" s="25" t="s"/>
      <c r="U230" s="25" t="s"/>
      <c r="V230" s="25" t="s"/>
      <c r="W230" s="25" t="s"/>
      <c r="X230" s="25" t="s"/>
      <c r="Y230" s="25" t="s"/>
      <c r="Z230" s="23">
        <v>0</v>
      </c>
      <c r="AA230" s="23">
        <v>0</v>
      </c>
      <c r="AB230" s="25" t="s"/>
      <c r="AC230" s="26" t="s"/>
      <c r="AD230" s="23">
        <v>0</v>
      </c>
      <c r="AE230" s="23">
        <v>0</v>
      </c>
      <c r="AF230" s="23">
        <v>0</v>
      </c>
      <c r="AG230" s="23">
        <v>0</v>
      </c>
      <c r="AH230" s="23">
        <v>0</v>
      </c>
      <c r="AI230" s="23">
        <v>0</v>
      </c>
      <c r="AJ230" s="23">
        <v>0</v>
      </c>
      <c r="AK230" s="27" t="s"/>
      <c r="AL230" s="27" t="s"/>
      <c r="AM230" s="27" t="s"/>
    </row>
    <row r="231" spans="1:39" s="155" customFormat="1" ht="12.95" customHeight="1">
      <c r="A231" s="17">
        <v>999910000148</v>
      </c>
      <c r="B231" s="18" t="s">
        <v>527</v>
      </c>
      <c r="C231" s="18" t="s">
        <v>168</v>
      </c>
      <c r="D231" s="18" t="s">
        <v>524</v>
      </c>
      <c r="E231" s="18" t="s">
        <v>4</v>
      </c>
      <c r="F231" s="18" t="s">
        <v>26</v>
      </c>
      <c r="G231" s="19" t="s">
        <v>290</v>
      </c>
      <c r="H231" s="20" t="s">
        <v>4</v>
      </c>
      <c r="I231" s="21" t="s">
        <v>7</v>
      </c>
      <c r="J231" s="22">
        <f>=SUM(K231:Q231)</f>
        <v>386700</v>
      </c>
      <c r="K231" s="23">
        <v>0</v>
      </c>
      <c r="L231" s="53">
        <v>44200</v>
      </c>
      <c r="M231" s="23">
        <v>0</v>
      </c>
      <c r="N231" s="43">
        <v>2500</v>
      </c>
      <c r="O231" s="23">
        <v>0</v>
      </c>
      <c r="P231" s="43">
        <v>340000</v>
      </c>
      <c r="Q231" s="23">
        <v>0</v>
      </c>
      <c r="R231" s="24" t="s"/>
      <c r="S231" s="25" t="s"/>
      <c r="T231" s="25" t="s"/>
      <c r="U231" s="25" t="s"/>
      <c r="V231" s="25" t="s"/>
      <c r="W231" s="25" t="s"/>
      <c r="X231" s="25" t="s"/>
      <c r="Y231" s="25" t="s"/>
      <c r="Z231" s="23">
        <v>0</v>
      </c>
      <c r="AA231" s="23">
        <v>0</v>
      </c>
      <c r="AB231" s="25" t="s"/>
      <c r="AC231" s="26" t="s"/>
      <c r="AD231" s="23">
        <v>0</v>
      </c>
      <c r="AE231" s="23">
        <v>0</v>
      </c>
      <c r="AF231" s="23">
        <v>0</v>
      </c>
      <c r="AG231" s="23">
        <v>0</v>
      </c>
      <c r="AH231" s="23">
        <v>0</v>
      </c>
      <c r="AI231" s="23">
        <v>0</v>
      </c>
      <c r="AJ231" s="23">
        <v>0</v>
      </c>
      <c r="AK231" s="27" t="s"/>
      <c r="AL231" s="27" t="s"/>
      <c r="AM231" s="27" t="s"/>
    </row>
    <row r="232" spans="1:39" s="155" customFormat="1" ht="12.95" customHeight="1">
      <c r="A232" s="17">
        <v>999910000149</v>
      </c>
      <c r="B232" s="18" t="s">
        <v>528</v>
      </c>
      <c r="C232" s="18" t="s">
        <v>168</v>
      </c>
      <c r="D232" s="18" t="s">
        <v>529</v>
      </c>
      <c r="E232" s="18" t="s">
        <v>4</v>
      </c>
      <c r="F232" s="18" t="s">
        <v>26</v>
      </c>
      <c r="G232" s="19" t="s">
        <v>290</v>
      </c>
      <c r="H232" s="20" t="s">
        <v>4</v>
      </c>
      <c r="I232" s="21" t="s">
        <v>7</v>
      </c>
      <c r="J232" s="22">
        <f>=SUM(K232:Q232)</f>
        <v>380800</v>
      </c>
      <c r="K232" s="23">
        <v>0</v>
      </c>
      <c r="L232" s="43">
        <v>40800</v>
      </c>
      <c r="M232" s="23">
        <v>0</v>
      </c>
      <c r="N232" s="23">
        <v>0</v>
      </c>
      <c r="O232" s="23">
        <v>0</v>
      </c>
      <c r="P232" s="43">
        <v>340000</v>
      </c>
      <c r="Q232" s="23">
        <v>0</v>
      </c>
      <c r="R232" s="24" t="s"/>
      <c r="S232" s="25" t="s"/>
      <c r="T232" s="25" t="s"/>
      <c r="U232" s="25" t="s"/>
      <c r="V232" s="25" t="s"/>
      <c r="W232" s="25" t="s"/>
      <c r="X232" s="25" t="s"/>
      <c r="Y232" s="25" t="s"/>
      <c r="Z232" s="23">
        <v>0</v>
      </c>
      <c r="AA232" s="23">
        <v>0</v>
      </c>
      <c r="AB232" s="25" t="s"/>
      <c r="AC232" s="26" t="s"/>
      <c r="AD232" s="23">
        <v>0</v>
      </c>
      <c r="AE232" s="23">
        <v>0</v>
      </c>
      <c r="AF232" s="23">
        <v>0</v>
      </c>
      <c r="AG232" s="23">
        <v>0</v>
      </c>
      <c r="AH232" s="23">
        <v>0</v>
      </c>
      <c r="AI232" s="23">
        <v>0</v>
      </c>
      <c r="AJ232" s="23">
        <v>0</v>
      </c>
      <c r="AK232" s="27" t="s"/>
      <c r="AL232" s="27" t="s"/>
      <c r="AM232" s="27" t="s"/>
    </row>
    <row r="233" spans="1:39" s="155" customFormat="1" ht="12.95" customHeight="1">
      <c r="A233" s="17">
        <v>999910000150</v>
      </c>
      <c r="B233" s="18" t="s">
        <v>530</v>
      </c>
      <c r="C233" s="18" t="s">
        <v>168</v>
      </c>
      <c r="D233" s="18" t="s">
        <v>529</v>
      </c>
      <c r="E233" s="18" t="s">
        <v>4</v>
      </c>
      <c r="F233" s="18" t="s">
        <v>26</v>
      </c>
      <c r="G233" s="19" t="s">
        <v>290</v>
      </c>
      <c r="H233" s="20" t="s">
        <v>4</v>
      </c>
      <c r="I233" s="21" t="s">
        <v>7</v>
      </c>
      <c r="J233" s="22">
        <f>=SUM(K233:Q233)</f>
        <v>274500</v>
      </c>
      <c r="K233" s="23">
        <v>0</v>
      </c>
      <c r="L233" s="23">
        <v>0</v>
      </c>
      <c r="M233" s="23">
        <v>0</v>
      </c>
      <c r="N233" s="43">
        <v>2500</v>
      </c>
      <c r="O233" s="23">
        <v>0</v>
      </c>
      <c r="P233" s="43">
        <v>272000</v>
      </c>
      <c r="Q233" s="23">
        <v>0</v>
      </c>
      <c r="R233" s="24" t="s"/>
      <c r="S233" s="25" t="s"/>
      <c r="T233" s="25" t="s"/>
      <c r="U233" s="25" t="s"/>
      <c r="V233" s="25" t="s"/>
      <c r="W233" s="25" t="s"/>
      <c r="X233" s="25" t="s"/>
      <c r="Y233" s="25" t="s"/>
      <c r="Z233" s="23">
        <v>0</v>
      </c>
      <c r="AA233" s="23">
        <v>0</v>
      </c>
      <c r="AB233" s="25" t="s"/>
      <c r="AC233" s="26" t="s"/>
      <c r="AD233" s="23">
        <v>0</v>
      </c>
      <c r="AE233" s="23">
        <v>0</v>
      </c>
      <c r="AF233" s="23">
        <v>0</v>
      </c>
      <c r="AG233" s="23">
        <v>0</v>
      </c>
      <c r="AH233" s="23">
        <v>0</v>
      </c>
      <c r="AI233" s="23">
        <v>0</v>
      </c>
      <c r="AJ233" s="23">
        <v>0</v>
      </c>
      <c r="AK233" s="27" t="s"/>
      <c r="AL233" s="27" t="s"/>
      <c r="AM233" s="27" t="s"/>
    </row>
    <row r="234" spans="1:39" s="155" customFormat="1" ht="12.95" customHeight="1">
      <c r="A234" s="17">
        <v>999910000151</v>
      </c>
      <c r="B234" s="18" t="s">
        <v>531</v>
      </c>
      <c r="C234" s="18" t="s">
        <v>112</v>
      </c>
      <c r="D234" s="18" t="s">
        <v>532</v>
      </c>
      <c r="E234" s="18" t="s">
        <v>14</v>
      </c>
      <c r="F234" s="18" t="s">
        <v>114</v>
      </c>
      <c r="G234" s="19" t="s">
        <v>7</v>
      </c>
      <c r="H234" s="20" t="s">
        <v>115</v>
      </c>
      <c r="I234" s="21" t="s">
        <v>7</v>
      </c>
      <c r="J234" s="22">
        <f>=SUM(K234:Q234)</f>
        <v>0</v>
      </c>
      <c r="K234" s="23">
        <v>0</v>
      </c>
      <c r="L234" s="23">
        <v>0</v>
      </c>
      <c r="M234" s="23">
        <v>0</v>
      </c>
      <c r="N234" s="23">
        <v>0</v>
      </c>
      <c r="O234" s="23">
        <v>0</v>
      </c>
      <c r="P234" s="23">
        <v>0</v>
      </c>
      <c r="Q234" s="23">
        <v>0</v>
      </c>
      <c r="R234" s="24" t="s"/>
      <c r="S234" s="25" t="s"/>
      <c r="T234" s="25" t="s"/>
      <c r="U234" s="25" t="s"/>
      <c r="V234" s="25" t="s"/>
      <c r="W234" s="25" t="s"/>
      <c r="X234" s="25" t="s"/>
      <c r="Y234" s="25" t="s"/>
      <c r="Z234" s="23">
        <v>0</v>
      </c>
      <c r="AA234" s="23">
        <v>0</v>
      </c>
      <c r="AB234" s="25" t="s"/>
      <c r="AC234" s="26" t="s"/>
      <c r="AD234" s="23">
        <v>0</v>
      </c>
      <c r="AE234" s="23">
        <v>0</v>
      </c>
      <c r="AF234" s="23">
        <v>0</v>
      </c>
      <c r="AG234" s="23">
        <v>0</v>
      </c>
      <c r="AH234" s="23">
        <v>0</v>
      </c>
      <c r="AI234" s="23">
        <v>0</v>
      </c>
      <c r="AJ234" s="23">
        <v>0</v>
      </c>
      <c r="AK234" s="27" t="s"/>
      <c r="AL234" s="27" t="s"/>
      <c r="AM234" s="27" t="s"/>
    </row>
    <row r="235" spans="1:39" s="155" customFormat="1" ht="12.95" customHeight="1">
      <c r="A235" s="17">
        <v>999910000152</v>
      </c>
      <c r="B235" s="18" t="s">
        <v>533</v>
      </c>
      <c r="C235" s="18" t="s">
        <v>164</v>
      </c>
      <c r="D235" s="18" t="s">
        <v>534</v>
      </c>
      <c r="E235" s="18" t="s">
        <v>135</v>
      </c>
      <c r="F235" s="18" t="s">
        <v>26</v>
      </c>
      <c r="G235" s="19" t="s">
        <v>277</v>
      </c>
      <c r="H235" s="20" t="s">
        <v>27</v>
      </c>
      <c r="I235" s="21">
        <v>46338</v>
      </c>
      <c r="J235" s="22">
        <f>=SUM(K235:Q235)</f>
        <v>0</v>
      </c>
      <c r="K235" s="23">
        <v>0</v>
      </c>
      <c r="L235" s="23">
        <v>0</v>
      </c>
      <c r="M235" s="23">
        <v>0</v>
      </c>
      <c r="N235" s="23">
        <v>0</v>
      </c>
      <c r="O235" s="23">
        <v>0</v>
      </c>
      <c r="P235" s="23">
        <v>0</v>
      </c>
      <c r="Q235" s="23">
        <v>0</v>
      </c>
      <c r="R235" s="24" t="s"/>
      <c r="S235" s="25" t="s"/>
      <c r="T235" s="25" t="s"/>
      <c r="U235" s="25" t="s"/>
      <c r="V235" s="25" t="s"/>
      <c r="W235" s="25" t="s"/>
      <c r="X235" s="25" t="s"/>
      <c r="Y235" s="25" t="s"/>
      <c r="Z235" s="23">
        <v>0</v>
      </c>
      <c r="AA235" s="23">
        <v>0</v>
      </c>
      <c r="AB235" s="25" t="s"/>
      <c r="AC235" s="26" t="s"/>
      <c r="AD235" s="23">
        <v>0</v>
      </c>
      <c r="AE235" s="23">
        <v>0</v>
      </c>
      <c r="AF235" s="23">
        <v>0</v>
      </c>
      <c r="AG235" s="23">
        <v>0</v>
      </c>
      <c r="AH235" s="23">
        <v>0</v>
      </c>
      <c r="AI235" s="23">
        <v>0</v>
      </c>
      <c r="AJ235" s="23">
        <v>0</v>
      </c>
      <c r="AK235" s="27" t="s"/>
      <c r="AL235" s="27" t="s"/>
      <c r="AM235" s="27" t="s"/>
    </row>
    <row r="236" spans="1:39" s="155" customFormat="1" ht="12.95" customHeight="1">
      <c r="A236" s="17">
        <v>999910000153</v>
      </c>
      <c r="B236" s="18" t="s">
        <v>535</v>
      </c>
      <c r="C236" s="18" t="s">
        <v>40</v>
      </c>
      <c r="D236" s="18" t="s">
        <v>98</v>
      </c>
      <c r="E236" s="18" t="s">
        <v>10</v>
      </c>
      <c r="F236" s="18" t="s">
        <v>11</v>
      </c>
      <c r="G236" s="19" t="s">
        <v>277</v>
      </c>
      <c r="H236" s="20" t="s">
        <v>21</v>
      </c>
      <c r="I236" s="21">
        <v>46307</v>
      </c>
      <c r="J236" s="22">
        <f>=SUM(K236:Q236)</f>
        <v>0</v>
      </c>
      <c r="K236" s="53">
        <v>0</v>
      </c>
      <c r="L236" s="43">
        <v>0</v>
      </c>
      <c r="M236" s="43">
        <v>0</v>
      </c>
      <c r="N236" s="23">
        <v>0</v>
      </c>
      <c r="O236" s="23">
        <v>0</v>
      </c>
      <c r="P236" s="43">
        <v>0</v>
      </c>
      <c r="Q236" s="23">
        <v>0</v>
      </c>
      <c r="R236" s="24" t="s"/>
      <c r="S236" s="25" t="s"/>
      <c r="T236" s="25" t="s"/>
      <c r="U236" s="25" t="s"/>
      <c r="V236" s="25" t="s"/>
      <c r="W236" s="25" t="s"/>
      <c r="X236" s="25" t="s"/>
      <c r="Y236" s="25" t="s"/>
      <c r="Z236" s="23">
        <v>0</v>
      </c>
      <c r="AA236" s="23">
        <v>0</v>
      </c>
      <c r="AB236" s="25" t="s"/>
      <c r="AC236" s="26" t="s"/>
      <c r="AD236" s="23">
        <v>0</v>
      </c>
      <c r="AE236" s="23">
        <v>0</v>
      </c>
      <c r="AF236" s="23">
        <v>0</v>
      </c>
      <c r="AG236" s="23">
        <v>0</v>
      </c>
      <c r="AH236" s="23">
        <v>0</v>
      </c>
      <c r="AI236" s="23">
        <v>0</v>
      </c>
      <c r="AJ236" s="23">
        <v>0</v>
      </c>
      <c r="AK236" s="27" t="s"/>
      <c r="AL236" s="27" t="s"/>
      <c r="AM236" s="27" t="s"/>
    </row>
    <row r="237" spans="1:39" s="155" customFormat="1" ht="12.95" customHeight="1">
      <c r="A237" s="17">
        <v>999910000154</v>
      </c>
      <c r="B237" s="18" t="s">
        <v>536</v>
      </c>
      <c r="C237" s="18" t="s">
        <v>168</v>
      </c>
      <c r="D237" s="18" t="s">
        <v>537</v>
      </c>
      <c r="E237" s="18" t="s">
        <v>4</v>
      </c>
      <c r="F237" s="18" t="s">
        <v>26</v>
      </c>
      <c r="G237" s="19" t="s">
        <v>290</v>
      </c>
      <c r="H237" s="20" t="s">
        <v>4</v>
      </c>
      <c r="I237" s="21" t="s">
        <v>7</v>
      </c>
      <c r="J237" s="22">
        <f>=SUM(K237:Q237)</f>
        <v>277000</v>
      </c>
      <c r="K237" s="53">
        <v>0</v>
      </c>
      <c r="L237" s="43">
        <v>68000</v>
      </c>
      <c r="M237" s="43">
        <v>0</v>
      </c>
      <c r="N237" s="23">
        <v>5000</v>
      </c>
      <c r="O237" s="23">
        <v>0</v>
      </c>
      <c r="P237" s="43">
        <v>204000</v>
      </c>
      <c r="Q237" s="23">
        <v>0</v>
      </c>
      <c r="R237" s="24" t="s"/>
      <c r="S237" s="25" t="s"/>
      <c r="T237" s="25" t="s"/>
      <c r="U237" s="25" t="s"/>
      <c r="V237" s="25" t="s"/>
      <c r="W237" s="25" t="s"/>
      <c r="X237" s="25" t="s"/>
      <c r="Y237" s="25" t="s"/>
      <c r="Z237" s="23">
        <v>0</v>
      </c>
      <c r="AA237" s="23">
        <v>0</v>
      </c>
      <c r="AB237" s="25" t="s"/>
      <c r="AC237" s="26" t="s"/>
      <c r="AD237" s="23">
        <v>0</v>
      </c>
      <c r="AE237" s="23">
        <v>0</v>
      </c>
      <c r="AF237" s="23">
        <v>0</v>
      </c>
      <c r="AG237" s="23">
        <v>0</v>
      </c>
      <c r="AH237" s="23">
        <v>0</v>
      </c>
      <c r="AI237" s="23">
        <v>0</v>
      </c>
      <c r="AJ237" s="23">
        <v>0</v>
      </c>
      <c r="AK237" s="27" t="s"/>
      <c r="AL237" s="27" t="s"/>
      <c r="AM237" s="27" t="s"/>
    </row>
    <row r="238" spans="1:39" s="155" customFormat="1" ht="12.95" customHeight="1">
      <c r="A238" s="17">
        <v>999910000155</v>
      </c>
      <c r="B238" s="18" t="s">
        <v>538</v>
      </c>
      <c r="C238" s="18" t="s">
        <v>539</v>
      </c>
      <c r="D238" s="18" t="s">
        <v>540</v>
      </c>
      <c r="E238" s="18" t="s">
        <v>541</v>
      </c>
      <c r="F238" s="18" t="s">
        <v>59</v>
      </c>
      <c r="G238" s="19" t="s">
        <v>7</v>
      </c>
      <c r="H238" s="20" t="s">
        <v>21</v>
      </c>
      <c r="I238" s="44">
        <v>46203</v>
      </c>
      <c r="J238" s="22">
        <f>=SUM(K238:Q238)</f>
        <v>106988</v>
      </c>
      <c r="K238" s="53">
        <v>0</v>
      </c>
      <c r="L238" s="43">
        <v>74855</v>
      </c>
      <c r="M238" s="43">
        <v>32133</v>
      </c>
      <c r="N238" s="23">
        <v>0</v>
      </c>
      <c r="O238" s="23">
        <v>0</v>
      </c>
      <c r="P238" s="43">
        <v>0</v>
      </c>
      <c r="Q238" s="23">
        <v>0</v>
      </c>
      <c r="R238" s="24" t="s"/>
      <c r="S238" s="25" t="s"/>
      <c r="T238" s="25" t="s"/>
      <c r="U238" s="25" t="s"/>
      <c r="V238" s="25" t="s"/>
      <c r="W238" s="25" t="s"/>
      <c r="X238" s="25" t="s"/>
      <c r="Y238" s="25" t="s"/>
      <c r="Z238" s="23">
        <v>0</v>
      </c>
      <c r="AA238" s="23">
        <v>0</v>
      </c>
      <c r="AB238" s="25" t="s"/>
      <c r="AC238" s="26" t="s"/>
      <c r="AD238" s="23">
        <v>0</v>
      </c>
      <c r="AE238" s="23">
        <v>0</v>
      </c>
      <c r="AF238" s="23">
        <v>0</v>
      </c>
      <c r="AG238" s="23">
        <v>0</v>
      </c>
      <c r="AH238" s="23">
        <v>0</v>
      </c>
      <c r="AI238" s="23">
        <v>0</v>
      </c>
      <c r="AJ238" s="23">
        <v>0</v>
      </c>
      <c r="AK238" s="27" t="s"/>
      <c r="AL238" s="27" t="s"/>
      <c r="AM238" s="27" t="s"/>
    </row>
    <row r="239" spans="1:39" s="155" customFormat="1" ht="12.95" customHeight="1">
      <c r="A239" s="17">
        <v>999910000156</v>
      </c>
      <c r="B239" s="18" t="s">
        <v>542</v>
      </c>
      <c r="C239" s="18" t="s">
        <v>347</v>
      </c>
      <c r="D239" s="18" t="s">
        <v>543</v>
      </c>
      <c r="E239" s="18" t="s">
        <v>29</v>
      </c>
      <c r="F239" s="18" t="s">
        <v>413</v>
      </c>
      <c r="G239" s="19" t="s">
        <v>277</v>
      </c>
      <c r="H239" s="20" t="s">
        <v>70</v>
      </c>
      <c r="I239" s="21">
        <v>46386</v>
      </c>
      <c r="J239" s="22">
        <f>=SUM(K239:Q239)</f>
        <v>0</v>
      </c>
      <c r="K239" s="53">
        <v>0</v>
      </c>
      <c r="L239" s="43">
        <v>0</v>
      </c>
      <c r="M239" s="43">
        <v>0</v>
      </c>
      <c r="N239" s="23">
        <v>0</v>
      </c>
      <c r="O239" s="23">
        <v>0</v>
      </c>
      <c r="P239" s="43">
        <v>0</v>
      </c>
      <c r="Q239" s="23">
        <v>0</v>
      </c>
      <c r="R239" s="24" t="s"/>
      <c r="S239" s="25" t="s"/>
      <c r="T239" s="25" t="s"/>
      <c r="U239" s="25" t="s"/>
      <c r="V239" s="25" t="s"/>
      <c r="W239" s="25" t="s"/>
      <c r="X239" s="25" t="s"/>
      <c r="Y239" s="25" t="s"/>
      <c r="Z239" s="23">
        <v>0</v>
      </c>
      <c r="AA239" s="23">
        <v>0</v>
      </c>
      <c r="AB239" s="25" t="s"/>
      <c r="AC239" s="26" t="s"/>
      <c r="AD239" s="23">
        <v>0</v>
      </c>
      <c r="AE239" s="23">
        <v>0</v>
      </c>
      <c r="AF239" s="23">
        <v>0</v>
      </c>
      <c r="AG239" s="23">
        <v>0</v>
      </c>
      <c r="AH239" s="23">
        <v>0</v>
      </c>
      <c r="AI239" s="23">
        <v>0</v>
      </c>
      <c r="AJ239" s="23">
        <v>0</v>
      </c>
      <c r="AK239" s="27" t="s"/>
      <c r="AL239" s="27" t="s"/>
      <c r="AM239" s="27" t="s"/>
    </row>
    <row r="240" spans="1:39" s="155" customFormat="1" ht="12.95" customHeight="1">
      <c r="A240" s="17">
        <v>999910000157</v>
      </c>
      <c r="B240" s="18" t="s">
        <v>544</v>
      </c>
      <c r="C240" s="18" t="s">
        <v>274</v>
      </c>
      <c r="D240" s="18" t="s">
        <v>545</v>
      </c>
      <c r="E240" s="18" t="s">
        <v>14</v>
      </c>
      <c r="F240" s="18" t="s">
        <v>5</v>
      </c>
      <c r="G240" s="19" t="s">
        <v>277</v>
      </c>
      <c r="H240" s="20" t="s">
        <v>27</v>
      </c>
      <c r="I240" s="21">
        <v>46386</v>
      </c>
      <c r="J240" s="22">
        <f>=SUM(K240:Q240)</f>
        <v>0</v>
      </c>
      <c r="K240" s="53">
        <v>0</v>
      </c>
      <c r="L240" s="43">
        <v>0</v>
      </c>
      <c r="M240" s="43">
        <v>0</v>
      </c>
      <c r="N240" s="23">
        <v>0</v>
      </c>
      <c r="O240" s="23">
        <v>0</v>
      </c>
      <c r="P240" s="43">
        <v>0</v>
      </c>
      <c r="Q240" s="23">
        <v>0</v>
      </c>
      <c r="R240" s="24" t="s"/>
      <c r="S240" s="25" t="s"/>
      <c r="T240" s="25" t="s"/>
      <c r="U240" s="25" t="s"/>
      <c r="V240" s="25" t="s"/>
      <c r="W240" s="25" t="s"/>
      <c r="X240" s="25" t="s"/>
      <c r="Y240" s="25" t="s"/>
      <c r="Z240" s="23">
        <v>0</v>
      </c>
      <c r="AA240" s="23">
        <v>0</v>
      </c>
      <c r="AB240" s="25" t="s"/>
      <c r="AC240" s="26" t="s"/>
      <c r="AD240" s="23">
        <v>0</v>
      </c>
      <c r="AE240" s="23">
        <v>0</v>
      </c>
      <c r="AF240" s="23">
        <v>0</v>
      </c>
      <c r="AG240" s="23">
        <v>0</v>
      </c>
      <c r="AH240" s="23">
        <v>0</v>
      </c>
      <c r="AI240" s="23">
        <v>0</v>
      </c>
      <c r="AJ240" s="23">
        <v>0</v>
      </c>
      <c r="AK240" s="27" t="s"/>
      <c r="AL240" s="27" t="s"/>
      <c r="AM240" s="27" t="s"/>
    </row>
    <row r="241" spans="1:39" s="155" customFormat="1" ht="12.95" customHeight="1">
      <c r="A241" s="17">
        <v>999910000158</v>
      </c>
      <c r="B241" s="18" t="s">
        <v>546</v>
      </c>
      <c r="C241" s="18" t="s">
        <v>547</v>
      </c>
      <c r="D241" s="18" t="s">
        <v>548</v>
      </c>
      <c r="E241" s="18" t="s">
        <v>74</v>
      </c>
      <c r="F241" s="18" t="s">
        <v>413</v>
      </c>
      <c r="G241" s="19" t="s">
        <v>277</v>
      </c>
      <c r="H241" s="20" t="s">
        <v>70</v>
      </c>
      <c r="I241" s="21">
        <v>46386</v>
      </c>
      <c r="J241" s="22">
        <f>=SUM(K241:Q241)</f>
        <v>0</v>
      </c>
      <c r="K241" s="53">
        <v>0</v>
      </c>
      <c r="L241" s="43">
        <v>0</v>
      </c>
      <c r="M241" s="43">
        <v>0</v>
      </c>
      <c r="N241" s="23">
        <v>0</v>
      </c>
      <c r="O241" s="23">
        <v>0</v>
      </c>
      <c r="P241" s="43">
        <v>0</v>
      </c>
      <c r="Q241" s="23">
        <v>0</v>
      </c>
      <c r="R241" s="24" t="s"/>
      <c r="S241" s="25" t="s"/>
      <c r="T241" s="25" t="s"/>
      <c r="U241" s="25" t="s"/>
      <c r="V241" s="25" t="s"/>
      <c r="W241" s="25" t="s"/>
      <c r="X241" s="25" t="s"/>
      <c r="Y241" s="25" t="s"/>
      <c r="Z241" s="23">
        <v>0</v>
      </c>
      <c r="AA241" s="23">
        <v>0</v>
      </c>
      <c r="AB241" s="25" t="s"/>
      <c r="AC241" s="26" t="s"/>
      <c r="AD241" s="23">
        <v>0</v>
      </c>
      <c r="AE241" s="23">
        <v>0</v>
      </c>
      <c r="AF241" s="23">
        <v>0</v>
      </c>
      <c r="AG241" s="23">
        <v>0</v>
      </c>
      <c r="AH241" s="23">
        <v>0</v>
      </c>
      <c r="AI241" s="23">
        <v>0</v>
      </c>
      <c r="AJ241" s="23">
        <v>0</v>
      </c>
      <c r="AK241" s="27" t="s"/>
      <c r="AL241" s="27" t="s"/>
      <c r="AM241" s="27" t="s"/>
    </row>
    <row r="242" spans="1:39" s="155" customFormat="1" ht="12.95" customHeight="1">
      <c r="A242" s="17">
        <v>999910000159</v>
      </c>
      <c r="B242" s="18" t="s">
        <v>549</v>
      </c>
      <c r="C242" s="18" t="s">
        <v>547</v>
      </c>
      <c r="D242" s="18" t="s">
        <v>550</v>
      </c>
      <c r="E242" s="18" t="s">
        <v>551</v>
      </c>
      <c r="F242" s="18" t="s">
        <v>413</v>
      </c>
      <c r="G242" s="19" t="s">
        <v>277</v>
      </c>
      <c r="H242" s="20" t="s">
        <v>70</v>
      </c>
      <c r="I242" s="21">
        <v>46386</v>
      </c>
      <c r="J242" s="22">
        <f>=SUM(K242:Q242)</f>
        <v>0</v>
      </c>
      <c r="K242" s="53">
        <v>0</v>
      </c>
      <c r="L242" s="43">
        <v>0</v>
      </c>
      <c r="M242" s="43">
        <v>0</v>
      </c>
      <c r="N242" s="23">
        <v>0</v>
      </c>
      <c r="O242" s="23">
        <v>0</v>
      </c>
      <c r="P242" s="43">
        <v>0</v>
      </c>
      <c r="Q242" s="23">
        <v>0</v>
      </c>
      <c r="R242" s="24" t="s"/>
      <c r="S242" s="25" t="s"/>
      <c r="T242" s="25" t="s"/>
      <c r="U242" s="25" t="s"/>
      <c r="V242" s="25" t="s"/>
      <c r="W242" s="25" t="s"/>
      <c r="X242" s="25" t="s"/>
      <c r="Y242" s="25" t="s"/>
      <c r="Z242" s="23">
        <v>0</v>
      </c>
      <c r="AA242" s="23">
        <v>0</v>
      </c>
      <c r="AB242" s="25" t="s"/>
      <c r="AC242" s="26" t="s"/>
      <c r="AD242" s="23">
        <v>0</v>
      </c>
      <c r="AE242" s="23">
        <v>0</v>
      </c>
      <c r="AF242" s="23">
        <v>0</v>
      </c>
      <c r="AG242" s="23">
        <v>0</v>
      </c>
      <c r="AH242" s="23">
        <v>0</v>
      </c>
      <c r="AI242" s="23">
        <v>0</v>
      </c>
      <c r="AJ242" s="23">
        <v>0</v>
      </c>
      <c r="AK242" s="27" t="s"/>
      <c r="AL242" s="27" t="s"/>
      <c r="AM242" s="27" t="s"/>
    </row>
    <row r="243" spans="1:39" s="155" customFormat="1" ht="12.95" customHeight="1">
      <c r="A243" s="17">
        <v>999910000160</v>
      </c>
      <c r="B243" s="18" t="s">
        <v>552</v>
      </c>
      <c r="C243" s="18" t="s">
        <v>112</v>
      </c>
      <c r="D243" s="18" t="s">
        <v>553</v>
      </c>
      <c r="E243" s="18" t="s">
        <v>29</v>
      </c>
      <c r="F243" s="18" t="s">
        <v>114</v>
      </c>
      <c r="G243" s="19" t="s">
        <v>277</v>
      </c>
      <c r="H243" s="20" t="s">
        <v>115</v>
      </c>
      <c r="I243" s="21">
        <v>46386</v>
      </c>
      <c r="J243" s="22">
        <f>=SUM(K243:Q243)</f>
        <v>0</v>
      </c>
      <c r="K243" s="53">
        <v>0</v>
      </c>
      <c r="L243" s="43">
        <v>0</v>
      </c>
      <c r="M243" s="43">
        <v>0</v>
      </c>
      <c r="N243" s="23">
        <v>0</v>
      </c>
      <c r="O243" s="23">
        <v>0</v>
      </c>
      <c r="P243" s="43">
        <v>0</v>
      </c>
      <c r="Q243" s="23">
        <v>0</v>
      </c>
      <c r="R243" s="24" t="s"/>
      <c r="S243" s="25" t="s"/>
      <c r="T243" s="25" t="s"/>
      <c r="U243" s="25" t="s"/>
      <c r="V243" s="25" t="s"/>
      <c r="W243" s="25" t="s"/>
      <c r="X243" s="25" t="s"/>
      <c r="Y243" s="25" t="s"/>
      <c r="Z243" s="23">
        <v>0</v>
      </c>
      <c r="AA243" s="23">
        <v>0</v>
      </c>
      <c r="AB243" s="25" t="s"/>
      <c r="AC243" s="26" t="s"/>
      <c r="AD243" s="23">
        <v>0</v>
      </c>
      <c r="AE243" s="23">
        <v>0</v>
      </c>
      <c r="AF243" s="23">
        <v>0</v>
      </c>
      <c r="AG243" s="23">
        <v>0</v>
      </c>
      <c r="AH243" s="23">
        <v>0</v>
      </c>
      <c r="AI243" s="23">
        <v>0</v>
      </c>
      <c r="AJ243" s="23">
        <v>0</v>
      </c>
      <c r="AK243" s="27" t="s"/>
      <c r="AL243" s="27" t="s"/>
      <c r="AM243" s="27" t="s"/>
    </row>
    <row r="244" spans="1:39" s="155" customFormat="1" ht="12.95" customHeight="1">
      <c r="A244" s="17">
        <v>999910000161</v>
      </c>
      <c r="B244" s="18" t="s">
        <v>554</v>
      </c>
      <c r="C244" s="18" t="s">
        <v>234</v>
      </c>
      <c r="D244" s="18" t="s">
        <v>555</v>
      </c>
      <c r="E244" s="18" t="s">
        <v>29</v>
      </c>
      <c r="F244" s="18" t="s">
        <v>237</v>
      </c>
      <c r="G244" s="19" t="s">
        <v>7</v>
      </c>
      <c r="H244" s="20" t="s">
        <v>115</v>
      </c>
      <c r="I244" s="44">
        <v>46174</v>
      </c>
      <c r="J244" s="22">
        <f>=SUM(K244:Q244)</f>
        <v>6434640</v>
      </c>
      <c r="K244" s="67">
        <v>2068500</v>
      </c>
      <c r="L244" s="43">
        <v>0</v>
      </c>
      <c r="M244" s="43">
        <v>1499700</v>
      </c>
      <c r="N244" s="23">
        <v>781560</v>
      </c>
      <c r="O244" s="23">
        <v>189200</v>
      </c>
      <c r="P244" s="43">
        <v>1555680</v>
      </c>
      <c r="Q244" s="23">
        <v>340000</v>
      </c>
      <c r="R244" s="24" t="s"/>
      <c r="S244" s="25" t="s"/>
      <c r="T244" s="25" t="s"/>
      <c r="U244" s="25" t="s"/>
      <c r="V244" s="25" t="s"/>
      <c r="W244" s="25" t="s"/>
      <c r="X244" s="25" t="s"/>
      <c r="Y244" s="25" t="s"/>
      <c r="Z244" s="23">
        <v>0</v>
      </c>
      <c r="AA244" s="23">
        <v>0</v>
      </c>
      <c r="AB244" s="25" t="s"/>
      <c r="AC244" s="26" t="s"/>
      <c r="AD244" s="23">
        <v>0</v>
      </c>
      <c r="AE244" s="23">
        <v>0</v>
      </c>
      <c r="AF244" s="23">
        <v>0</v>
      </c>
      <c r="AG244" s="23">
        <v>0</v>
      </c>
      <c r="AH244" s="23">
        <v>0</v>
      </c>
      <c r="AI244" s="23">
        <v>0</v>
      </c>
      <c r="AJ244" s="23">
        <v>0</v>
      </c>
      <c r="AK244" s="27" t="s"/>
      <c r="AL244" s="27" t="s"/>
      <c r="AM244" s="27" t="s"/>
    </row>
    <row r="245" spans="1:39" s="155" customFormat="1" ht="12.95" customHeight="1">
      <c r="A245" s="17">
        <v>999910000162</v>
      </c>
      <c r="B245" s="18" t="s">
        <v>556</v>
      </c>
      <c r="C245" s="18" t="s">
        <v>557</v>
      </c>
      <c r="D245" s="18" t="s">
        <v>558</v>
      </c>
      <c r="E245" s="18" t="s">
        <v>74</v>
      </c>
      <c r="F245" s="18" t="s">
        <v>26</v>
      </c>
      <c r="G245" s="19" t="s">
        <v>7</v>
      </c>
      <c r="H245" s="20" t="s">
        <v>27</v>
      </c>
      <c r="I245" s="21">
        <v>46568</v>
      </c>
      <c r="J245" s="22">
        <f>=SUM(K245:Q245)</f>
        <v>6363461</v>
      </c>
      <c r="K245" s="68">
        <v>245353</v>
      </c>
      <c r="L245" s="69">
        <v>2402271</v>
      </c>
      <c r="M245" s="69">
        <v>1648220</v>
      </c>
      <c r="N245" s="62">
        <v>400000</v>
      </c>
      <c r="O245" s="62">
        <v>50000</v>
      </c>
      <c r="P245" s="69">
        <v>1417617</v>
      </c>
      <c r="Q245" s="62">
        <v>200000</v>
      </c>
      <c r="R245" s="24" t="s"/>
      <c r="S245" s="25" t="s"/>
      <c r="T245" s="25" t="s"/>
      <c r="U245" s="25" t="s"/>
      <c r="V245" s="25" t="s"/>
      <c r="W245" s="25" t="s"/>
      <c r="X245" s="25" t="s"/>
      <c r="Y245" s="25" t="s"/>
      <c r="Z245" s="23">
        <v>0</v>
      </c>
      <c r="AA245" s="23">
        <v>0</v>
      </c>
      <c r="AB245" s="25" t="s"/>
      <c r="AC245" s="26" t="s"/>
      <c r="AD245" s="23">
        <v>0</v>
      </c>
      <c r="AE245" s="23">
        <v>0</v>
      </c>
      <c r="AF245" s="23">
        <v>0</v>
      </c>
      <c r="AG245" s="23">
        <v>0</v>
      </c>
      <c r="AH245" s="23">
        <v>0</v>
      </c>
      <c r="AI245" s="23">
        <v>0</v>
      </c>
      <c r="AJ245" s="23">
        <v>0</v>
      </c>
      <c r="AK245" s="27" t="s"/>
      <c r="AL245" s="27" t="s"/>
      <c r="AM245" s="27" t="s"/>
    </row>
    <row r="246" spans="1:39" s="155" customFormat="1" ht="12.95" customHeight="1">
      <c r="A246" s="17">
        <v>999910000163</v>
      </c>
      <c r="B246" s="18" t="s">
        <v>559</v>
      </c>
      <c r="C246" s="18" t="s">
        <v>23</v>
      </c>
      <c r="D246" s="18" t="s">
        <v>560</v>
      </c>
      <c r="E246" s="18" t="s">
        <v>14</v>
      </c>
      <c r="F246" s="18" t="s">
        <v>26</v>
      </c>
      <c r="G246" s="19" t="s">
        <v>7</v>
      </c>
      <c r="H246" s="20" t="s">
        <v>27</v>
      </c>
      <c r="I246" s="21" t="s">
        <v>7</v>
      </c>
      <c r="J246" s="22">
        <f>=SUM(K246:Q246)</f>
        <v>0</v>
      </c>
      <c r="K246" s="53">
        <v>0</v>
      </c>
      <c r="L246" s="43">
        <v>0</v>
      </c>
      <c r="M246" s="43">
        <v>0</v>
      </c>
      <c r="N246" s="23">
        <v>0</v>
      </c>
      <c r="O246" s="23">
        <v>0</v>
      </c>
      <c r="P246" s="43">
        <v>0</v>
      </c>
      <c r="Q246" s="23">
        <v>0</v>
      </c>
      <c r="R246" s="24" t="s"/>
      <c r="S246" s="25" t="s"/>
      <c r="T246" s="25" t="s"/>
      <c r="U246" s="25" t="s"/>
      <c r="V246" s="25" t="s"/>
      <c r="W246" s="25" t="s"/>
      <c r="X246" s="25" t="s"/>
      <c r="Y246" s="25" t="s"/>
      <c r="Z246" s="23">
        <v>0</v>
      </c>
      <c r="AA246" s="23">
        <v>0</v>
      </c>
      <c r="AB246" s="25" t="s"/>
      <c r="AC246" s="26" t="s"/>
      <c r="AD246" s="23">
        <v>0</v>
      </c>
      <c r="AE246" s="23">
        <v>0</v>
      </c>
      <c r="AF246" s="23">
        <v>0</v>
      </c>
      <c r="AG246" s="23">
        <v>0</v>
      </c>
      <c r="AH246" s="23">
        <v>0</v>
      </c>
      <c r="AI246" s="23">
        <v>0</v>
      </c>
      <c r="AJ246" s="23">
        <v>0</v>
      </c>
      <c r="AK246" s="27" t="s"/>
      <c r="AL246" s="27" t="s"/>
      <c r="AM246" s="27" t="s"/>
    </row>
    <row r="247" spans="1:39" s="155" customFormat="1" ht="12.95" customHeight="1">
      <c r="A247" s="17">
        <v>999910000164</v>
      </c>
      <c r="B247" s="18" t="s">
        <v>561</v>
      </c>
      <c r="C247" s="18" t="s">
        <v>23</v>
      </c>
      <c r="D247" s="18" t="s">
        <v>562</v>
      </c>
      <c r="E247" s="18" t="s">
        <v>14</v>
      </c>
      <c r="F247" s="18" t="s">
        <v>85</v>
      </c>
      <c r="G247" s="19" t="s">
        <v>7</v>
      </c>
      <c r="H247" s="20" t="s">
        <v>27</v>
      </c>
      <c r="I247" s="21" t="s">
        <v>7</v>
      </c>
      <c r="J247" s="22">
        <f>=SUM(K247:Q247)</f>
        <v>0</v>
      </c>
      <c r="K247" s="53">
        <v>0</v>
      </c>
      <c r="L247" s="43">
        <v>0</v>
      </c>
      <c r="M247" s="43">
        <v>0</v>
      </c>
      <c r="N247" s="23">
        <v>0</v>
      </c>
      <c r="O247" s="23">
        <v>0</v>
      </c>
      <c r="P247" s="43">
        <v>0</v>
      </c>
      <c r="Q247" s="23">
        <v>0</v>
      </c>
      <c r="R247" s="24" t="s"/>
      <c r="S247" s="25" t="s"/>
      <c r="T247" s="25" t="s"/>
      <c r="U247" s="25" t="s"/>
      <c r="V247" s="25" t="s"/>
      <c r="W247" s="25" t="s"/>
      <c r="X247" s="25" t="s"/>
      <c r="Y247" s="25" t="s"/>
      <c r="Z247" s="23">
        <v>0</v>
      </c>
      <c r="AA247" s="23">
        <v>0</v>
      </c>
      <c r="AB247" s="25" t="s"/>
      <c r="AC247" s="26" t="s"/>
      <c r="AD247" s="23">
        <v>0</v>
      </c>
      <c r="AE247" s="23">
        <v>0</v>
      </c>
      <c r="AF247" s="23">
        <v>0</v>
      </c>
      <c r="AG247" s="23">
        <v>0</v>
      </c>
      <c r="AH247" s="23">
        <v>0</v>
      </c>
      <c r="AI247" s="23">
        <v>0</v>
      </c>
      <c r="AJ247" s="23">
        <v>0</v>
      </c>
      <c r="AK247" s="27" t="s"/>
      <c r="AL247" s="27" t="s"/>
      <c r="AM247" s="27" t="s"/>
    </row>
    <row r="248" spans="1:39" s="155" customFormat="1" ht="12.95" customHeight="1">
      <c r="A248" s="17">
        <v>999910000165</v>
      </c>
      <c r="B248" s="18" t="s">
        <v>563</v>
      </c>
      <c r="C248" s="18" t="s">
        <v>4</v>
      </c>
      <c r="D248" s="18" t="s">
        <v>4</v>
      </c>
      <c r="E248" s="18" t="s">
        <v>4</v>
      </c>
      <c r="F248" s="18" t="s">
        <v>5</v>
      </c>
      <c r="G248" s="19" t="s">
        <v>290</v>
      </c>
      <c r="H248" s="20" t="s">
        <v>4</v>
      </c>
      <c r="I248" s="21" t="s">
        <v>7</v>
      </c>
      <c r="J248" s="22">
        <f>=SUM(K248:Q248)</f>
        <v>0</v>
      </c>
      <c r="K248" s="53">
        <v>0</v>
      </c>
      <c r="L248" s="43">
        <v>0</v>
      </c>
      <c r="M248" s="43">
        <v>0</v>
      </c>
      <c r="N248" s="23">
        <v>0</v>
      </c>
      <c r="O248" s="23">
        <v>0</v>
      </c>
      <c r="P248" s="43">
        <v>0</v>
      </c>
      <c r="Q248" s="23">
        <v>0</v>
      </c>
      <c r="R248" s="24" t="s"/>
      <c r="S248" s="25" t="s"/>
      <c r="T248" s="25" t="s"/>
      <c r="U248" s="25" t="s"/>
      <c r="V248" s="25" t="s"/>
      <c r="W248" s="25" t="s"/>
      <c r="X248" s="25" t="s"/>
      <c r="Y248" s="25" t="s"/>
      <c r="Z248" s="23">
        <v>0</v>
      </c>
      <c r="AA248" s="23">
        <v>0</v>
      </c>
      <c r="AB248" s="25" t="s"/>
      <c r="AC248" s="26" t="s"/>
      <c r="AD248" s="23">
        <v>0</v>
      </c>
      <c r="AE248" s="23">
        <v>0</v>
      </c>
      <c r="AF248" s="23">
        <v>0</v>
      </c>
      <c r="AG248" s="23">
        <v>0</v>
      </c>
      <c r="AH248" s="23">
        <v>0</v>
      </c>
      <c r="AI248" s="23">
        <v>0</v>
      </c>
      <c r="AJ248" s="23">
        <v>0</v>
      </c>
      <c r="AK248" s="27" t="s"/>
      <c r="AL248" s="27" t="s"/>
      <c r="AM248" s="27" t="s"/>
    </row>
    <row r="249" spans="1:39" s="155" customFormat="1" ht="12.95" customHeight="1">
      <c r="A249" s="17">
        <v>999910000166</v>
      </c>
      <c r="B249" s="18" t="s">
        <v>564</v>
      </c>
      <c r="C249" s="18" t="s">
        <v>147</v>
      </c>
      <c r="D249" s="18" t="s">
        <v>565</v>
      </c>
      <c r="E249" s="18" t="s">
        <v>10</v>
      </c>
      <c r="F249" s="18" t="s">
        <v>11</v>
      </c>
      <c r="G249" s="19" t="s">
        <v>7</v>
      </c>
      <c r="H249" s="20" t="s">
        <v>21</v>
      </c>
      <c r="I249" s="21">
        <v>46203</v>
      </c>
      <c r="J249" s="22">
        <f>=SUM(K249:Q249)</f>
        <v>265227.92</v>
      </c>
      <c r="K249" s="67">
        <v>26548.67</v>
      </c>
      <c r="L249" s="43">
        <v>0</v>
      </c>
      <c r="M249" s="43">
        <v>188679.25</v>
      </c>
      <c r="N249" s="23">
        <v>50000</v>
      </c>
      <c r="O249" s="23">
        <v>0</v>
      </c>
      <c r="P249" s="43">
        <v>0</v>
      </c>
      <c r="Q249" s="23">
        <v>0</v>
      </c>
      <c r="R249" s="24" t="s"/>
      <c r="S249" s="25" t="s"/>
      <c r="T249" s="25" t="s"/>
      <c r="U249" s="25" t="s"/>
      <c r="V249" s="25" t="s"/>
      <c r="W249" s="25" t="s"/>
      <c r="X249" s="25" t="s"/>
      <c r="Y249" s="25" t="s"/>
      <c r="Z249" s="23">
        <v>0</v>
      </c>
      <c r="AA249" s="23">
        <v>0</v>
      </c>
      <c r="AB249" s="25" t="s"/>
      <c r="AC249" s="26" t="s"/>
      <c r="AD249" s="23">
        <v>0</v>
      </c>
      <c r="AE249" s="23">
        <v>0</v>
      </c>
      <c r="AF249" s="23">
        <v>0</v>
      </c>
      <c r="AG249" s="23">
        <v>0</v>
      </c>
      <c r="AH249" s="23">
        <v>0</v>
      </c>
      <c r="AI249" s="23">
        <v>0</v>
      </c>
      <c r="AJ249" s="23">
        <v>0</v>
      </c>
      <c r="AK249" s="27" t="s"/>
      <c r="AL249" s="27" t="s"/>
      <c r="AM249" s="27" t="s"/>
    </row>
    <row r="250" spans="1:39" s="155" customFormat="1" ht="12.95" customHeight="1">
      <c r="A250" s="17">
        <v>999910000167</v>
      </c>
      <c r="B250" s="18" t="s">
        <v>566</v>
      </c>
      <c r="C250" s="18" t="s">
        <v>147</v>
      </c>
      <c r="D250" s="18" t="s">
        <v>567</v>
      </c>
      <c r="E250" s="18" t="s">
        <v>10</v>
      </c>
      <c r="F250" s="18" t="s">
        <v>11</v>
      </c>
      <c r="G250" s="19" t="s">
        <v>7</v>
      </c>
      <c r="H250" s="20" t="s">
        <v>21</v>
      </c>
      <c r="I250" s="21">
        <v>46203</v>
      </c>
      <c r="J250" s="22">
        <f>=SUM(K250:Q250)</f>
        <v>245227.92</v>
      </c>
      <c r="K250" s="67">
        <v>26548.67</v>
      </c>
      <c r="L250" s="43">
        <v>0</v>
      </c>
      <c r="M250" s="43">
        <v>188679.25</v>
      </c>
      <c r="N250" s="23">
        <v>30000</v>
      </c>
      <c r="O250" s="23">
        <v>0</v>
      </c>
      <c r="P250" s="43">
        <v>0</v>
      </c>
      <c r="Q250" s="23">
        <v>0</v>
      </c>
      <c r="R250" s="24" t="s"/>
      <c r="S250" s="25" t="s"/>
      <c r="T250" s="25" t="s"/>
      <c r="U250" s="25" t="s"/>
      <c r="V250" s="25" t="s"/>
      <c r="W250" s="25" t="s"/>
      <c r="X250" s="25" t="s"/>
      <c r="Y250" s="25" t="s"/>
      <c r="Z250" s="23">
        <v>0</v>
      </c>
      <c r="AA250" s="23">
        <v>0</v>
      </c>
      <c r="AB250" s="25" t="s"/>
      <c r="AC250" s="26" t="s"/>
      <c r="AD250" s="23">
        <v>0</v>
      </c>
      <c r="AE250" s="23">
        <v>0</v>
      </c>
      <c r="AF250" s="23">
        <v>0</v>
      </c>
      <c r="AG250" s="23">
        <v>0</v>
      </c>
      <c r="AH250" s="23">
        <v>0</v>
      </c>
      <c r="AI250" s="23">
        <v>0</v>
      </c>
      <c r="AJ250" s="23">
        <v>0</v>
      </c>
      <c r="AK250" s="27" t="s"/>
      <c r="AL250" s="27" t="s"/>
      <c r="AM250" s="27" t="s"/>
    </row>
    <row r="251" spans="1:39" s="155" customFormat="1" ht="12.95" customHeight="1">
      <c r="A251" s="17">
        <v>999910000168</v>
      </c>
      <c r="B251" s="18" t="s">
        <v>568</v>
      </c>
      <c r="C251" s="18" t="s">
        <v>147</v>
      </c>
      <c r="D251" s="18" t="s">
        <v>569</v>
      </c>
      <c r="E251" s="18" t="s">
        <v>10</v>
      </c>
      <c r="F251" s="18" t="s">
        <v>11</v>
      </c>
      <c r="G251" s="19" t="s">
        <v>7</v>
      </c>
      <c r="H251" s="20" t="s">
        <v>21</v>
      </c>
      <c r="I251" s="21">
        <v>46203</v>
      </c>
      <c r="J251" s="22">
        <f>=SUM(K251:Q251)</f>
        <v>368946</v>
      </c>
      <c r="K251" s="67">
        <v>53097</v>
      </c>
      <c r="L251" s="43">
        <v>0</v>
      </c>
      <c r="M251" s="43">
        <v>283019</v>
      </c>
      <c r="N251" s="23">
        <v>30000</v>
      </c>
      <c r="O251" s="23">
        <v>0</v>
      </c>
      <c r="P251" s="43">
        <v>0</v>
      </c>
      <c r="Q251" s="23">
        <v>2830</v>
      </c>
      <c r="R251" s="24" t="s"/>
      <c r="S251" s="25" t="s"/>
      <c r="T251" s="25" t="s"/>
      <c r="U251" s="25" t="s"/>
      <c r="V251" s="25" t="s"/>
      <c r="W251" s="25" t="s"/>
      <c r="X251" s="25" t="s"/>
      <c r="Y251" s="25" t="s"/>
      <c r="Z251" s="23">
        <v>0</v>
      </c>
      <c r="AA251" s="23">
        <v>0</v>
      </c>
      <c r="AB251" s="25" t="s"/>
      <c r="AC251" s="26" t="s"/>
      <c r="AD251" s="23">
        <v>0</v>
      </c>
      <c r="AE251" s="23">
        <v>0</v>
      </c>
      <c r="AF251" s="23">
        <v>0</v>
      </c>
      <c r="AG251" s="23">
        <v>0</v>
      </c>
      <c r="AH251" s="23">
        <v>0</v>
      </c>
      <c r="AI251" s="23">
        <v>0</v>
      </c>
      <c r="AJ251" s="23">
        <v>0</v>
      </c>
      <c r="AK251" s="27" t="s"/>
      <c r="AL251" s="27" t="s"/>
      <c r="AM251" s="27" t="s"/>
    </row>
    <row r="252" spans="1:39" s="155" customFormat="1" ht="12.95" customHeight="1">
      <c r="A252" s="17">
        <v>999910000169</v>
      </c>
      <c r="B252" s="18" t="s">
        <v>570</v>
      </c>
      <c r="C252" s="18" t="s">
        <v>147</v>
      </c>
      <c r="D252" s="18" t="s">
        <v>571</v>
      </c>
      <c r="E252" s="18" t="s">
        <v>10</v>
      </c>
      <c r="F252" s="18" t="s">
        <v>11</v>
      </c>
      <c r="G252" s="19" t="s">
        <v>7</v>
      </c>
      <c r="H252" s="20" t="s">
        <v>21</v>
      </c>
      <c r="I252" s="21">
        <v>46203</v>
      </c>
      <c r="J252" s="22">
        <f>=SUM(K252:Q252)</f>
        <v>112039</v>
      </c>
      <c r="K252" s="67">
        <v>17699</v>
      </c>
      <c r="L252" s="43">
        <v>0</v>
      </c>
      <c r="M252" s="43">
        <v>94340</v>
      </c>
      <c r="N252" s="23">
        <v>0</v>
      </c>
      <c r="O252" s="23">
        <v>0</v>
      </c>
      <c r="P252" s="43">
        <v>0</v>
      </c>
      <c r="Q252" s="23">
        <v>0</v>
      </c>
      <c r="R252" s="24" t="s"/>
      <c r="S252" s="25" t="s"/>
      <c r="T252" s="25" t="s"/>
      <c r="U252" s="25" t="s"/>
      <c r="V252" s="25" t="s"/>
      <c r="W252" s="25" t="s"/>
      <c r="X252" s="25" t="s"/>
      <c r="Y252" s="25" t="s"/>
      <c r="Z252" s="23">
        <v>0</v>
      </c>
      <c r="AA252" s="23">
        <v>0</v>
      </c>
      <c r="AB252" s="25" t="s"/>
      <c r="AC252" s="26" t="s"/>
      <c r="AD252" s="23">
        <v>0</v>
      </c>
      <c r="AE252" s="23">
        <v>0</v>
      </c>
      <c r="AF252" s="23">
        <v>0</v>
      </c>
      <c r="AG252" s="23">
        <v>0</v>
      </c>
      <c r="AH252" s="23">
        <v>0</v>
      </c>
      <c r="AI252" s="23">
        <v>0</v>
      </c>
      <c r="AJ252" s="23">
        <v>0</v>
      </c>
      <c r="AK252" s="27" t="s"/>
      <c r="AL252" s="27" t="s"/>
      <c r="AM252" s="27" t="s"/>
    </row>
    <row r="253" spans="1:39" s="155" customFormat="1" ht="12.95" customHeight="1">
      <c r="A253" s="17">
        <v>999910000170</v>
      </c>
      <c r="B253" s="18" t="s">
        <v>572</v>
      </c>
      <c r="C253" s="18" t="s">
        <v>147</v>
      </c>
      <c r="D253" s="18" t="s">
        <v>573</v>
      </c>
      <c r="E253" s="18" t="s">
        <v>10</v>
      </c>
      <c r="F253" s="18" t="s">
        <v>11</v>
      </c>
      <c r="G253" s="19" t="s">
        <v>7</v>
      </c>
      <c r="H253" s="20" t="s">
        <v>21</v>
      </c>
      <c r="I253" s="21">
        <v>46203</v>
      </c>
      <c r="J253" s="22">
        <f>=SUM(K253:Q253)</f>
        <v>274606.79</v>
      </c>
      <c r="K253" s="67">
        <v>53097.35</v>
      </c>
      <c r="L253" s="43">
        <v>0</v>
      </c>
      <c r="M253" s="43">
        <v>188679.25</v>
      </c>
      <c r="N253" s="23">
        <v>30000</v>
      </c>
      <c r="O253" s="23">
        <v>0</v>
      </c>
      <c r="P253" s="43">
        <v>0</v>
      </c>
      <c r="Q253" s="23">
        <v>2830.19</v>
      </c>
      <c r="R253" s="24" t="s"/>
      <c r="S253" s="25" t="s"/>
      <c r="T253" s="25" t="s"/>
      <c r="U253" s="25" t="s"/>
      <c r="V253" s="25" t="s"/>
      <c r="W253" s="25" t="s"/>
      <c r="X253" s="25" t="s"/>
      <c r="Y253" s="25" t="s"/>
      <c r="Z253" s="23">
        <v>0</v>
      </c>
      <c r="AA253" s="23">
        <v>0</v>
      </c>
      <c r="AB253" s="25" t="s"/>
      <c r="AC253" s="26" t="s"/>
      <c r="AD253" s="23">
        <v>0</v>
      </c>
      <c r="AE253" s="23">
        <v>0</v>
      </c>
      <c r="AF253" s="23">
        <v>0</v>
      </c>
      <c r="AG253" s="23">
        <v>0</v>
      </c>
      <c r="AH253" s="23">
        <v>0</v>
      </c>
      <c r="AI253" s="23">
        <v>0</v>
      </c>
      <c r="AJ253" s="23">
        <v>0</v>
      </c>
      <c r="AK253" s="27" t="s"/>
      <c r="AL253" s="27" t="s"/>
      <c r="AM253" s="27" t="s"/>
    </row>
    <row r="254" spans="1:39" s="155" customFormat="1" ht="12.95" customHeight="1">
      <c r="A254" s="17">
        <v>999910000171</v>
      </c>
      <c r="B254" s="18" t="s">
        <v>574</v>
      </c>
      <c r="C254" s="18" t="s">
        <v>347</v>
      </c>
      <c r="D254" s="18" t="s">
        <v>575</v>
      </c>
      <c r="E254" s="18" t="s">
        <v>576</v>
      </c>
      <c r="F254" s="18" t="s">
        <v>413</v>
      </c>
      <c r="G254" s="19" t="s">
        <v>277</v>
      </c>
      <c r="H254" s="20" t="s">
        <v>70</v>
      </c>
      <c r="I254" s="21">
        <v>46356</v>
      </c>
      <c r="J254" s="22">
        <f>=SUM(K254:Q254)</f>
        <v>0</v>
      </c>
      <c r="K254" s="53">
        <v>0</v>
      </c>
      <c r="L254" s="43">
        <v>0</v>
      </c>
      <c r="M254" s="43">
        <v>0</v>
      </c>
      <c r="N254" s="23">
        <v>0</v>
      </c>
      <c r="O254" s="23">
        <v>0</v>
      </c>
      <c r="P254" s="43">
        <v>0</v>
      </c>
      <c r="Q254" s="23">
        <v>0</v>
      </c>
      <c r="R254" s="24" t="s"/>
      <c r="S254" s="25" t="s"/>
      <c r="T254" s="25" t="s"/>
      <c r="U254" s="25" t="s"/>
      <c r="V254" s="25" t="s"/>
      <c r="W254" s="25" t="s"/>
      <c r="X254" s="25" t="s"/>
      <c r="Y254" s="25" t="s"/>
      <c r="Z254" s="23">
        <v>0</v>
      </c>
      <c r="AA254" s="23">
        <v>0</v>
      </c>
      <c r="AB254" s="25" t="s"/>
      <c r="AC254" s="26" t="s"/>
      <c r="AD254" s="23">
        <v>0</v>
      </c>
      <c r="AE254" s="23">
        <v>0</v>
      </c>
      <c r="AF254" s="23">
        <v>0</v>
      </c>
      <c r="AG254" s="23">
        <v>0</v>
      </c>
      <c r="AH254" s="23">
        <v>0</v>
      </c>
      <c r="AI254" s="23">
        <v>0</v>
      </c>
      <c r="AJ254" s="23">
        <v>0</v>
      </c>
      <c r="AK254" s="27" t="s"/>
      <c r="AL254" s="27" t="s"/>
      <c r="AM254" s="27" t="s"/>
    </row>
    <row r="255" spans="1:39" s="155" customFormat="1" ht="12.95" customHeight="1">
      <c r="A255" s="17">
        <v>999910000172</v>
      </c>
      <c r="B255" s="18" t="s">
        <v>577</v>
      </c>
      <c r="C255" s="18" t="s">
        <v>347</v>
      </c>
      <c r="D255" s="18" t="s">
        <v>578</v>
      </c>
      <c r="E255" s="18" t="s">
        <v>74</v>
      </c>
      <c r="F255" s="18" t="s">
        <v>413</v>
      </c>
      <c r="G255" s="19" t="s">
        <v>277</v>
      </c>
      <c r="H255" s="20" t="s">
        <v>70</v>
      </c>
      <c r="I255" s="21">
        <v>46356</v>
      </c>
      <c r="J255" s="22">
        <f>=SUM(K255:Q255)</f>
        <v>0</v>
      </c>
      <c r="K255" s="53">
        <v>0</v>
      </c>
      <c r="L255" s="43">
        <v>0</v>
      </c>
      <c r="M255" s="43">
        <v>0</v>
      </c>
      <c r="N255" s="23">
        <v>0</v>
      </c>
      <c r="O255" s="23">
        <v>0</v>
      </c>
      <c r="P255" s="43">
        <v>0</v>
      </c>
      <c r="Q255" s="23">
        <v>0</v>
      </c>
      <c r="R255" s="24" t="s"/>
      <c r="S255" s="25" t="s"/>
      <c r="T255" s="25" t="s"/>
      <c r="U255" s="25" t="s"/>
      <c r="V255" s="25" t="s"/>
      <c r="W255" s="25" t="s"/>
      <c r="X255" s="25" t="s"/>
      <c r="Y255" s="25" t="s"/>
      <c r="Z255" s="23">
        <v>0</v>
      </c>
      <c r="AA255" s="23">
        <v>0</v>
      </c>
      <c r="AB255" s="25" t="s"/>
      <c r="AC255" s="26" t="s"/>
      <c r="AD255" s="23">
        <v>0</v>
      </c>
      <c r="AE255" s="23">
        <v>0</v>
      </c>
      <c r="AF255" s="23">
        <v>0</v>
      </c>
      <c r="AG255" s="23">
        <v>0</v>
      </c>
      <c r="AH255" s="23">
        <v>0</v>
      </c>
      <c r="AI255" s="23">
        <v>0</v>
      </c>
      <c r="AJ255" s="23">
        <v>0</v>
      </c>
      <c r="AK255" s="27" t="s"/>
      <c r="AL255" s="27" t="s"/>
      <c r="AM255" s="27" t="s"/>
    </row>
    <row r="256" spans="1:39" s="155" customFormat="1" ht="12.95" customHeight="1">
      <c r="A256" s="17">
        <v>999910000173</v>
      </c>
      <c r="B256" s="18" t="s">
        <v>579</v>
      </c>
      <c r="C256" s="18" t="s">
        <v>147</v>
      </c>
      <c r="D256" s="18" t="s">
        <v>571</v>
      </c>
      <c r="E256" s="18" t="s">
        <v>126</v>
      </c>
      <c r="F256" s="18" t="s">
        <v>15</v>
      </c>
      <c r="G256" s="19" t="s">
        <v>277</v>
      </c>
      <c r="H256" s="20" t="s">
        <v>115</v>
      </c>
      <c r="I256" s="21">
        <v>46356</v>
      </c>
      <c r="J256" s="22">
        <f>=SUM(K256:Q256)</f>
        <v>0</v>
      </c>
      <c r="K256" s="53">
        <v>0</v>
      </c>
      <c r="L256" s="43">
        <v>0</v>
      </c>
      <c r="M256" s="43">
        <v>0</v>
      </c>
      <c r="N256" s="23">
        <v>0</v>
      </c>
      <c r="O256" s="23">
        <v>0</v>
      </c>
      <c r="P256" s="43">
        <v>0</v>
      </c>
      <c r="Q256" s="23">
        <v>0</v>
      </c>
      <c r="R256" s="24" t="s"/>
      <c r="S256" s="25" t="s"/>
      <c r="T256" s="25" t="s"/>
      <c r="U256" s="25" t="s"/>
      <c r="V256" s="25" t="s"/>
      <c r="W256" s="25" t="s"/>
      <c r="X256" s="25" t="s"/>
      <c r="Y256" s="25" t="s"/>
      <c r="Z256" s="51">
        <v>6000</v>
      </c>
      <c r="AA256" s="23">
        <v>0</v>
      </c>
      <c r="AB256" s="25" t="s"/>
      <c r="AC256" s="26" t="s"/>
      <c r="AD256" s="23">
        <v>0</v>
      </c>
      <c r="AE256" s="23">
        <v>0</v>
      </c>
      <c r="AF256" s="23">
        <v>0</v>
      </c>
      <c r="AG256" s="23">
        <v>0</v>
      </c>
      <c r="AH256" s="23">
        <v>0</v>
      </c>
      <c r="AI256" s="23">
        <v>0</v>
      </c>
      <c r="AJ256" s="23">
        <v>0</v>
      </c>
      <c r="AK256" s="27" t="s">
        <v>580</v>
      </c>
      <c r="AL256" s="42" t="s">
        <v>176</v>
      </c>
      <c r="AM256" s="27" t="s"/>
    </row>
    <row r="257" spans="1:39" s="155" customFormat="1" ht="12.95" customHeight="1">
      <c r="A257" s="17">
        <v>999910000174</v>
      </c>
      <c r="B257" s="18" t="s">
        <v>581</v>
      </c>
      <c r="C257" s="18" t="s">
        <v>152</v>
      </c>
      <c r="D257" s="18" t="s">
        <v>582</v>
      </c>
      <c r="E257" s="18" t="s">
        <v>583</v>
      </c>
      <c r="F257" s="18" t="s">
        <v>11</v>
      </c>
      <c r="G257" s="19" t="s">
        <v>277</v>
      </c>
      <c r="H257" s="20" t="s">
        <v>21</v>
      </c>
      <c r="I257" s="21">
        <v>46346</v>
      </c>
      <c r="J257" s="22">
        <f>=SUM(K257:Q257)</f>
        <v>0</v>
      </c>
      <c r="K257" s="53">
        <v>0</v>
      </c>
      <c r="L257" s="43">
        <v>0</v>
      </c>
      <c r="M257" s="43">
        <v>0</v>
      </c>
      <c r="N257" s="23">
        <v>0</v>
      </c>
      <c r="O257" s="23">
        <v>0</v>
      </c>
      <c r="P257" s="43">
        <v>0</v>
      </c>
      <c r="Q257" s="23">
        <v>0</v>
      </c>
      <c r="R257" s="24" t="s"/>
      <c r="S257" s="25" t="s"/>
      <c r="T257" s="25" t="s"/>
      <c r="U257" s="25" t="s"/>
      <c r="V257" s="25" t="s"/>
      <c r="W257" s="25" t="s"/>
      <c r="X257" s="25" t="s"/>
      <c r="Y257" s="25" t="s"/>
      <c r="Z257" s="23">
        <v>0</v>
      </c>
      <c r="AA257" s="23">
        <v>0</v>
      </c>
      <c r="AB257" s="25" t="s"/>
      <c r="AC257" s="26" t="s"/>
      <c r="AD257" s="23">
        <v>0</v>
      </c>
      <c r="AE257" s="23">
        <v>0</v>
      </c>
      <c r="AF257" s="23">
        <v>0</v>
      </c>
      <c r="AG257" s="23">
        <v>0</v>
      </c>
      <c r="AH257" s="23">
        <v>0</v>
      </c>
      <c r="AI257" s="23">
        <v>0</v>
      </c>
      <c r="AJ257" s="23">
        <v>0</v>
      </c>
      <c r="AK257" s="27" t="s"/>
      <c r="AL257" s="27" t="s"/>
      <c r="AM257" s="27" t="s"/>
    </row>
    <row r="258" spans="1:39" s="155" customFormat="1" ht="12.95" customHeight="1">
      <c r="A258" s="17">
        <v>999910000175</v>
      </c>
      <c r="B258" s="18" t="s">
        <v>584</v>
      </c>
      <c r="C258" s="18" t="s">
        <v>147</v>
      </c>
      <c r="D258" s="18" t="s">
        <v>567</v>
      </c>
      <c r="E258" s="18" t="s">
        <v>10</v>
      </c>
      <c r="F258" s="18" t="s">
        <v>11</v>
      </c>
      <c r="G258" s="19" t="s">
        <v>277</v>
      </c>
      <c r="H258" s="20" t="s">
        <v>21</v>
      </c>
      <c r="I258" s="21">
        <v>46356</v>
      </c>
      <c r="J258" s="22">
        <f>=SUM(K258:Q258)</f>
        <v>0</v>
      </c>
      <c r="K258" s="53">
        <v>0</v>
      </c>
      <c r="L258" s="43">
        <v>0</v>
      </c>
      <c r="M258" s="43">
        <v>0</v>
      </c>
      <c r="N258" s="23">
        <v>0</v>
      </c>
      <c r="O258" s="23">
        <v>0</v>
      </c>
      <c r="P258" s="43">
        <v>0</v>
      </c>
      <c r="Q258" s="23">
        <v>0</v>
      </c>
      <c r="R258" s="24" t="s"/>
      <c r="S258" s="25" t="s"/>
      <c r="T258" s="25" t="s"/>
      <c r="U258" s="25" t="s"/>
      <c r="V258" s="25" t="s"/>
      <c r="W258" s="25" t="s"/>
      <c r="X258" s="25" t="s"/>
      <c r="Y258" s="25" t="s"/>
      <c r="Z258" s="23">
        <v>0</v>
      </c>
      <c r="AA258" s="23">
        <v>0</v>
      </c>
      <c r="AB258" s="25" t="s"/>
      <c r="AC258" s="26" t="s"/>
      <c r="AD258" s="23">
        <v>0</v>
      </c>
      <c r="AE258" s="23">
        <v>0</v>
      </c>
      <c r="AF258" s="23">
        <v>0</v>
      </c>
      <c r="AG258" s="23">
        <v>0</v>
      </c>
      <c r="AH258" s="23">
        <v>0</v>
      </c>
      <c r="AI258" s="23">
        <v>0</v>
      </c>
      <c r="AJ258" s="23">
        <v>0</v>
      </c>
      <c r="AK258" s="27" t="s"/>
      <c r="AL258" s="27" t="s"/>
      <c r="AM258" s="27" t="s"/>
    </row>
    <row r="259" spans="1:39" s="155" customFormat="1" ht="12.95" customHeight="1">
      <c r="A259" s="17">
        <v>999910000176</v>
      </c>
      <c r="B259" s="18" t="s">
        <v>585</v>
      </c>
      <c r="C259" s="18" t="s">
        <v>147</v>
      </c>
      <c r="D259" s="18" t="s">
        <v>569</v>
      </c>
      <c r="E259" s="18" t="s">
        <v>10</v>
      </c>
      <c r="F259" s="18" t="s">
        <v>11</v>
      </c>
      <c r="G259" s="19" t="s">
        <v>277</v>
      </c>
      <c r="H259" s="20" t="s">
        <v>21</v>
      </c>
      <c r="I259" s="21">
        <v>46346</v>
      </c>
      <c r="J259" s="22">
        <f>=SUM(K259:Q259)</f>
        <v>0</v>
      </c>
      <c r="K259" s="53">
        <v>0</v>
      </c>
      <c r="L259" s="43">
        <v>0</v>
      </c>
      <c r="M259" s="43">
        <v>0</v>
      </c>
      <c r="N259" s="23">
        <v>0</v>
      </c>
      <c r="O259" s="23">
        <v>0</v>
      </c>
      <c r="P259" s="43">
        <v>0</v>
      </c>
      <c r="Q259" s="23">
        <v>0</v>
      </c>
      <c r="R259" s="24" t="s"/>
      <c r="S259" s="25" t="s"/>
      <c r="T259" s="25" t="s"/>
      <c r="U259" s="25" t="s"/>
      <c r="V259" s="25" t="s"/>
      <c r="W259" s="25" t="s"/>
      <c r="X259" s="25" t="s"/>
      <c r="Y259" s="25" t="s"/>
      <c r="Z259" s="23">
        <v>0</v>
      </c>
      <c r="AA259" s="23">
        <v>0</v>
      </c>
      <c r="AB259" s="25" t="s"/>
      <c r="AC259" s="26" t="s"/>
      <c r="AD259" s="23">
        <v>0</v>
      </c>
      <c r="AE259" s="23">
        <v>0</v>
      </c>
      <c r="AF259" s="23">
        <v>0</v>
      </c>
      <c r="AG259" s="23">
        <v>0</v>
      </c>
      <c r="AH259" s="23">
        <v>0</v>
      </c>
      <c r="AI259" s="23">
        <v>0</v>
      </c>
      <c r="AJ259" s="23">
        <v>0</v>
      </c>
      <c r="AK259" s="27" t="s"/>
      <c r="AL259" s="27" t="s"/>
      <c r="AM259" s="27" t="s"/>
    </row>
    <row r="260" spans="1:39" s="155" customFormat="1" ht="12.95" customHeight="1">
      <c r="A260" s="17">
        <v>999910000177</v>
      </c>
      <c r="B260" s="18" t="s">
        <v>586</v>
      </c>
      <c r="C260" s="18" t="s">
        <v>347</v>
      </c>
      <c r="D260" s="18" t="s">
        <v>587</v>
      </c>
      <c r="E260" s="18" t="s">
        <v>74</v>
      </c>
      <c r="F260" s="18" t="s">
        <v>413</v>
      </c>
      <c r="G260" s="19" t="s">
        <v>7</v>
      </c>
      <c r="H260" s="20" t="s">
        <v>70</v>
      </c>
      <c r="I260" s="44">
        <v>46326</v>
      </c>
      <c r="J260" s="22">
        <f>=SUM(K260:Q260)</f>
        <v>3365288</v>
      </c>
      <c r="K260" s="53">
        <v>50000</v>
      </c>
      <c r="L260" s="43">
        <v>793553</v>
      </c>
      <c r="M260" s="43">
        <v>1172019</v>
      </c>
      <c r="N260" s="23">
        <v>0</v>
      </c>
      <c r="O260" s="23">
        <v>0</v>
      </c>
      <c r="P260" s="43">
        <v>1349716</v>
      </c>
      <c r="Q260" s="23">
        <v>0</v>
      </c>
      <c r="R260" s="24" t="s"/>
      <c r="S260" s="25" t="s"/>
      <c r="T260" s="25" t="s"/>
      <c r="U260" s="25" t="s"/>
      <c r="V260" s="25" t="s"/>
      <c r="W260" s="25" t="s"/>
      <c r="X260" s="25" t="s"/>
      <c r="Y260" s="25" t="s"/>
      <c r="Z260" s="23">
        <v>0</v>
      </c>
      <c r="AA260" s="23">
        <v>0</v>
      </c>
      <c r="AB260" s="25" t="s"/>
      <c r="AC260" s="26" t="s"/>
      <c r="AD260" s="23">
        <v>0</v>
      </c>
      <c r="AE260" s="23">
        <v>0</v>
      </c>
      <c r="AF260" s="23">
        <v>0</v>
      </c>
      <c r="AG260" s="23">
        <v>0</v>
      </c>
      <c r="AH260" s="23">
        <v>0</v>
      </c>
      <c r="AI260" s="23">
        <v>0</v>
      </c>
      <c r="AJ260" s="23">
        <v>0</v>
      </c>
      <c r="AK260" s="27" t="s"/>
      <c r="AL260" s="27" t="s"/>
      <c r="AM260" s="27" t="s"/>
    </row>
    <row r="261" spans="1:39" s="155" customFormat="1" ht="16.5">
      <c r="A261" s="17">
        <v>999910000178</v>
      </c>
      <c r="B261" s="70" t="s">
        <v>588</v>
      </c>
      <c r="C261" s="18" t="s">
        <v>589</v>
      </c>
      <c r="D261" s="17" t="s">
        <v>590</v>
      </c>
      <c r="E261" s="71" t="s">
        <v>4</v>
      </c>
      <c r="F261" s="18" t="s">
        <v>413</v>
      </c>
      <c r="G261" s="72" t="s">
        <v>290</v>
      </c>
      <c r="H261" s="20" t="s">
        <v>4</v>
      </c>
      <c r="I261" s="21" t="s">
        <v>7</v>
      </c>
      <c r="J261" s="22">
        <f>=SUM(K261:Q261)</f>
        <v>200000</v>
      </c>
      <c r="K261" s="53">
        <v>0</v>
      </c>
      <c r="L261" s="43">
        <v>0</v>
      </c>
      <c r="M261" s="43">
        <v>0</v>
      </c>
      <c r="N261" s="23">
        <v>15000</v>
      </c>
      <c r="O261" s="23">
        <v>0</v>
      </c>
      <c r="P261" s="43">
        <v>185000</v>
      </c>
      <c r="Q261" s="23">
        <v>0</v>
      </c>
      <c r="R261" s="24" t="s"/>
      <c r="S261" s="25" t="s"/>
      <c r="T261" s="25" t="s"/>
      <c r="U261" s="25" t="s"/>
      <c r="V261" s="25" t="s"/>
      <c r="W261" s="25" t="s"/>
      <c r="X261" s="25" t="s"/>
      <c r="Y261" s="25" t="s"/>
      <c r="Z261" s="23">
        <v>0</v>
      </c>
      <c r="AA261" s="23">
        <v>0</v>
      </c>
      <c r="AB261" s="25" t="s"/>
      <c r="AC261" s="26" t="s"/>
      <c r="AD261" s="23">
        <v>0</v>
      </c>
      <c r="AE261" s="23">
        <v>0</v>
      </c>
      <c r="AF261" s="23">
        <v>0</v>
      </c>
      <c r="AG261" s="23">
        <v>0</v>
      </c>
      <c r="AH261" s="23">
        <v>0</v>
      </c>
      <c r="AI261" s="23">
        <v>0</v>
      </c>
      <c r="AJ261" s="23">
        <v>0</v>
      </c>
      <c r="AK261" s="27" t="s"/>
      <c r="AL261" s="27" t="s"/>
      <c r="AM261" s="27" t="s"/>
    </row>
    <row r="262" spans="1:39" s="155" customFormat="1" ht="16.5">
      <c r="A262" s="17">
        <v>999910000179</v>
      </c>
      <c r="B262" s="70" t="s">
        <v>591</v>
      </c>
      <c r="C262" s="18" t="s">
        <v>589</v>
      </c>
      <c r="D262" s="17" t="s">
        <v>590</v>
      </c>
      <c r="E262" s="73" t="s">
        <v>4</v>
      </c>
      <c r="F262" s="18" t="s">
        <v>413</v>
      </c>
      <c r="G262" s="72" t="s">
        <v>290</v>
      </c>
      <c r="H262" s="20" t="s">
        <v>4</v>
      </c>
      <c r="I262" s="21" t="s">
        <v>7</v>
      </c>
      <c r="J262" s="22">
        <f>=SUM(K262:Q262)</f>
        <v>56100</v>
      </c>
      <c r="K262" s="53">
        <v>0</v>
      </c>
      <c r="L262" s="43">
        <v>0</v>
      </c>
      <c r="M262" s="43">
        <v>0</v>
      </c>
      <c r="N262" s="23">
        <v>0</v>
      </c>
      <c r="O262" s="23">
        <v>0</v>
      </c>
      <c r="P262" s="43">
        <v>56100</v>
      </c>
      <c r="Q262" s="23">
        <v>0</v>
      </c>
      <c r="R262" s="24" t="s"/>
      <c r="S262" s="25" t="s"/>
      <c r="T262" s="25" t="s"/>
      <c r="U262" s="25" t="s"/>
      <c r="V262" s="25" t="s"/>
      <c r="W262" s="25" t="s"/>
      <c r="X262" s="25" t="s"/>
      <c r="Y262" s="25" t="s"/>
      <c r="Z262" s="23">
        <v>0</v>
      </c>
      <c r="AA262" s="23">
        <v>0</v>
      </c>
      <c r="AB262" s="25" t="s"/>
      <c r="AC262" s="26" t="s"/>
      <c r="AD262" s="23">
        <v>0</v>
      </c>
      <c r="AE262" s="23">
        <v>0</v>
      </c>
      <c r="AF262" s="23">
        <v>0</v>
      </c>
      <c r="AG262" s="23">
        <v>0</v>
      </c>
      <c r="AH262" s="23">
        <v>0</v>
      </c>
      <c r="AI262" s="23">
        <v>0</v>
      </c>
      <c r="AJ262" s="23">
        <v>0</v>
      </c>
      <c r="AK262" s="27" t="s"/>
      <c r="AL262" s="27" t="s"/>
      <c r="AM262" s="27" t="s"/>
    </row>
    <row r="263" spans="1:39" s="155" customFormat="1" ht="16.5">
      <c r="A263" s="17">
        <v>999910000180</v>
      </c>
      <c r="B263" s="70" t="s">
        <v>592</v>
      </c>
      <c r="C263" s="18" t="s">
        <v>147</v>
      </c>
      <c r="D263" s="17" t="s">
        <v>593</v>
      </c>
      <c r="E263" s="18" t="s">
        <v>126</v>
      </c>
      <c r="F263" s="71" t="s">
        <v>15</v>
      </c>
      <c r="G263" s="74" t="s">
        <v>277</v>
      </c>
      <c r="H263" s="20" t="s">
        <v>115</v>
      </c>
      <c r="I263" s="21">
        <v>46356</v>
      </c>
      <c r="J263" s="22">
        <f>=SUM(K263:Q263)</f>
        <v>0</v>
      </c>
      <c r="K263" s="53">
        <v>0</v>
      </c>
      <c r="L263" s="43">
        <v>0</v>
      </c>
      <c r="M263" s="43">
        <v>0</v>
      </c>
      <c r="N263" s="23">
        <v>0</v>
      </c>
      <c r="O263" s="23">
        <v>0</v>
      </c>
      <c r="P263" s="43">
        <v>0</v>
      </c>
      <c r="Q263" s="23">
        <v>0</v>
      </c>
      <c r="R263" s="24" t="s"/>
      <c r="S263" s="25" t="s"/>
      <c r="T263" s="25" t="s"/>
      <c r="U263" s="25" t="s"/>
      <c r="V263" s="25" t="s"/>
      <c r="W263" s="25" t="s"/>
      <c r="X263" s="25" t="s"/>
      <c r="Y263" s="25" t="s"/>
      <c r="Z263" s="23">
        <v>0</v>
      </c>
      <c r="AA263" s="23">
        <v>0</v>
      </c>
      <c r="AB263" s="25" t="s"/>
      <c r="AC263" s="26" t="s"/>
      <c r="AD263" s="23">
        <v>0</v>
      </c>
      <c r="AE263" s="23">
        <v>0</v>
      </c>
      <c r="AF263" s="23">
        <v>0</v>
      </c>
      <c r="AG263" s="23">
        <v>0</v>
      </c>
      <c r="AH263" s="23">
        <v>0</v>
      </c>
      <c r="AI263" s="23">
        <v>0</v>
      </c>
      <c r="AJ263" s="23">
        <v>0</v>
      </c>
      <c r="AK263" s="27" t="s"/>
      <c r="AL263" s="27" t="s"/>
      <c r="AM263" s="27" t="s"/>
    </row>
    <row r="264" spans="1:39" s="155" customFormat="1" ht="16.5">
      <c r="A264" s="17">
        <v>999910000181</v>
      </c>
      <c r="B264" s="75" t="s">
        <v>594</v>
      </c>
      <c r="C264" s="18" t="s">
        <v>52</v>
      </c>
      <c r="D264" s="17" t="s">
        <v>246</v>
      </c>
      <c r="E264" s="71" t="s">
        <v>74</v>
      </c>
      <c r="F264" s="71" t="s">
        <v>114</v>
      </c>
      <c r="G264" s="74" t="s">
        <v>7</v>
      </c>
      <c r="H264" s="20" t="s">
        <v>115</v>
      </c>
      <c r="I264" s="50">
        <v>46569</v>
      </c>
      <c r="J264" s="22">
        <f>=SUM(K264:Q264)</f>
        <v>6582681</v>
      </c>
      <c r="K264" s="53">
        <v>186406</v>
      </c>
      <c r="L264" s="43">
        <v>2494208</v>
      </c>
      <c r="M264" s="43">
        <v>1639250</v>
      </c>
      <c r="N264" s="43">
        <v>300000</v>
      </c>
      <c r="O264" s="43">
        <v>50000</v>
      </c>
      <c r="P264" s="43">
        <v>1712817</v>
      </c>
      <c r="Q264" s="43">
        <v>200000</v>
      </c>
      <c r="R264" s="24" t="s"/>
      <c r="S264" s="25" t="s"/>
      <c r="T264" s="25" t="s"/>
      <c r="U264" s="25" t="s"/>
      <c r="V264" s="25" t="s"/>
      <c r="W264" s="25" t="s"/>
      <c r="X264" s="25" t="s"/>
      <c r="Y264" s="25" t="s"/>
      <c r="Z264" s="23">
        <v>0</v>
      </c>
      <c r="AA264" s="23">
        <v>0</v>
      </c>
      <c r="AB264" s="25" t="s"/>
      <c r="AC264" s="26" t="s"/>
      <c r="AD264" s="23">
        <v>0</v>
      </c>
      <c r="AE264" s="23">
        <v>0</v>
      </c>
      <c r="AF264" s="23">
        <v>0</v>
      </c>
      <c r="AG264" s="23">
        <v>0</v>
      </c>
      <c r="AH264" s="23">
        <v>0</v>
      </c>
      <c r="AI264" s="23">
        <v>0</v>
      </c>
      <c r="AJ264" s="23">
        <v>0</v>
      </c>
      <c r="AK264" s="27" t="s"/>
      <c r="AL264" s="27" t="s"/>
      <c r="AM264" s="27" t="s"/>
    </row>
    <row r="265" spans="1:39" s="155" customFormat="1" ht="16.5">
      <c r="A265" s="17">
        <v>999910000182</v>
      </c>
      <c r="B265" s="75" t="s">
        <v>595</v>
      </c>
      <c r="C265" s="18" t="s">
        <v>52</v>
      </c>
      <c r="D265" s="17" t="s">
        <v>246</v>
      </c>
      <c r="E265" s="71" t="s">
        <v>14</v>
      </c>
      <c r="F265" s="71" t="s">
        <v>114</v>
      </c>
      <c r="G265" s="74" t="s">
        <v>7</v>
      </c>
      <c r="H265" s="20" t="s">
        <v>115</v>
      </c>
      <c r="I265" s="50">
        <v>46569</v>
      </c>
      <c r="J265" s="22">
        <f>=SUM(K265:Q265)</f>
        <v>5603702</v>
      </c>
      <c r="K265" s="53">
        <v>293008</v>
      </c>
      <c r="L265" s="43">
        <v>2125619</v>
      </c>
      <c r="M265" s="43">
        <v>1251000</v>
      </c>
      <c r="N265" s="43">
        <v>300000</v>
      </c>
      <c r="O265" s="43">
        <v>50000</v>
      </c>
      <c r="P265" s="43">
        <v>1384075</v>
      </c>
      <c r="Q265" s="43">
        <v>200000</v>
      </c>
      <c r="R265" s="24" t="s"/>
      <c r="S265" s="25" t="s"/>
      <c r="T265" s="25" t="s"/>
      <c r="U265" s="25" t="s"/>
      <c r="V265" s="25" t="s"/>
      <c r="W265" s="25" t="s"/>
      <c r="X265" s="25" t="s"/>
      <c r="Y265" s="25" t="s"/>
      <c r="Z265" s="23">
        <v>0</v>
      </c>
      <c r="AA265" s="23">
        <v>0</v>
      </c>
      <c r="AB265" s="25" t="s"/>
      <c r="AC265" s="26" t="s"/>
      <c r="AD265" s="23">
        <v>0</v>
      </c>
      <c r="AE265" s="23">
        <v>0</v>
      </c>
      <c r="AF265" s="23">
        <v>0</v>
      </c>
      <c r="AG265" s="23">
        <v>0</v>
      </c>
      <c r="AH265" s="23">
        <v>0</v>
      </c>
      <c r="AI265" s="23">
        <v>0</v>
      </c>
      <c r="AJ265" s="23">
        <v>0</v>
      </c>
      <c r="AK265" s="27" t="s"/>
      <c r="AL265" s="27" t="s"/>
      <c r="AM265" s="27" t="s"/>
    </row>
    <row r="266" spans="1:39" s="155" customFormat="1" ht="16.5">
      <c r="A266" s="17">
        <v>999910000183</v>
      </c>
      <c r="B266" s="70" t="s">
        <v>596</v>
      </c>
      <c r="C266" s="18" t="s">
        <v>52</v>
      </c>
      <c r="D266" s="17" t="s">
        <v>597</v>
      </c>
      <c r="E266" s="71" t="s">
        <v>14</v>
      </c>
      <c r="F266" s="71" t="s">
        <v>114</v>
      </c>
      <c r="G266" s="19" t="s">
        <v>7</v>
      </c>
      <c r="H266" s="20" t="s">
        <v>115</v>
      </c>
      <c r="I266" s="76">
        <v>46507</v>
      </c>
      <c r="J266" s="22">
        <f>=SUM(K266:Q266)</f>
        <v>4117564</v>
      </c>
      <c r="K266" s="68">
        <v>426174</v>
      </c>
      <c r="L266" s="69">
        <v>1348717</v>
      </c>
      <c r="M266" s="69">
        <v>931853</v>
      </c>
      <c r="N266" s="62">
        <v>100000</v>
      </c>
      <c r="O266" s="23">
        <v>0</v>
      </c>
      <c r="P266" s="69">
        <v>1210820</v>
      </c>
      <c r="Q266" s="62">
        <v>100000</v>
      </c>
      <c r="R266" s="24" t="s"/>
      <c r="S266" s="25" t="s"/>
      <c r="T266" s="25" t="s"/>
      <c r="U266" s="25" t="s"/>
      <c r="V266" s="25" t="s"/>
      <c r="W266" s="25" t="s"/>
      <c r="X266" s="25" t="s"/>
      <c r="Y266" s="25" t="s"/>
      <c r="Z266" s="23">
        <v>0</v>
      </c>
      <c r="AA266" s="23">
        <v>0</v>
      </c>
      <c r="AB266" s="25" t="s"/>
      <c r="AC266" s="26" t="s"/>
      <c r="AD266" s="23">
        <v>0</v>
      </c>
      <c r="AE266" s="23">
        <v>0</v>
      </c>
      <c r="AF266" s="23">
        <v>0</v>
      </c>
      <c r="AG266" s="23">
        <v>0</v>
      </c>
      <c r="AH266" s="23">
        <v>0</v>
      </c>
      <c r="AI266" s="23">
        <v>0</v>
      </c>
      <c r="AJ266" s="23">
        <v>0</v>
      </c>
      <c r="AK266" s="27" t="s"/>
      <c r="AL266" s="27" t="s"/>
      <c r="AM266" s="27" t="s"/>
    </row>
    <row r="267" spans="1:39" s="155" customFormat="1" ht="16.5">
      <c r="A267" s="17">
        <v>999910000184</v>
      </c>
      <c r="B267" s="70" t="s">
        <v>598</v>
      </c>
      <c r="C267" s="18" t="s">
        <v>589</v>
      </c>
      <c r="D267" s="17" t="s">
        <v>599</v>
      </c>
      <c r="E267" s="71" t="s">
        <v>14</v>
      </c>
      <c r="F267" s="70" t="s">
        <v>127</v>
      </c>
      <c r="G267" s="74" t="s">
        <v>7</v>
      </c>
      <c r="H267" s="20" t="s">
        <v>70</v>
      </c>
      <c r="I267" s="21">
        <v>46568</v>
      </c>
      <c r="J267" s="22">
        <f>=SUM(K267:Q267)</f>
        <v>6148438</v>
      </c>
      <c r="K267" s="68">
        <v>821075</v>
      </c>
      <c r="L267" s="69">
        <v>2051523</v>
      </c>
      <c r="M267" s="69">
        <v>884600</v>
      </c>
      <c r="N267" s="62">
        <v>488000</v>
      </c>
      <c r="O267" s="62">
        <v>100000</v>
      </c>
      <c r="P267" s="69">
        <v>1603240</v>
      </c>
      <c r="Q267" s="62">
        <v>200000</v>
      </c>
      <c r="R267" s="24" t="s"/>
      <c r="S267" s="25" t="s"/>
      <c r="T267" s="25" t="s"/>
      <c r="U267" s="25" t="s"/>
      <c r="V267" s="25" t="s"/>
      <c r="W267" s="25" t="s"/>
      <c r="X267" s="25" t="s"/>
      <c r="Y267" s="25" t="s"/>
      <c r="Z267" s="23">
        <v>0</v>
      </c>
      <c r="AA267" s="23">
        <v>0</v>
      </c>
      <c r="AB267" s="25" t="s"/>
      <c r="AC267" s="26" t="s"/>
      <c r="AD267" s="23">
        <v>0</v>
      </c>
      <c r="AE267" s="23">
        <v>0</v>
      </c>
      <c r="AF267" s="23">
        <v>0</v>
      </c>
      <c r="AG267" s="23">
        <v>0</v>
      </c>
      <c r="AH267" s="23">
        <v>0</v>
      </c>
      <c r="AI267" s="23">
        <v>0</v>
      </c>
      <c r="AJ267" s="23">
        <v>0</v>
      </c>
      <c r="AK267" s="27" t="s"/>
      <c r="AL267" s="27" t="s"/>
      <c r="AM267" s="27" t="s"/>
    </row>
    <row r="268" spans="1:39" s="155" customFormat="1" ht="16.5">
      <c r="A268" s="77">
        <v>999910000185</v>
      </c>
      <c r="B268" s="78" t="s">
        <v>600</v>
      </c>
      <c r="C268" s="78" t="s">
        <v>214</v>
      </c>
      <c r="D268" s="77" t="s">
        <v>601</v>
      </c>
      <c r="E268" s="79" t="s">
        <v>126</v>
      </c>
      <c r="F268" s="78" t="s">
        <v>258</v>
      </c>
      <c r="G268" s="80" t="s">
        <v>277</v>
      </c>
      <c r="H268" s="81" t="s">
        <v>70</v>
      </c>
      <c r="I268" s="82">
        <v>46387</v>
      </c>
      <c r="J268" s="34">
        <f>=SUM(K268:Q268)</f>
        <v>0</v>
      </c>
      <c r="K268" s="83">
        <v>0</v>
      </c>
      <c r="L268" s="84">
        <v>0</v>
      </c>
      <c r="M268" s="84">
        <v>0</v>
      </c>
      <c r="N268" s="27">
        <v>0</v>
      </c>
      <c r="O268" s="27">
        <v>0</v>
      </c>
      <c r="P268" s="84">
        <v>0</v>
      </c>
      <c r="Q268" s="27">
        <v>0</v>
      </c>
      <c r="R268" s="24" t="s"/>
      <c r="S268" s="25" t="s"/>
      <c r="T268" s="25" t="s"/>
      <c r="U268" s="25" t="s"/>
      <c r="V268" s="25" t="s"/>
      <c r="W268" s="25" t="s"/>
      <c r="X268" s="25" t="s"/>
      <c r="Y268" s="25" t="s"/>
      <c r="Z268" s="27" t="s"/>
      <c r="AA268" s="27" t="s"/>
      <c r="AB268" s="25" t="s"/>
      <c r="AC268" s="26" t="s"/>
      <c r="AD268" s="27" t="s"/>
      <c r="AE268" s="27" t="s"/>
      <c r="AF268" s="27" t="s"/>
      <c r="AG268" s="27" t="s"/>
      <c r="AH268" s="27" t="s"/>
      <c r="AI268" s="27" t="s"/>
      <c r="AJ268" s="27" t="s"/>
      <c r="AK268" s="27" t="s"/>
      <c r="AL268" s="27" t="s"/>
      <c r="AM268" s="27" t="s"/>
    </row>
    <row r="269" spans="1:39" s="155" customFormat="1" ht="16.5">
      <c r="A269" s="77">
        <v>999910000186</v>
      </c>
      <c r="B269" s="78" t="s">
        <v>602</v>
      </c>
      <c r="C269" s="78" t="s">
        <v>4</v>
      </c>
      <c r="D269" s="77" t="s">
        <v>603</v>
      </c>
      <c r="E269" s="79" t="s">
        <v>4</v>
      </c>
      <c r="F269" s="78" t="s">
        <v>59</v>
      </c>
      <c r="G269" s="85" t="s">
        <v>365</v>
      </c>
      <c r="H269" s="81" t="s">
        <v>4</v>
      </c>
      <c r="I269" s="82" t="s"/>
      <c r="J269" s="34">
        <f>=SUM(K269:Q269)</f>
        <v>9900000</v>
      </c>
      <c r="K269" s="83">
        <v>0</v>
      </c>
      <c r="L269" s="84">
        <v>0</v>
      </c>
      <c r="M269" s="84">
        <v>0</v>
      </c>
      <c r="N269" s="27">
        <v>0</v>
      </c>
      <c r="O269" s="27">
        <v>0</v>
      </c>
      <c r="P269" s="84">
        <v>9900000</v>
      </c>
      <c r="Q269" s="27">
        <v>0</v>
      </c>
      <c r="R269" s="24" t="s"/>
      <c r="S269" s="25" t="s"/>
      <c r="T269" s="25" t="s"/>
      <c r="U269" s="25" t="s"/>
      <c r="V269" s="25" t="s"/>
      <c r="W269" s="25" t="s"/>
      <c r="X269" s="25" t="s"/>
      <c r="Y269" s="25" t="s"/>
      <c r="Z269" s="27" t="s"/>
      <c r="AA269" s="27" t="s"/>
      <c r="AB269" s="25" t="s"/>
      <c r="AC269" s="26" t="s"/>
      <c r="AD269" s="27" t="s"/>
      <c r="AE269" s="27" t="s"/>
      <c r="AF269" s="27" t="s"/>
      <c r="AG269" s="27" t="s"/>
      <c r="AH269" s="27" t="s"/>
      <c r="AI269" s="27" t="s"/>
      <c r="AJ269" s="27" t="s"/>
      <c r="AK269" s="27" t="s"/>
      <c r="AL269" s="27" t="s"/>
      <c r="AM269" s="27" t="s"/>
    </row>
    <row r="270" spans="1:39" s="155" customFormat="1" ht="16.5">
      <c r="A270" s="77">
        <v>999910000187</v>
      </c>
      <c r="B270" s="78" t="s">
        <v>604</v>
      </c>
      <c r="C270" s="78" t="s">
        <v>500</v>
      </c>
      <c r="D270" s="77" t="s">
        <v>605</v>
      </c>
      <c r="E270" s="77" t="s">
        <v>4</v>
      </c>
      <c r="F270" s="78" t="s">
        <v>5</v>
      </c>
      <c r="G270" s="86" t="s">
        <v>290</v>
      </c>
      <c r="H270" s="81" t="s">
        <v>4</v>
      </c>
      <c r="I270" s="82" t="s">
        <v>7</v>
      </c>
      <c r="J270" s="34">
        <f>=SUM(K270:Q270)</f>
        <v>332260</v>
      </c>
      <c r="K270" s="83">
        <v>0</v>
      </c>
      <c r="L270" s="84">
        <v>0</v>
      </c>
      <c r="M270" s="84">
        <v>0</v>
      </c>
      <c r="N270" s="27">
        <v>0</v>
      </c>
      <c r="O270" s="27">
        <v>0</v>
      </c>
      <c r="P270" s="84">
        <v>332260</v>
      </c>
      <c r="Q270" s="27">
        <v>0</v>
      </c>
      <c r="R270" s="24" t="s"/>
      <c r="S270" s="25" t="s"/>
      <c r="T270" s="25" t="s"/>
      <c r="U270" s="25" t="s"/>
      <c r="V270" s="25" t="s"/>
      <c r="W270" s="25" t="s"/>
      <c r="X270" s="25" t="s"/>
      <c r="Y270" s="25" t="s"/>
      <c r="Z270" s="27" t="s"/>
      <c r="AA270" s="27" t="s"/>
      <c r="AB270" s="25" t="s"/>
      <c r="AC270" s="26" t="s"/>
      <c r="AD270" s="27" t="s"/>
      <c r="AE270" s="27" t="s"/>
      <c r="AF270" s="27" t="s"/>
      <c r="AG270" s="27" t="s"/>
      <c r="AH270" s="27" t="s"/>
      <c r="AI270" s="27" t="s"/>
      <c r="AJ270" s="27" t="s"/>
      <c r="AK270" s="27" t="s"/>
      <c r="AL270" s="27" t="s"/>
      <c r="AM270" s="27" t="s"/>
    </row>
    <row r="271" spans="1:39" s="155" customFormat="1" ht="16.5">
      <c r="A271" s="77">
        <v>999910000188</v>
      </c>
      <c r="B271" s="78" t="s">
        <v>606</v>
      </c>
      <c r="C271" s="78" t="s">
        <v>168</v>
      </c>
      <c r="D271" s="77" t="s">
        <v>607</v>
      </c>
      <c r="E271" s="77" t="s">
        <v>4</v>
      </c>
      <c r="F271" s="78" t="s">
        <v>59</v>
      </c>
      <c r="G271" s="85" t="s">
        <v>290</v>
      </c>
      <c r="H271" s="81" t="s">
        <v>4</v>
      </c>
      <c r="I271" s="82" t="s">
        <v>7</v>
      </c>
      <c r="J271" s="34">
        <f>=SUM(K271:Q271)</f>
        <v>0</v>
      </c>
      <c r="K271" s="83">
        <v>0</v>
      </c>
      <c r="L271" s="87">
        <v>0</v>
      </c>
      <c r="M271" s="87">
        <v>0</v>
      </c>
      <c r="N271" s="27">
        <v>0</v>
      </c>
      <c r="O271" s="27">
        <v>0</v>
      </c>
      <c r="P271" s="87">
        <v>0</v>
      </c>
      <c r="Q271" s="27">
        <v>0</v>
      </c>
      <c r="R271" s="24" t="s"/>
      <c r="S271" s="25" t="s"/>
      <c r="T271" s="25" t="s"/>
      <c r="U271" s="25" t="s"/>
      <c r="V271" s="25" t="s"/>
      <c r="W271" s="25" t="s"/>
      <c r="X271" s="25" t="s"/>
      <c r="Y271" s="25" t="s"/>
      <c r="Z271" s="27" t="s"/>
      <c r="AA271" s="27" t="s"/>
      <c r="AB271" s="25" t="s"/>
      <c r="AC271" s="26" t="s"/>
      <c r="AD271" s="27" t="s"/>
      <c r="AE271" s="27" t="s"/>
      <c r="AF271" s="27" t="s"/>
      <c r="AG271" s="27" t="s"/>
      <c r="AH271" s="27" t="s"/>
      <c r="AI271" s="27" t="s"/>
      <c r="AJ271" s="27" t="s"/>
      <c r="AK271" s="27" t="s"/>
      <c r="AL271" s="27" t="s"/>
      <c r="AM271" s="27" t="s"/>
    </row>
    <row r="272" spans="1:39" s="155" customFormat="1" ht="16.5">
      <c r="A272" s="77">
        <v>999910000189</v>
      </c>
      <c r="B272" s="78" t="s">
        <v>608</v>
      </c>
      <c r="C272" s="78" t="s">
        <v>168</v>
      </c>
      <c r="D272" s="77" t="s">
        <v>609</v>
      </c>
      <c r="E272" s="77" t="s">
        <v>4</v>
      </c>
      <c r="F272" s="78" t="s">
        <v>59</v>
      </c>
      <c r="G272" s="85" t="s">
        <v>290</v>
      </c>
      <c r="H272" s="81" t="s">
        <v>4</v>
      </c>
      <c r="I272" s="82" t="s">
        <v>7</v>
      </c>
      <c r="J272" s="34">
        <f>=SUM(K272:Q272)</f>
        <v>0</v>
      </c>
      <c r="K272" s="83">
        <v>0</v>
      </c>
      <c r="L272" s="87">
        <v>0</v>
      </c>
      <c r="M272" s="87">
        <v>0</v>
      </c>
      <c r="N272" s="27">
        <v>0</v>
      </c>
      <c r="O272" s="27">
        <v>0</v>
      </c>
      <c r="P272" s="87">
        <v>0</v>
      </c>
      <c r="Q272" s="27">
        <v>0</v>
      </c>
      <c r="R272" s="24" t="s"/>
      <c r="S272" s="25" t="s"/>
      <c r="T272" s="25" t="s"/>
      <c r="U272" s="25" t="s"/>
      <c r="V272" s="25" t="s"/>
      <c r="W272" s="25" t="s"/>
      <c r="X272" s="25" t="s"/>
      <c r="Y272" s="25" t="s"/>
      <c r="Z272" s="27" t="s"/>
      <c r="AA272" s="27" t="s"/>
      <c r="AB272" s="25" t="s"/>
      <c r="AC272" s="26" t="s"/>
      <c r="AD272" s="27" t="s"/>
      <c r="AE272" s="27" t="s"/>
      <c r="AF272" s="27" t="s"/>
      <c r="AG272" s="27" t="s"/>
      <c r="AH272" s="27" t="s"/>
      <c r="AI272" s="27" t="s"/>
      <c r="AJ272" s="27" t="s"/>
      <c r="AK272" s="27" t="s"/>
      <c r="AL272" s="27" t="s"/>
      <c r="AM272" s="27" t="s"/>
    </row>
    <row r="273" spans="1:39" s="155" customFormat="1" ht="16.5">
      <c r="A273" s="77">
        <v>29001000025</v>
      </c>
      <c r="B273" s="78" t="s">
        <v>610</v>
      </c>
      <c r="C273" s="78" t="s">
        <v>4</v>
      </c>
      <c r="D273" s="77" t="s">
        <v>4</v>
      </c>
      <c r="E273" s="77" t="s">
        <v>4</v>
      </c>
      <c r="F273" s="78" t="s">
        <v>5</v>
      </c>
      <c r="G273" s="85" t="s">
        <v>6</v>
      </c>
      <c r="H273" s="81" t="s">
        <v>4</v>
      </c>
      <c r="I273" s="82" t="s"/>
      <c r="J273" s="34">
        <f>=SUM(K273:Q273)</f>
        <v>0</v>
      </c>
      <c r="K273" s="83">
        <v>0</v>
      </c>
      <c r="L273" s="87">
        <v>0</v>
      </c>
      <c r="M273" s="87">
        <v>0</v>
      </c>
      <c r="N273" s="27">
        <v>0</v>
      </c>
      <c r="O273" s="27">
        <v>0</v>
      </c>
      <c r="P273" s="87">
        <v>0</v>
      </c>
      <c r="Q273" s="27">
        <v>0</v>
      </c>
      <c r="R273" s="24" t="s"/>
      <c r="S273" s="25" t="s"/>
      <c r="T273" s="25" t="s"/>
      <c r="U273" s="25" t="s"/>
      <c r="V273" s="25" t="s"/>
      <c r="W273" s="25" t="s"/>
      <c r="X273" s="25" t="s"/>
      <c r="Y273" s="25" t="s"/>
      <c r="Z273" s="27" t="s"/>
      <c r="AA273" s="27" t="s"/>
      <c r="AB273" s="25" t="s"/>
      <c r="AC273" s="26" t="s"/>
      <c r="AD273" s="27" t="s"/>
      <c r="AE273" s="27" t="s"/>
      <c r="AF273" s="27" t="s"/>
      <c r="AG273" s="27" t="s"/>
      <c r="AH273" s="27" t="s"/>
      <c r="AI273" s="27" t="s"/>
      <c r="AJ273" s="27" t="s"/>
      <c r="AK273" s="27" t="s"/>
      <c r="AL273" s="27" t="s"/>
      <c r="AM273" s="27" t="s"/>
    </row>
    <row r="274" spans="1:39" s="155" customFormat="1" ht="16.5">
      <c r="A274" s="88">
        <v>999910000190</v>
      </c>
      <c r="B274" s="89" t="s">
        <v>611</v>
      </c>
      <c r="C274" s="90" t="s">
        <v>168</v>
      </c>
      <c r="D274" s="88" t="s">
        <v>612</v>
      </c>
      <c r="E274" s="88" t="s">
        <v>126</v>
      </c>
      <c r="F274" s="89" t="s">
        <v>191</v>
      </c>
      <c r="G274" s="88" t="s">
        <v>277</v>
      </c>
      <c r="H274" s="20" t="s">
        <v>27</v>
      </c>
      <c r="I274" s="91">
        <v>46265</v>
      </c>
      <c r="J274" s="34">
        <f>=SUM(K274:Q274)</f>
        <v>0</v>
      </c>
      <c r="K274" s="83">
        <v>0</v>
      </c>
      <c r="L274" s="87">
        <v>0</v>
      </c>
      <c r="M274" s="87">
        <v>0</v>
      </c>
      <c r="N274" s="27">
        <v>0</v>
      </c>
      <c r="O274" s="27">
        <v>0</v>
      </c>
      <c r="P274" s="87">
        <v>0</v>
      </c>
      <c r="Q274" s="27">
        <v>0</v>
      </c>
      <c r="R274" s="24" t="s"/>
      <c r="S274" s="25" t="s"/>
      <c r="T274" s="25" t="s"/>
      <c r="U274" s="25" t="s"/>
      <c r="V274" s="25" t="s"/>
      <c r="W274" s="25" t="s"/>
      <c r="X274" s="25" t="s"/>
      <c r="Y274" s="25" t="s"/>
      <c r="Z274" s="27" t="s"/>
      <c r="AA274" s="27" t="s"/>
      <c r="AB274" s="25" t="s"/>
      <c r="AC274" s="26" t="s"/>
      <c r="AD274" s="27" t="s"/>
      <c r="AE274" s="27" t="s"/>
      <c r="AF274" s="27" t="s"/>
      <c r="AG274" s="27" t="s"/>
      <c r="AH274" s="27" t="s"/>
      <c r="AI274" s="27" t="s"/>
      <c r="AJ274" s="27" t="s"/>
      <c r="AK274" s="27" t="s"/>
      <c r="AL274" s="27" t="s"/>
      <c r="AM274" s="27" t="s"/>
    </row>
    <row r="275" spans="1:39" s="155" customFormat="1" ht="16.5">
      <c r="A275" s="88">
        <v>999910000191</v>
      </c>
      <c r="B275" s="92" t="s">
        <v>613</v>
      </c>
      <c r="C275" s="90" t="s">
        <v>52</v>
      </c>
      <c r="D275" s="88" t="s">
        <v>246</v>
      </c>
      <c r="E275" s="88" t="s">
        <v>135</v>
      </c>
      <c r="F275" s="89" t="s">
        <v>114</v>
      </c>
      <c r="G275" s="88" t="s">
        <v>7</v>
      </c>
      <c r="H275" s="89" t="s">
        <v>115</v>
      </c>
      <c r="I275" s="93">
        <v>46569</v>
      </c>
      <c r="J275" s="34">
        <f>=SUM(K275:Q275)</f>
        <v>0</v>
      </c>
      <c r="K275" s="83">
        <v>0</v>
      </c>
      <c r="L275" s="84">
        <v>0</v>
      </c>
      <c r="M275" s="84">
        <v>0</v>
      </c>
      <c r="N275" s="27">
        <v>0</v>
      </c>
      <c r="O275" s="27">
        <v>0</v>
      </c>
      <c r="P275" s="84">
        <v>0</v>
      </c>
      <c r="Q275" s="27">
        <v>0</v>
      </c>
      <c r="R275" s="24" t="s"/>
      <c r="S275" s="25" t="s"/>
      <c r="T275" s="25" t="s"/>
      <c r="U275" s="25" t="s"/>
      <c r="V275" s="25" t="s"/>
      <c r="W275" s="25" t="s"/>
      <c r="X275" s="25" t="s"/>
      <c r="Y275" s="25" t="s"/>
      <c r="Z275" s="27" t="s"/>
      <c r="AA275" s="27" t="s"/>
      <c r="AB275" s="25" t="s"/>
      <c r="AC275" s="26" t="s"/>
      <c r="AD275" s="27" t="s"/>
      <c r="AE275" s="27" t="s"/>
      <c r="AF275" s="27" t="s"/>
      <c r="AG275" s="27" t="s"/>
      <c r="AH275" s="27" t="s"/>
      <c r="AI275" s="27" t="s"/>
      <c r="AJ275" s="27" t="s"/>
      <c r="AK275" s="27" t="s"/>
      <c r="AL275" s="27" t="s"/>
      <c r="AM275" s="27" t="s"/>
    </row>
    <row r="276" spans="1:39" s="155" customFormat="1" ht="16.5">
      <c r="A276" s="88">
        <v>999910000192</v>
      </c>
      <c r="B276" s="89" t="s">
        <v>614</v>
      </c>
      <c r="C276" s="90" t="s">
        <v>168</v>
      </c>
      <c r="D276" s="88" t="s">
        <v>615</v>
      </c>
      <c r="E276" s="88" t="s">
        <v>74</v>
      </c>
      <c r="F276" s="89" t="s">
        <v>191</v>
      </c>
      <c r="G276" s="88" t="s">
        <v>7</v>
      </c>
      <c r="H276" s="20" t="s">
        <v>27</v>
      </c>
      <c r="I276" s="94">
        <v>46388</v>
      </c>
      <c r="J276" s="34">
        <f>=SUM(K276:Q276)</f>
        <v>7127031</v>
      </c>
      <c r="K276" s="95">
        <v>656553</v>
      </c>
      <c r="L276" s="96">
        <v>2091455</v>
      </c>
      <c r="M276" s="96">
        <v>2025151</v>
      </c>
      <c r="N276" s="97">
        <v>276388</v>
      </c>
      <c r="O276" s="97">
        <v>50000</v>
      </c>
      <c r="P276" s="96">
        <v>1694984</v>
      </c>
      <c r="Q276" s="97">
        <v>332500</v>
      </c>
      <c r="R276" s="24" t="s"/>
      <c r="S276" s="25" t="s"/>
      <c r="T276" s="25" t="s"/>
      <c r="U276" s="25" t="s"/>
      <c r="V276" s="25" t="s"/>
      <c r="W276" s="25" t="s"/>
      <c r="X276" s="25" t="s"/>
      <c r="Y276" s="25" t="s"/>
      <c r="Z276" s="27" t="s"/>
      <c r="AA276" s="27" t="s"/>
      <c r="AB276" s="25" t="s"/>
      <c r="AC276" s="26" t="s"/>
      <c r="AD276" s="27" t="s"/>
      <c r="AE276" s="27" t="s"/>
      <c r="AF276" s="27" t="s"/>
      <c r="AG276" s="27" t="s"/>
      <c r="AH276" s="27" t="s"/>
      <c r="AI276" s="27" t="s"/>
      <c r="AJ276" s="27" t="s"/>
      <c r="AK276" s="27" t="s"/>
      <c r="AL276" s="27" t="s"/>
      <c r="AM276" s="27" t="s"/>
    </row>
    <row r="277" spans="1:39" s="155" customFormat="1" ht="16.5">
      <c r="A277" s="88">
        <v>999910000193</v>
      </c>
      <c r="B277" s="89" t="s">
        <v>616</v>
      </c>
      <c r="C277" s="90" t="s">
        <v>617</v>
      </c>
      <c r="D277" s="88">
        <v>376</v>
      </c>
      <c r="E277" s="77" t="s">
        <v>4</v>
      </c>
      <c r="F277" s="89" t="s">
        <v>5</v>
      </c>
      <c r="G277" s="88" t="s">
        <v>290</v>
      </c>
      <c r="H277" s="89" t="s">
        <v>4</v>
      </c>
      <c r="I277" s="94">
        <v>46388</v>
      </c>
      <c r="J277" s="34">
        <f>=SUM(K277:Q277)</f>
        <v>24500</v>
      </c>
      <c r="K277" s="83">
        <v>0</v>
      </c>
      <c r="L277" s="84">
        <v>0</v>
      </c>
      <c r="M277" s="84">
        <v>0</v>
      </c>
      <c r="N277" s="27">
        <v>2500</v>
      </c>
      <c r="O277" s="27">
        <v>0</v>
      </c>
      <c r="P277" s="84">
        <v>22000</v>
      </c>
      <c r="Q277" s="27">
        <v>0</v>
      </c>
      <c r="R277" s="24" t="s"/>
      <c r="S277" s="25" t="s"/>
      <c r="T277" s="25" t="s"/>
      <c r="U277" s="25" t="s"/>
      <c r="V277" s="25" t="s"/>
      <c r="W277" s="25" t="s"/>
      <c r="X277" s="25" t="s"/>
      <c r="Y277" s="25" t="s"/>
      <c r="Z277" s="27" t="s"/>
      <c r="AA277" s="27" t="s"/>
      <c r="AB277" s="25" t="s"/>
      <c r="AC277" s="26" t="s"/>
      <c r="AD277" s="27" t="s"/>
      <c r="AE277" s="27" t="s"/>
      <c r="AF277" s="27" t="s"/>
      <c r="AG277" s="27" t="s"/>
      <c r="AH277" s="27" t="s"/>
      <c r="AI277" s="27" t="s"/>
      <c r="AJ277" s="27" t="s"/>
      <c r="AK277" s="27" t="s"/>
      <c r="AL277" s="27" t="s"/>
      <c r="AM277" s="27" t="s"/>
    </row>
    <row r="278" spans="1:39" s="155" customFormat="1" ht="16.5">
      <c r="A278" s="88">
        <v>999910000194</v>
      </c>
      <c r="B278" s="89" t="s">
        <v>618</v>
      </c>
      <c r="C278" s="90" t="s">
        <v>131</v>
      </c>
      <c r="D278" s="88" t="s">
        <v>132</v>
      </c>
      <c r="E278" s="88" t="s">
        <v>74</v>
      </c>
      <c r="F278" s="89" t="s">
        <v>69</v>
      </c>
      <c r="G278" s="88" t="s">
        <v>277</v>
      </c>
      <c r="H278" s="98" t="s">
        <v>735</v>
      </c>
      <c r="I278" s="94">
        <v>46326</v>
      </c>
      <c r="J278" s="34">
        <f>=SUM(K278:Q278)</f>
        <v>0</v>
      </c>
      <c r="K278" s="83">
        <v>0</v>
      </c>
      <c r="L278" s="87">
        <v>0</v>
      </c>
      <c r="M278" s="87">
        <v>0</v>
      </c>
      <c r="N278" s="27">
        <v>0</v>
      </c>
      <c r="O278" s="27">
        <v>0</v>
      </c>
      <c r="P278" s="87">
        <v>0</v>
      </c>
      <c r="Q278" s="27">
        <v>0</v>
      </c>
      <c r="R278" s="24" t="s"/>
      <c r="S278" s="25" t="s"/>
      <c r="T278" s="25" t="s"/>
      <c r="U278" s="25" t="s"/>
      <c r="V278" s="25" t="s"/>
      <c r="W278" s="25" t="s"/>
      <c r="X278" s="25" t="s"/>
      <c r="Y278" s="25" t="s"/>
      <c r="Z278" s="27" t="s"/>
      <c r="AA278" s="27" t="s"/>
      <c r="AB278" s="25" t="s"/>
      <c r="AC278" s="26" t="s"/>
      <c r="AD278" s="27" t="s"/>
      <c r="AE278" s="27" t="s"/>
      <c r="AF278" s="27" t="s"/>
      <c r="AG278" s="27" t="s"/>
      <c r="AH278" s="27" t="s"/>
      <c r="AI278" s="27" t="s"/>
      <c r="AJ278" s="27" t="s"/>
      <c r="AK278" s="27" t="s"/>
      <c r="AL278" s="27" t="s"/>
      <c r="AM278" s="27" t="s"/>
    </row>
    <row r="279" spans="1:39" s="155" customFormat="1" ht="16.5">
      <c r="A279" s="99">
        <v>999910000195</v>
      </c>
      <c r="B279" s="100" t="s">
        <v>619</v>
      </c>
      <c r="C279" s="101" t="s">
        <v>112</v>
      </c>
      <c r="D279" s="102" t="s">
        <v>620</v>
      </c>
      <c r="E279" s="102" t="s">
        <v>29</v>
      </c>
      <c r="F279" s="102" t="s">
        <v>114</v>
      </c>
      <c r="G279" s="102" t="s">
        <v>7</v>
      </c>
      <c r="H279" s="20" t="s">
        <v>115</v>
      </c>
      <c r="I279" s="103">
        <v>46843</v>
      </c>
      <c r="J279" s="34">
        <f>=SUM(K279:Q279)</f>
        <v>0</v>
      </c>
      <c r="K279" s="83">
        <v>0</v>
      </c>
      <c r="L279" s="84">
        <v>0</v>
      </c>
      <c r="M279" s="84">
        <v>0</v>
      </c>
      <c r="N279" s="27">
        <v>0</v>
      </c>
      <c r="O279" s="27">
        <v>0</v>
      </c>
      <c r="P279" s="84">
        <v>0</v>
      </c>
      <c r="Q279" s="27">
        <v>0</v>
      </c>
      <c r="R279" s="24" t="s"/>
      <c r="S279" s="25" t="s"/>
      <c r="T279" s="25" t="s"/>
      <c r="U279" s="25" t="s"/>
      <c r="V279" s="25" t="s"/>
      <c r="W279" s="25" t="s"/>
      <c r="X279" s="25" t="s"/>
      <c r="Y279" s="25" t="s"/>
      <c r="Z279" s="27" t="s"/>
      <c r="AA279" s="27" t="s"/>
      <c r="AB279" s="25" t="s"/>
      <c r="AC279" s="26" t="s"/>
      <c r="AD279" s="27" t="s"/>
      <c r="AE279" s="27" t="s"/>
      <c r="AF279" s="27" t="s"/>
      <c r="AG279" s="27" t="s"/>
      <c r="AH279" s="27" t="s"/>
      <c r="AI279" s="27" t="s"/>
      <c r="AJ279" s="27" t="s"/>
      <c r="AK279" s="27" t="s"/>
      <c r="AL279" s="27" t="s"/>
      <c r="AM279" s="27" t="s"/>
    </row>
    <row r="280" spans="1:39" s="155" customFormat="1" ht="16.5">
      <c r="A280" s="99">
        <v>999910000196</v>
      </c>
      <c r="B280" s="104" t="s">
        <v>621</v>
      </c>
      <c r="C280" s="101" t="s">
        <v>23</v>
      </c>
      <c r="D280" s="102" t="s">
        <v>622</v>
      </c>
      <c r="E280" s="102" t="s">
        <v>14</v>
      </c>
      <c r="F280" s="102" t="s">
        <v>85</v>
      </c>
      <c r="G280" s="89" t="s">
        <v>7</v>
      </c>
      <c r="H280" s="20" t="s">
        <v>27</v>
      </c>
      <c r="I280" s="103">
        <v>46713</v>
      </c>
      <c r="J280" s="34">
        <f>=SUM(K280:Q280)</f>
        <v>5166393</v>
      </c>
      <c r="K280" s="83">
        <v>471437</v>
      </c>
      <c r="L280" s="84">
        <v>1372416</v>
      </c>
      <c r="M280" s="84">
        <v>924640</v>
      </c>
      <c r="N280" s="27">
        <v>260000</v>
      </c>
      <c r="O280" s="27">
        <v>70000</v>
      </c>
      <c r="P280" s="84">
        <v>1847900</v>
      </c>
      <c r="Q280" s="27">
        <v>220000</v>
      </c>
      <c r="R280" s="24" t="s"/>
      <c r="S280" s="25" t="s"/>
      <c r="T280" s="25" t="s"/>
      <c r="U280" s="25" t="s"/>
      <c r="V280" s="25" t="s"/>
      <c r="W280" s="25" t="s"/>
      <c r="X280" s="25" t="s"/>
      <c r="Y280" s="25" t="s"/>
      <c r="Z280" s="27" t="s"/>
      <c r="AA280" s="27" t="s"/>
      <c r="AB280" s="25" t="s"/>
      <c r="AC280" s="26" t="s"/>
      <c r="AD280" s="27" t="s"/>
      <c r="AE280" s="27" t="s"/>
      <c r="AF280" s="27" t="s"/>
      <c r="AG280" s="27" t="s"/>
      <c r="AH280" s="27" t="s"/>
      <c r="AI280" s="27" t="s"/>
      <c r="AJ280" s="27" t="s"/>
      <c r="AK280" s="27" t="s"/>
      <c r="AL280" s="27" t="s"/>
      <c r="AM280" s="27" t="s"/>
    </row>
    <row r="281" spans="1:39" s="155" customFormat="1" ht="16.5">
      <c r="A281" s="99">
        <v>999910000197</v>
      </c>
      <c r="B281" s="100" t="s">
        <v>623</v>
      </c>
      <c r="C281" s="101" t="s">
        <v>168</v>
      </c>
      <c r="D281" s="102" t="s">
        <v>624</v>
      </c>
      <c r="E281" s="102" t="s">
        <v>135</v>
      </c>
      <c r="F281" s="102" t="s">
        <v>26</v>
      </c>
      <c r="G281" s="89" t="s">
        <v>7</v>
      </c>
      <c r="H281" s="20" t="s">
        <v>27</v>
      </c>
      <c r="I281" s="103">
        <v>46476</v>
      </c>
      <c r="J281" s="34">
        <f>=SUM(K281:Q281)</f>
        <v>1651787</v>
      </c>
      <c r="K281" s="83">
        <v>517276</v>
      </c>
      <c r="L281" s="96">
        <v>469905</v>
      </c>
      <c r="M281" s="96">
        <v>414606</v>
      </c>
      <c r="N281" s="97">
        <v>200000</v>
      </c>
      <c r="O281" s="97">
        <v>50000</v>
      </c>
      <c r="P281" s="84" t="s"/>
      <c r="Q281" s="27" t="s"/>
      <c r="R281" s="24" t="s"/>
      <c r="S281" s="25" t="s"/>
      <c r="T281" s="25" t="s"/>
      <c r="U281" s="25" t="s"/>
      <c r="V281" s="25" t="s"/>
      <c r="W281" s="25" t="s"/>
      <c r="X281" s="25" t="s"/>
      <c r="Y281" s="25" t="s"/>
      <c r="Z281" s="27" t="s"/>
      <c r="AA281" s="27" t="s"/>
      <c r="AB281" s="25" t="s"/>
      <c r="AC281" s="26" t="s"/>
      <c r="AD281" s="27" t="s"/>
      <c r="AE281" s="27" t="s"/>
      <c r="AF281" s="27" t="s"/>
      <c r="AG281" s="27" t="s"/>
      <c r="AH281" s="27" t="s"/>
      <c r="AI281" s="27" t="s"/>
      <c r="AJ281" s="27" t="s"/>
      <c r="AK281" s="27" t="s"/>
      <c r="AL281" s="27" t="s"/>
      <c r="AM281" s="27" t="s"/>
    </row>
    <row r="282" spans="1:39" s="155" customFormat="1" ht="16.5">
      <c r="A282" s="99">
        <v>999910000198</v>
      </c>
      <c r="B282" s="100" t="s">
        <v>625</v>
      </c>
      <c r="C282" s="101" t="s">
        <v>617</v>
      </c>
      <c r="D282" s="102" t="s">
        <v>626</v>
      </c>
      <c r="E282" s="77" t="s">
        <v>4</v>
      </c>
      <c r="F282" s="102" t="s">
        <v>59</v>
      </c>
      <c r="G282" s="102" t="s">
        <v>290</v>
      </c>
      <c r="H282" s="20" t="s">
        <v>4</v>
      </c>
      <c r="I282" s="103">
        <v>46476</v>
      </c>
      <c r="J282" s="34">
        <f>=SUM(K282:Q282)</f>
        <v>335900</v>
      </c>
      <c r="K282" s="83">
        <v>0</v>
      </c>
      <c r="L282" s="84">
        <v>0</v>
      </c>
      <c r="M282" s="84">
        <v>0</v>
      </c>
      <c r="N282" s="27">
        <v>18000</v>
      </c>
      <c r="O282" s="27">
        <v>0</v>
      </c>
      <c r="P282" s="84">
        <v>317900</v>
      </c>
      <c r="Q282" s="27">
        <v>0</v>
      </c>
      <c r="R282" s="24" t="s"/>
      <c r="S282" s="25" t="s"/>
      <c r="T282" s="25" t="s"/>
      <c r="U282" s="25" t="s"/>
      <c r="V282" s="25" t="s"/>
      <c r="W282" s="25" t="s"/>
      <c r="X282" s="25" t="s"/>
      <c r="Y282" s="25" t="s"/>
      <c r="Z282" s="27" t="s"/>
      <c r="AA282" s="27" t="s"/>
      <c r="AB282" s="25" t="s"/>
      <c r="AC282" s="26" t="s"/>
      <c r="AD282" s="27" t="s"/>
      <c r="AE282" s="27" t="s"/>
      <c r="AF282" s="27" t="s"/>
      <c r="AG282" s="27" t="s"/>
      <c r="AH282" s="27" t="s"/>
      <c r="AI282" s="27" t="s"/>
      <c r="AJ282" s="27" t="s"/>
      <c r="AK282" s="27" t="s"/>
      <c r="AL282" s="27" t="s"/>
      <c r="AM282" s="27" t="s"/>
    </row>
    <row r="283" spans="1:39" s="155" customFormat="1" ht="16.5">
      <c r="A283" s="99">
        <v>999910000199</v>
      </c>
      <c r="B283" s="100" t="s">
        <v>627</v>
      </c>
      <c r="C283" s="101" t="s">
        <v>168</v>
      </c>
      <c r="D283" s="102" t="s">
        <v>628</v>
      </c>
      <c r="E283" s="77" t="s">
        <v>4</v>
      </c>
      <c r="F283" s="102" t="s">
        <v>191</v>
      </c>
      <c r="G283" s="102" t="s">
        <v>290</v>
      </c>
      <c r="H283" s="20" t="s">
        <v>4</v>
      </c>
      <c r="I283" s="103">
        <v>46660</v>
      </c>
      <c r="J283" s="34">
        <f>=SUM(K283:Q283)</f>
        <v>1916800</v>
      </c>
      <c r="K283" s="83">
        <v>0</v>
      </c>
      <c r="L283" s="84">
        <v>0</v>
      </c>
      <c r="M283" s="84">
        <v>0</v>
      </c>
      <c r="N283" s="27">
        <v>30000</v>
      </c>
      <c r="O283" s="27">
        <v>0</v>
      </c>
      <c r="P283" s="84">
        <f>=1536800+200000+150000</f>
        <v>1886800</v>
      </c>
      <c r="Q283" s="27">
        <v>0</v>
      </c>
      <c r="R283" s="24" t="s"/>
      <c r="S283" s="25" t="s"/>
      <c r="T283" s="25" t="s"/>
      <c r="U283" s="25" t="s"/>
      <c r="V283" s="25" t="s"/>
      <c r="W283" s="25" t="s"/>
      <c r="X283" s="25" t="s"/>
      <c r="Y283" s="25" t="s"/>
      <c r="Z283" s="27" t="s"/>
      <c r="AA283" s="27" t="s"/>
      <c r="AB283" s="25" t="s"/>
      <c r="AC283" s="26" t="s"/>
      <c r="AD283" s="27" t="s"/>
      <c r="AE283" s="27" t="s"/>
      <c r="AF283" s="27" t="s"/>
      <c r="AG283" s="27" t="s"/>
      <c r="AH283" s="27" t="s"/>
      <c r="AI283" s="27" t="s"/>
      <c r="AJ283" s="27" t="s"/>
      <c r="AK283" s="27" t="s"/>
      <c r="AL283" s="27" t="s"/>
      <c r="AM283" s="27" t="s"/>
    </row>
    <row r="284" spans="1:39" s="155" customFormat="1" ht="16.5">
      <c r="A284" s="99">
        <v>999910000200</v>
      </c>
      <c r="B284" s="100" t="s">
        <v>629</v>
      </c>
      <c r="C284" s="101" t="s">
        <v>168</v>
      </c>
      <c r="D284" s="102" t="s">
        <v>630</v>
      </c>
      <c r="E284" s="102" t="s">
        <v>135</v>
      </c>
      <c r="F284" s="102" t="s">
        <v>26</v>
      </c>
      <c r="G284" s="89" t="s">
        <v>7</v>
      </c>
      <c r="H284" s="20" t="s">
        <v>27</v>
      </c>
      <c r="I284" s="103">
        <v>46295</v>
      </c>
      <c r="J284" s="34">
        <f>=SUM(K284:Q284)</f>
        <v>5300260</v>
      </c>
      <c r="K284" s="95">
        <v>390712</v>
      </c>
      <c r="L284" s="96">
        <v>1649933</v>
      </c>
      <c r="M284" s="96">
        <v>500000</v>
      </c>
      <c r="N284" s="97">
        <v>237052</v>
      </c>
      <c r="O284" s="97">
        <v>50000</v>
      </c>
      <c r="P284" s="96">
        <v>2369563</v>
      </c>
      <c r="Q284" s="97">
        <v>103000</v>
      </c>
      <c r="R284" s="24" t="s"/>
      <c r="S284" s="25" t="s"/>
      <c r="T284" s="25" t="s"/>
      <c r="U284" s="25" t="s"/>
      <c r="V284" s="25" t="s"/>
      <c r="W284" s="25" t="s"/>
      <c r="X284" s="25" t="s"/>
      <c r="Y284" s="25" t="s"/>
      <c r="Z284" s="27" t="s"/>
      <c r="AA284" s="27" t="s"/>
      <c r="AB284" s="25" t="s"/>
      <c r="AC284" s="26" t="s"/>
      <c r="AD284" s="27" t="s"/>
      <c r="AE284" s="27" t="s"/>
      <c r="AF284" s="27" t="s"/>
      <c r="AG284" s="27" t="s"/>
      <c r="AH284" s="27" t="s"/>
      <c r="AI284" s="27" t="s"/>
      <c r="AJ284" s="27" t="s"/>
      <c r="AK284" s="27" t="s"/>
      <c r="AL284" s="27" t="s"/>
      <c r="AM284" s="27" t="s"/>
    </row>
    <row r="285" spans="1:39" s="155" customFormat="1" ht="16.5">
      <c r="A285" s="99">
        <v>999910000201</v>
      </c>
      <c r="B285" s="100" t="s">
        <v>631</v>
      </c>
      <c r="C285" s="101" t="s">
        <v>512</v>
      </c>
      <c r="D285" s="102" t="s">
        <v>632</v>
      </c>
      <c r="E285" s="102" t="s">
        <v>14</v>
      </c>
      <c r="F285" s="102" t="s">
        <v>5</v>
      </c>
      <c r="G285" s="89" t="s">
        <v>7</v>
      </c>
      <c r="H285" s="20" t="s">
        <v>27</v>
      </c>
      <c r="I285" s="103">
        <v>46189</v>
      </c>
      <c r="J285" s="34">
        <f>=SUM(K285:Q285)</f>
        <v>8436070</v>
      </c>
      <c r="K285" s="83">
        <v>200000</v>
      </c>
      <c r="L285" s="84">
        <v>3295487</v>
      </c>
      <c r="M285" s="84">
        <v>2575087</v>
      </c>
      <c r="N285" s="27">
        <v>500000</v>
      </c>
      <c r="O285" s="27">
        <v>50000</v>
      </c>
      <c r="P285" s="84">
        <v>1815496</v>
      </c>
      <c r="Q285" s="27">
        <v>0</v>
      </c>
      <c r="R285" s="24" t="s"/>
      <c r="S285" s="25" t="s"/>
      <c r="T285" s="25" t="s"/>
      <c r="U285" s="25" t="s"/>
      <c r="V285" s="25" t="s"/>
      <c r="W285" s="25" t="s"/>
      <c r="X285" s="25" t="s"/>
      <c r="Y285" s="25" t="s"/>
      <c r="Z285" s="27" t="s"/>
      <c r="AA285" s="27" t="s"/>
      <c r="AB285" s="25" t="s"/>
      <c r="AC285" s="26" t="s"/>
      <c r="AD285" s="27" t="s"/>
      <c r="AE285" s="27" t="s"/>
      <c r="AF285" s="27" t="s"/>
      <c r="AG285" s="27" t="s"/>
      <c r="AH285" s="27" t="s"/>
      <c r="AI285" s="27" t="s"/>
      <c r="AJ285" s="27" t="s"/>
      <c r="AK285" s="27" t="s"/>
      <c r="AL285" s="27" t="s"/>
      <c r="AM285" s="27" t="s"/>
    </row>
    <row r="286" spans="1:39" s="155" customFormat="1" ht="16.5">
      <c r="A286" s="99">
        <v>999910000202</v>
      </c>
      <c r="B286" s="100" t="s">
        <v>633</v>
      </c>
      <c r="C286" s="101" t="s">
        <v>168</v>
      </c>
      <c r="D286" s="102" t="s">
        <v>634</v>
      </c>
      <c r="E286" s="77" t="s">
        <v>4</v>
      </c>
      <c r="F286" s="102" t="s">
        <v>191</v>
      </c>
      <c r="G286" s="102" t="s">
        <v>290</v>
      </c>
      <c r="H286" s="81" t="s">
        <v>4</v>
      </c>
      <c r="I286" s="103">
        <v>46660</v>
      </c>
      <c r="J286" s="34">
        <f>=SUM(K286:Q286)</f>
        <v>1843600</v>
      </c>
      <c r="K286" s="83">
        <v>0</v>
      </c>
      <c r="L286" s="84">
        <v>0</v>
      </c>
      <c r="M286" s="84">
        <v>0</v>
      </c>
      <c r="N286" s="27">
        <v>30000</v>
      </c>
      <c r="O286" s="27">
        <v>0</v>
      </c>
      <c r="P286" s="84">
        <f>=1536800+156800+120000</f>
        <v>1813600</v>
      </c>
      <c r="Q286" s="27">
        <v>0</v>
      </c>
      <c r="R286" s="24" t="s"/>
      <c r="S286" s="25" t="s"/>
      <c r="T286" s="25" t="s"/>
      <c r="U286" s="25" t="s"/>
      <c r="V286" s="25" t="s"/>
      <c r="W286" s="25" t="s"/>
      <c r="X286" s="25" t="s"/>
      <c r="Y286" s="25" t="s"/>
      <c r="Z286" s="27" t="s"/>
      <c r="AA286" s="27" t="s"/>
      <c r="AB286" s="25" t="s"/>
      <c r="AC286" s="26" t="s"/>
      <c r="AD286" s="27" t="s"/>
      <c r="AE286" s="27" t="s"/>
      <c r="AF286" s="27" t="s"/>
      <c r="AG286" s="27" t="s"/>
      <c r="AH286" s="27" t="s"/>
      <c r="AI286" s="27" t="s"/>
      <c r="AJ286" s="27" t="s"/>
      <c r="AK286" s="27" t="s"/>
      <c r="AL286" s="27" t="s"/>
      <c r="AM286" s="27" t="s"/>
    </row>
    <row r="287" spans="1:39" s="155" customFormat="1" ht="16.5">
      <c r="A287" s="99">
        <v>999910000203</v>
      </c>
      <c r="B287" s="100" t="s">
        <v>635</v>
      </c>
      <c r="C287" s="101" t="s">
        <v>557</v>
      </c>
      <c r="D287" s="102" t="s">
        <v>636</v>
      </c>
      <c r="E287" s="102" t="s">
        <v>10</v>
      </c>
      <c r="F287" s="102" t="s">
        <v>11</v>
      </c>
      <c r="G287" s="89" t="s">
        <v>7</v>
      </c>
      <c r="H287" s="20" t="s">
        <v>21</v>
      </c>
      <c r="I287" s="103">
        <v>46295</v>
      </c>
      <c r="J287" s="34">
        <f>=SUM(K287:Q287)</f>
        <v>430000</v>
      </c>
      <c r="K287" s="105">
        <v>110000</v>
      </c>
      <c r="L287" s="84">
        <v>0</v>
      </c>
      <c r="M287" s="84">
        <v>260000</v>
      </c>
      <c r="N287" s="27">
        <v>50000</v>
      </c>
      <c r="O287" s="27">
        <v>0</v>
      </c>
      <c r="P287" s="84">
        <v>0</v>
      </c>
      <c r="Q287" s="27">
        <v>10000</v>
      </c>
      <c r="R287" s="24" t="s"/>
      <c r="S287" s="25" t="s"/>
      <c r="T287" s="25" t="s"/>
      <c r="U287" s="25" t="s"/>
      <c r="V287" s="25" t="s"/>
      <c r="W287" s="25" t="s"/>
      <c r="X287" s="25" t="s"/>
      <c r="Y287" s="25" t="s"/>
      <c r="Z287" s="27">
        <v>0</v>
      </c>
      <c r="AA287" s="27" t="s"/>
      <c r="AB287" s="25" t="s"/>
      <c r="AC287" s="26" t="s"/>
      <c r="AD287" s="27" t="s"/>
      <c r="AE287" s="27" t="s"/>
      <c r="AF287" s="27" t="s"/>
      <c r="AG287" s="27" t="s"/>
      <c r="AH287" s="27" t="s"/>
      <c r="AI287" s="27" t="s"/>
      <c r="AJ287" s="27" t="s"/>
      <c r="AK287" s="27" t="s"/>
      <c r="AL287" s="27" t="s"/>
      <c r="AM287" s="27" t="s"/>
    </row>
    <row r="288" spans="1:39" s="155" customFormat="1" ht="16.5">
      <c r="A288" s="99">
        <v>999910000204</v>
      </c>
      <c r="B288" s="100" t="s">
        <v>637</v>
      </c>
      <c r="C288" s="101" t="s">
        <v>168</v>
      </c>
      <c r="D288" s="102" t="s">
        <v>638</v>
      </c>
      <c r="E288" s="77" t="s">
        <v>4</v>
      </c>
      <c r="F288" s="102" t="s">
        <v>42</v>
      </c>
      <c r="G288" s="102" t="s">
        <v>290</v>
      </c>
      <c r="H288" s="81" t="s">
        <v>4</v>
      </c>
      <c r="I288" s="103">
        <v>46660</v>
      </c>
      <c r="J288" s="34">
        <f>=SUM(K288:Q288)</f>
        <v>1557600</v>
      </c>
      <c r="K288" s="83">
        <v>0</v>
      </c>
      <c r="L288" s="84">
        <v>0</v>
      </c>
      <c r="M288" s="84">
        <v>0</v>
      </c>
      <c r="N288" s="27">
        <v>30000</v>
      </c>
      <c r="O288" s="27">
        <v>0</v>
      </c>
      <c r="P288" s="84">
        <f>=1407600+120000</f>
        <v>1527600</v>
      </c>
      <c r="Q288" s="27">
        <v>0</v>
      </c>
      <c r="R288" s="24" t="s"/>
      <c r="S288" s="25" t="s"/>
      <c r="T288" s="25" t="s"/>
      <c r="U288" s="25" t="s"/>
      <c r="V288" s="25" t="s"/>
      <c r="W288" s="25" t="s"/>
      <c r="X288" s="25" t="s"/>
      <c r="Y288" s="25" t="s"/>
      <c r="Z288" s="27" t="s"/>
      <c r="AA288" s="27" t="s"/>
      <c r="AB288" s="25" t="s"/>
      <c r="AC288" s="26" t="s"/>
      <c r="AD288" s="27" t="s"/>
      <c r="AE288" s="27" t="s"/>
      <c r="AF288" s="27" t="s"/>
      <c r="AG288" s="27" t="s"/>
      <c r="AH288" s="27" t="s"/>
      <c r="AI288" s="27" t="s"/>
      <c r="AJ288" s="27" t="s"/>
      <c r="AK288" s="27" t="s"/>
      <c r="AL288" s="27" t="s"/>
      <c r="AM288" s="27" t="s"/>
    </row>
    <row r="289" spans="1:39" s="155" customFormat="1" ht="16.5">
      <c r="A289" s="99">
        <v>999910000205</v>
      </c>
      <c r="B289" s="100" t="s">
        <v>639</v>
      </c>
      <c r="C289" s="101" t="s">
        <v>168</v>
      </c>
      <c r="D289" s="102" t="s">
        <v>634</v>
      </c>
      <c r="E289" s="77" t="s">
        <v>4</v>
      </c>
      <c r="F289" s="102" t="s">
        <v>191</v>
      </c>
      <c r="G289" s="102" t="s">
        <v>290</v>
      </c>
      <c r="H289" s="81" t="s">
        <v>4</v>
      </c>
      <c r="I289" s="103">
        <v>46660</v>
      </c>
      <c r="J289" s="34">
        <f>=SUM(K289:Q289)</f>
        <v>1344400</v>
      </c>
      <c r="K289" s="83">
        <v>0</v>
      </c>
      <c r="L289" s="84">
        <v>0</v>
      </c>
      <c r="M289" s="84">
        <v>0</v>
      </c>
      <c r="N289" s="27">
        <v>30000</v>
      </c>
      <c r="O289" s="27">
        <v>0</v>
      </c>
      <c r="P289" s="84">
        <f>=1074400+140000+100000</f>
        <v>1314400</v>
      </c>
      <c r="Q289" s="27">
        <v>0</v>
      </c>
      <c r="R289" s="24" t="s"/>
      <c r="S289" s="25" t="s"/>
      <c r="T289" s="25" t="s"/>
      <c r="U289" s="25" t="s"/>
      <c r="V289" s="25" t="s"/>
      <c r="W289" s="25" t="s"/>
      <c r="X289" s="25" t="s"/>
      <c r="Y289" s="25" t="s"/>
      <c r="Z289" s="27" t="s"/>
      <c r="AA289" s="27" t="s"/>
      <c r="AB289" s="25" t="s"/>
      <c r="AC289" s="26" t="s"/>
      <c r="AD289" s="27" t="s"/>
      <c r="AE289" s="27" t="s"/>
      <c r="AF289" s="27" t="s"/>
      <c r="AG289" s="27" t="s"/>
      <c r="AH289" s="27" t="s"/>
      <c r="AI289" s="27" t="s"/>
      <c r="AJ289" s="27" t="s"/>
      <c r="AK289" s="27" t="s"/>
      <c r="AL289" s="27" t="s"/>
      <c r="AM289" s="27" t="s"/>
    </row>
    <row r="290" spans="1:39" s="155" customFormat="1" ht="16.5">
      <c r="A290" s="99">
        <v>999910000206</v>
      </c>
      <c r="B290" s="100" t="s">
        <v>640</v>
      </c>
      <c r="C290" s="101" t="s">
        <v>214</v>
      </c>
      <c r="D290" s="102" t="s">
        <v>215</v>
      </c>
      <c r="E290" s="102" t="s">
        <v>126</v>
      </c>
      <c r="F290" s="102" t="s">
        <v>15</v>
      </c>
      <c r="G290" s="102" t="s">
        <v>277</v>
      </c>
      <c r="H290" s="20" t="s">
        <v>115</v>
      </c>
      <c r="I290" s="103">
        <v>46325</v>
      </c>
      <c r="J290" s="34">
        <f>=SUM(K290:Q290)</f>
        <v>0</v>
      </c>
      <c r="K290" s="83">
        <v>0</v>
      </c>
      <c r="L290" s="84">
        <v>0</v>
      </c>
      <c r="M290" s="84">
        <v>0</v>
      </c>
      <c r="N290" s="27">
        <v>0</v>
      </c>
      <c r="O290" s="27">
        <v>0</v>
      </c>
      <c r="P290" s="84">
        <v>0</v>
      </c>
      <c r="Q290" s="27">
        <v>0</v>
      </c>
      <c r="R290" s="24" t="s"/>
      <c r="S290" s="25" t="s"/>
      <c r="T290" s="25" t="s"/>
      <c r="U290" s="25" t="s"/>
      <c r="V290" s="25" t="s"/>
      <c r="W290" s="25" t="s"/>
      <c r="X290" s="25" t="s"/>
      <c r="Y290" s="25" t="s"/>
      <c r="Z290" s="27" t="s"/>
      <c r="AA290" s="27" t="s"/>
      <c r="AB290" s="25" t="s"/>
      <c r="AC290" s="26" t="s"/>
      <c r="AD290" s="27" t="s"/>
      <c r="AE290" s="27" t="s"/>
      <c r="AF290" s="27" t="s"/>
      <c r="AG290" s="27" t="s"/>
      <c r="AH290" s="27" t="s"/>
      <c r="AI290" s="27" t="s"/>
      <c r="AJ290" s="27" t="s"/>
      <c r="AK290" s="27" t="s"/>
      <c r="AL290" s="27" t="s"/>
      <c r="AM290" s="27" t="s"/>
    </row>
    <row r="291" spans="1:39" s="155" customFormat="1" ht="16.5">
      <c r="A291" s="99">
        <v>999910000207</v>
      </c>
      <c r="B291" s="100" t="s">
        <v>641</v>
      </c>
      <c r="C291" s="101" t="s">
        <v>642</v>
      </c>
      <c r="D291" s="102" t="s">
        <v>643</v>
      </c>
      <c r="E291" s="102" t="s">
        <v>29</v>
      </c>
      <c r="F291" s="102" t="s">
        <v>237</v>
      </c>
      <c r="G291" s="102" t="s">
        <v>277</v>
      </c>
      <c r="H291" s="20" t="s">
        <v>115</v>
      </c>
      <c r="I291" s="103">
        <v>46386</v>
      </c>
      <c r="J291" s="34">
        <f>=SUM(K291:Q291)</f>
        <v>0</v>
      </c>
      <c r="K291" s="83">
        <v>0</v>
      </c>
      <c r="L291" s="84">
        <v>0</v>
      </c>
      <c r="M291" s="84">
        <v>0</v>
      </c>
      <c r="N291" s="27">
        <v>0</v>
      </c>
      <c r="O291" s="27">
        <v>0</v>
      </c>
      <c r="P291" s="84">
        <v>0</v>
      </c>
      <c r="Q291" s="27">
        <v>0</v>
      </c>
      <c r="R291" s="24" t="s"/>
      <c r="S291" s="25" t="s"/>
      <c r="T291" s="25" t="s"/>
      <c r="U291" s="25" t="s"/>
      <c r="V291" s="25" t="s"/>
      <c r="W291" s="25" t="s"/>
      <c r="X291" s="25" t="s"/>
      <c r="Y291" s="25" t="s"/>
      <c r="Z291" s="27" t="s"/>
      <c r="AA291" s="27" t="s"/>
      <c r="AB291" s="25" t="s"/>
      <c r="AC291" s="26" t="s"/>
      <c r="AD291" s="27" t="s"/>
      <c r="AE291" s="27" t="s"/>
      <c r="AF291" s="27" t="s"/>
      <c r="AG291" s="27" t="s"/>
      <c r="AH291" s="27" t="s"/>
      <c r="AI291" s="27" t="s"/>
      <c r="AJ291" s="27" t="s"/>
      <c r="AK291" s="27" t="s"/>
      <c r="AL291" s="27" t="s"/>
      <c r="AM291" s="27" t="s"/>
    </row>
    <row r="292" spans="1:39" s="155" customFormat="1" ht="16.5">
      <c r="A292" s="106">
        <v>999910000208</v>
      </c>
      <c r="B292" s="100" t="s">
        <v>644</v>
      </c>
      <c r="C292" s="90" t="s">
        <v>168</v>
      </c>
      <c r="D292" s="89" t="s">
        <v>645</v>
      </c>
      <c r="E292" s="77" t="s">
        <v>4</v>
      </c>
      <c r="F292" s="89" t="s">
        <v>191</v>
      </c>
      <c r="G292" s="89" t="s">
        <v>290</v>
      </c>
      <c r="H292" s="81" t="s">
        <v>4</v>
      </c>
      <c r="I292" s="103">
        <v>46568</v>
      </c>
      <c r="J292" s="34">
        <f>=SUM(K292:Q292)</f>
        <v>418000</v>
      </c>
      <c r="K292" s="83">
        <v>0</v>
      </c>
      <c r="L292" s="84">
        <v>0</v>
      </c>
      <c r="M292" s="84">
        <v>0</v>
      </c>
      <c r="N292" s="27">
        <v>10000</v>
      </c>
      <c r="O292" s="27">
        <v>0</v>
      </c>
      <c r="P292" s="84">
        <v>408000</v>
      </c>
      <c r="Q292" s="27">
        <v>0</v>
      </c>
      <c r="R292" s="24" t="s"/>
      <c r="S292" s="25" t="s"/>
      <c r="T292" s="25" t="s"/>
      <c r="U292" s="25" t="s"/>
      <c r="V292" s="25" t="s"/>
      <c r="W292" s="25" t="s"/>
      <c r="X292" s="25" t="s"/>
      <c r="Y292" s="25" t="s"/>
      <c r="Z292" s="27" t="s"/>
      <c r="AA292" s="27" t="s"/>
      <c r="AB292" s="25" t="s"/>
      <c r="AC292" s="26" t="s"/>
      <c r="AD292" s="27" t="s"/>
      <c r="AE292" s="27" t="s"/>
      <c r="AF292" s="27" t="s"/>
      <c r="AG292" s="27" t="s"/>
      <c r="AH292" s="27" t="s"/>
      <c r="AI292" s="27" t="s"/>
      <c r="AJ292" s="27" t="s"/>
      <c r="AK292" s="27" t="s"/>
      <c r="AL292" s="27" t="s"/>
      <c r="AM292" s="27" t="s"/>
    </row>
    <row r="293" spans="1:39" s="155" customFormat="1" ht="16.5">
      <c r="A293" s="106">
        <v>999910000209</v>
      </c>
      <c r="B293" s="100" t="s">
        <v>646</v>
      </c>
      <c r="C293" s="90" t="s">
        <v>168</v>
      </c>
      <c r="D293" s="89" t="s">
        <v>634</v>
      </c>
      <c r="E293" s="77" t="s">
        <v>4</v>
      </c>
      <c r="F293" s="89" t="s">
        <v>191</v>
      </c>
      <c r="G293" s="89" t="s">
        <v>290</v>
      </c>
      <c r="H293" s="81" t="s">
        <v>4</v>
      </c>
      <c r="I293" s="103">
        <v>46690</v>
      </c>
      <c r="J293" s="34">
        <f>=SUM(K293:Q293)</f>
        <v>105480</v>
      </c>
      <c r="K293" s="83">
        <v>0</v>
      </c>
      <c r="L293" s="84">
        <v>60480</v>
      </c>
      <c r="M293" s="84">
        <v>0</v>
      </c>
      <c r="N293" s="27">
        <v>45000</v>
      </c>
      <c r="O293" s="27">
        <v>0</v>
      </c>
      <c r="P293" s="84">
        <v>0</v>
      </c>
      <c r="Q293" s="27">
        <v>0</v>
      </c>
      <c r="R293" s="24" t="s"/>
      <c r="S293" s="25" t="s"/>
      <c r="T293" s="25" t="s"/>
      <c r="U293" s="25" t="s"/>
      <c r="V293" s="25" t="s"/>
      <c r="W293" s="25" t="s"/>
      <c r="X293" s="25" t="s"/>
      <c r="Y293" s="25" t="s"/>
      <c r="Z293" s="27" t="s"/>
      <c r="AA293" s="27" t="s"/>
      <c r="AB293" s="25" t="s"/>
      <c r="AC293" s="26" t="s"/>
      <c r="AD293" s="27" t="s"/>
      <c r="AE293" s="27" t="s"/>
      <c r="AF293" s="27" t="s"/>
      <c r="AG293" s="27" t="s"/>
      <c r="AH293" s="27" t="s"/>
      <c r="AI293" s="27" t="s"/>
      <c r="AJ293" s="27" t="s"/>
      <c r="AK293" s="27" t="s"/>
      <c r="AL293" s="27" t="s"/>
      <c r="AM293" s="27" t="s"/>
    </row>
    <row r="294" spans="1:39" s="155" customFormat="1" ht="16.5">
      <c r="A294" s="106">
        <v>999910000210</v>
      </c>
      <c r="B294" s="100" t="s">
        <v>647</v>
      </c>
      <c r="C294" s="90" t="s">
        <v>168</v>
      </c>
      <c r="D294" s="89" t="s">
        <v>630</v>
      </c>
      <c r="E294" s="89" t="s">
        <v>14</v>
      </c>
      <c r="F294" s="89" t="s">
        <v>191</v>
      </c>
      <c r="G294" s="88" t="s">
        <v>7</v>
      </c>
      <c r="H294" s="20" t="s">
        <v>27</v>
      </c>
      <c r="I294" s="103">
        <v>46295</v>
      </c>
      <c r="J294" s="34">
        <f>=SUM(K294:Q294)</f>
        <v>6904418</v>
      </c>
      <c r="K294" s="95">
        <v>671346</v>
      </c>
      <c r="L294" s="96">
        <v>2146627</v>
      </c>
      <c r="M294" s="96">
        <v>2277700</v>
      </c>
      <c r="N294" s="97">
        <v>196422</v>
      </c>
      <c r="O294" s="97">
        <v>50000</v>
      </c>
      <c r="P294" s="96">
        <v>1418094</v>
      </c>
      <c r="Q294" s="97">
        <v>144229</v>
      </c>
      <c r="R294" s="24" t="s"/>
      <c r="S294" s="25" t="s"/>
      <c r="T294" s="25" t="s"/>
      <c r="U294" s="25" t="s"/>
      <c r="V294" s="25" t="s"/>
      <c r="W294" s="25" t="s"/>
      <c r="X294" s="25" t="s"/>
      <c r="Y294" s="25" t="s"/>
      <c r="Z294" s="27" t="s"/>
      <c r="AA294" s="27" t="s"/>
      <c r="AB294" s="25" t="s"/>
      <c r="AC294" s="26" t="s"/>
      <c r="AD294" s="27" t="s"/>
      <c r="AE294" s="27" t="s"/>
      <c r="AF294" s="27" t="s"/>
      <c r="AG294" s="27" t="s"/>
      <c r="AH294" s="27" t="s"/>
      <c r="AI294" s="27" t="s"/>
      <c r="AJ294" s="27" t="s"/>
      <c r="AK294" s="27" t="s"/>
      <c r="AL294" s="27" t="s"/>
      <c r="AM294" s="27" t="s"/>
    </row>
    <row r="295" spans="1:39" s="155" customFormat="1" ht="16.5">
      <c r="A295" s="106">
        <v>999910000211</v>
      </c>
      <c r="B295" s="100" t="s">
        <v>648</v>
      </c>
      <c r="C295" s="90" t="s">
        <v>168</v>
      </c>
      <c r="D295" s="89" t="s">
        <v>630</v>
      </c>
      <c r="E295" s="89" t="s">
        <v>29</v>
      </c>
      <c r="F295" s="89" t="s">
        <v>26</v>
      </c>
      <c r="G295" s="89" t="s">
        <v>7</v>
      </c>
      <c r="H295" s="20" t="s">
        <v>27</v>
      </c>
      <c r="I295" s="103">
        <v>46721</v>
      </c>
      <c r="J295" s="34">
        <f>=SUM(K295:Q295)</f>
        <v>3988487</v>
      </c>
      <c r="K295" s="107">
        <v>149591</v>
      </c>
      <c r="L295" s="108">
        <v>1097283</v>
      </c>
      <c r="M295" s="108">
        <v>700000</v>
      </c>
      <c r="N295" s="97">
        <v>300000</v>
      </c>
      <c r="O295" s="97">
        <v>50000</v>
      </c>
      <c r="P295" s="108">
        <v>1483613</v>
      </c>
      <c r="Q295" s="97">
        <v>208000</v>
      </c>
      <c r="R295" s="24" t="s"/>
      <c r="S295" s="25" t="s"/>
      <c r="T295" s="25" t="s"/>
      <c r="U295" s="25" t="s"/>
      <c r="V295" s="25" t="s"/>
      <c r="W295" s="25" t="s"/>
      <c r="X295" s="25" t="s"/>
      <c r="Y295" s="25" t="s"/>
      <c r="Z295" s="27" t="s"/>
      <c r="AA295" s="27" t="s"/>
      <c r="AB295" s="25" t="s"/>
      <c r="AC295" s="26" t="s"/>
      <c r="AD295" s="27" t="s"/>
      <c r="AE295" s="27" t="s"/>
      <c r="AF295" s="27" t="s"/>
      <c r="AG295" s="27" t="s"/>
      <c r="AH295" s="27" t="s"/>
      <c r="AI295" s="27" t="s"/>
      <c r="AJ295" s="27" t="s"/>
      <c r="AK295" s="27" t="s"/>
      <c r="AL295" s="27" t="s"/>
      <c r="AM295" s="27" t="s"/>
    </row>
    <row r="296" spans="1:39" s="155" customFormat="1" ht="16.5">
      <c r="A296" s="106">
        <v>999910000212</v>
      </c>
      <c r="B296" s="100" t="s">
        <v>649</v>
      </c>
      <c r="C296" s="101" t="s">
        <v>23</v>
      </c>
      <c r="D296" s="89" t="s">
        <v>650</v>
      </c>
      <c r="E296" s="89" t="s">
        <v>74</v>
      </c>
      <c r="F296" s="109" t="s">
        <v>85</v>
      </c>
      <c r="G296" s="110" t="s">
        <v>277</v>
      </c>
      <c r="H296" s="20" t="s">
        <v>27</v>
      </c>
      <c r="I296" s="103">
        <v>46280</v>
      </c>
      <c r="J296" s="34">
        <f>=SUM(K296:Q296)</f>
        <v>0</v>
      </c>
      <c r="K296" s="83">
        <v>0</v>
      </c>
      <c r="L296" s="87">
        <v>0</v>
      </c>
      <c r="M296" s="87">
        <v>0</v>
      </c>
      <c r="N296" s="27">
        <v>0</v>
      </c>
      <c r="O296" s="27">
        <v>0</v>
      </c>
      <c r="P296" s="87">
        <v>0</v>
      </c>
      <c r="Q296" s="27">
        <v>0</v>
      </c>
      <c r="R296" s="24" t="s"/>
      <c r="S296" s="25" t="s"/>
      <c r="T296" s="25" t="s"/>
      <c r="U296" s="25" t="s"/>
      <c r="V296" s="25" t="s"/>
      <c r="W296" s="25" t="s"/>
      <c r="X296" s="25" t="s"/>
      <c r="Y296" s="25" t="s"/>
      <c r="Z296" s="27" t="s"/>
      <c r="AA296" s="27" t="s"/>
      <c r="AB296" s="25" t="s"/>
      <c r="AC296" s="26" t="s"/>
      <c r="AD296" s="27" t="s"/>
      <c r="AE296" s="27" t="s"/>
      <c r="AF296" s="27" t="s"/>
      <c r="AG296" s="27" t="s"/>
      <c r="AH296" s="27" t="s"/>
      <c r="AI296" s="27" t="s"/>
      <c r="AJ296" s="27" t="s"/>
      <c r="AK296" s="27" t="s"/>
      <c r="AL296" s="27" t="s"/>
      <c r="AM296" s="27" t="s"/>
    </row>
    <row r="297" spans="1:39" s="155" customFormat="1" ht="16.5">
      <c r="A297" s="106">
        <v>999910000213</v>
      </c>
      <c r="B297" s="100" t="s">
        <v>651</v>
      </c>
      <c r="C297" s="90" t="s">
        <v>52</v>
      </c>
      <c r="D297" s="89" t="s">
        <v>652</v>
      </c>
      <c r="E297" s="89" t="s">
        <v>126</v>
      </c>
      <c r="F297" s="89" t="s">
        <v>114</v>
      </c>
      <c r="G297" s="89" t="s">
        <v>7</v>
      </c>
      <c r="H297" s="20" t="s">
        <v>115</v>
      </c>
      <c r="I297" s="103">
        <v>46477</v>
      </c>
      <c r="J297" s="34">
        <f>=SUM(K297:Q297)</f>
        <v>516205</v>
      </c>
      <c r="K297" s="83">
        <v>30000</v>
      </c>
      <c r="L297" s="84">
        <v>137995</v>
      </c>
      <c r="M297" s="84">
        <v>236277</v>
      </c>
      <c r="N297" s="27">
        <v>50000</v>
      </c>
      <c r="O297" s="27">
        <v>5000</v>
      </c>
      <c r="P297" s="84">
        <v>56933</v>
      </c>
      <c r="Q297" s="27" t="s"/>
      <c r="R297" s="24" t="s"/>
      <c r="S297" s="25" t="s"/>
      <c r="T297" s="25" t="s"/>
      <c r="U297" s="25" t="s"/>
      <c r="V297" s="25" t="s"/>
      <c r="W297" s="25" t="s"/>
      <c r="X297" s="25" t="s"/>
      <c r="Y297" s="25" t="s"/>
      <c r="Z297" s="27" t="s"/>
      <c r="AA297" s="27" t="s"/>
      <c r="AB297" s="25" t="s"/>
      <c r="AC297" s="26" t="s"/>
      <c r="AD297" s="27" t="s"/>
      <c r="AE297" s="27" t="s"/>
      <c r="AF297" s="27" t="s"/>
      <c r="AG297" s="27" t="s"/>
      <c r="AH297" s="27" t="s"/>
      <c r="AI297" s="27" t="s"/>
      <c r="AJ297" s="27" t="s"/>
      <c r="AK297" s="27" t="s"/>
      <c r="AL297" s="27" t="s"/>
      <c r="AM297" s="27" t="s"/>
    </row>
    <row r="298" spans="1:39" s="155" customFormat="1" ht="16.5">
      <c r="A298" s="106">
        <v>999910000214</v>
      </c>
      <c r="B298" s="100" t="s">
        <v>653</v>
      </c>
      <c r="C298" s="90" t="s">
        <v>168</v>
      </c>
      <c r="D298" s="89" t="s">
        <v>654</v>
      </c>
      <c r="E298" s="77" t="s">
        <v>4</v>
      </c>
      <c r="F298" s="89" t="s">
        <v>26</v>
      </c>
      <c r="G298" s="89" t="s">
        <v>290</v>
      </c>
      <c r="H298" s="81" t="s">
        <v>4</v>
      </c>
      <c r="I298" s="103">
        <v>46721</v>
      </c>
      <c r="J298" s="34">
        <f>=SUM(K298:Q298)</f>
        <v>189300</v>
      </c>
      <c r="K298" s="83">
        <v>0</v>
      </c>
      <c r="L298" s="84">
        <v>0</v>
      </c>
      <c r="M298" s="84">
        <v>0</v>
      </c>
      <c r="N298" s="27">
        <v>5700</v>
      </c>
      <c r="O298" s="27">
        <v>0</v>
      </c>
      <c r="P298" s="84">
        <v>183600</v>
      </c>
      <c r="Q298" s="27">
        <v>0</v>
      </c>
      <c r="R298" s="24" t="s"/>
      <c r="S298" s="25" t="s"/>
      <c r="T298" s="25" t="s"/>
      <c r="U298" s="25" t="s"/>
      <c r="V298" s="25" t="s"/>
      <c r="W298" s="25" t="s"/>
      <c r="X298" s="25" t="s"/>
      <c r="Y298" s="25" t="s"/>
      <c r="Z298" s="27" t="s"/>
      <c r="AA298" s="27" t="s"/>
      <c r="AB298" s="25" t="s"/>
      <c r="AC298" s="26" t="s"/>
      <c r="AD298" s="27" t="s"/>
      <c r="AE298" s="27" t="s"/>
      <c r="AF298" s="27" t="s"/>
      <c r="AG298" s="27" t="s"/>
      <c r="AH298" s="27" t="s"/>
      <c r="AI298" s="27" t="s"/>
      <c r="AJ298" s="27" t="s"/>
      <c r="AK298" s="27" t="s"/>
      <c r="AL298" s="27" t="s"/>
      <c r="AM298" s="27" t="s"/>
    </row>
    <row r="299" spans="1:39" s="155" customFormat="1" ht="16.5">
      <c r="A299" s="106">
        <v>999910000215</v>
      </c>
      <c r="B299" s="100" t="s">
        <v>655</v>
      </c>
      <c r="C299" s="111" t="s">
        <v>512</v>
      </c>
      <c r="D299" s="112" t="s">
        <v>656</v>
      </c>
      <c r="E299" s="112" t="s">
        <v>14</v>
      </c>
      <c r="F299" s="113" t="s">
        <v>5</v>
      </c>
      <c r="G299" s="112" t="s">
        <v>7</v>
      </c>
      <c r="H299" s="20" t="s">
        <v>27</v>
      </c>
      <c r="I299" s="114">
        <v>46617</v>
      </c>
      <c r="J299" s="34">
        <f>=SUM(K299:Q299)</f>
        <v>4313876</v>
      </c>
      <c r="K299" s="83">
        <v>300000</v>
      </c>
      <c r="L299" s="84">
        <v>680000</v>
      </c>
      <c r="M299" s="84">
        <v>1788668</v>
      </c>
      <c r="N299" s="27">
        <v>300000</v>
      </c>
      <c r="O299" s="27">
        <v>50000</v>
      </c>
      <c r="P299" s="84">
        <v>295208</v>
      </c>
      <c r="Q299" s="27">
        <v>900000</v>
      </c>
      <c r="R299" s="24" t="s"/>
      <c r="S299" s="25" t="s"/>
      <c r="T299" s="25" t="s"/>
      <c r="U299" s="25" t="s"/>
      <c r="V299" s="25" t="s"/>
      <c r="W299" s="25" t="s"/>
      <c r="X299" s="25" t="s"/>
      <c r="Y299" s="25" t="s"/>
      <c r="Z299" s="27" t="s"/>
      <c r="AA299" s="27" t="s"/>
      <c r="AB299" s="25" t="s"/>
      <c r="AC299" s="26" t="s"/>
      <c r="AD299" s="27" t="s"/>
      <c r="AE299" s="27" t="s"/>
      <c r="AF299" s="27" t="s"/>
      <c r="AG299" s="27" t="s"/>
      <c r="AH299" s="27" t="s"/>
      <c r="AI299" s="27" t="s"/>
      <c r="AJ299" s="27" t="s"/>
      <c r="AK299" s="27" t="s"/>
      <c r="AL299" s="27" t="s"/>
      <c r="AM299" s="27" t="s"/>
    </row>
    <row r="300" spans="1:39" s="155" customFormat="1" ht="16.5">
      <c r="A300" s="106">
        <v>999910000216</v>
      </c>
      <c r="B300" s="100" t="s">
        <v>657</v>
      </c>
      <c r="C300" s="115" t="s">
        <v>658</v>
      </c>
      <c r="D300" s="112" t="s">
        <v>659</v>
      </c>
      <c r="E300" s="112" t="s">
        <v>74</v>
      </c>
      <c r="F300" s="113" t="s">
        <v>69</v>
      </c>
      <c r="G300" s="112" t="s">
        <v>277</v>
      </c>
      <c r="H300" s="81" t="s">
        <v>70</v>
      </c>
      <c r="I300" s="114">
        <v>46387</v>
      </c>
      <c r="J300" s="34">
        <f>=SUM(K300:Q300)</f>
        <v>0</v>
      </c>
      <c r="K300" s="83">
        <v>0</v>
      </c>
      <c r="L300" s="87">
        <v>0</v>
      </c>
      <c r="M300" s="87">
        <v>0</v>
      </c>
      <c r="N300" s="27">
        <v>0</v>
      </c>
      <c r="O300" s="27">
        <v>0</v>
      </c>
      <c r="P300" s="87">
        <v>0</v>
      </c>
      <c r="Q300" s="27">
        <v>0</v>
      </c>
      <c r="R300" s="24" t="s"/>
      <c r="S300" s="25" t="s"/>
      <c r="T300" s="25" t="s"/>
      <c r="U300" s="25" t="s"/>
      <c r="V300" s="25" t="s"/>
      <c r="W300" s="25" t="s"/>
      <c r="X300" s="25" t="s"/>
      <c r="Y300" s="25" t="s"/>
      <c r="Z300" s="27" t="s"/>
      <c r="AA300" s="27" t="s"/>
      <c r="AB300" s="25" t="s"/>
      <c r="AC300" s="26" t="s"/>
      <c r="AD300" s="27" t="s"/>
      <c r="AE300" s="27" t="s"/>
      <c r="AF300" s="27" t="s"/>
      <c r="AG300" s="27" t="s"/>
      <c r="AH300" s="27" t="s"/>
      <c r="AI300" s="27" t="s"/>
      <c r="AJ300" s="27" t="s"/>
      <c r="AK300" s="27" t="s"/>
      <c r="AL300" s="27" t="s"/>
      <c r="AM300" s="27" t="s"/>
    </row>
    <row r="301" spans="1:39" s="155" customFormat="1" ht="16.5">
      <c r="A301" s="106">
        <v>999910000217</v>
      </c>
      <c r="B301" s="100" t="s">
        <v>660</v>
      </c>
      <c r="C301" s="111" t="s">
        <v>37</v>
      </c>
      <c r="D301" s="112" t="s">
        <v>661</v>
      </c>
      <c r="E301" s="112" t="s">
        <v>126</v>
      </c>
      <c r="F301" s="113" t="s">
        <v>15</v>
      </c>
      <c r="G301" s="112" t="s">
        <v>277</v>
      </c>
      <c r="H301" s="116" t="s">
        <v>115</v>
      </c>
      <c r="I301" s="114">
        <v>46387</v>
      </c>
      <c r="J301" s="34">
        <f>=SUM(K301:Q301)</f>
        <v>0</v>
      </c>
      <c r="K301" s="83">
        <v>0</v>
      </c>
      <c r="L301" s="87">
        <v>0</v>
      </c>
      <c r="M301" s="87">
        <v>0</v>
      </c>
      <c r="N301" s="27">
        <v>0</v>
      </c>
      <c r="O301" s="27">
        <v>0</v>
      </c>
      <c r="P301" s="87">
        <v>0</v>
      </c>
      <c r="Q301" s="27">
        <v>0</v>
      </c>
      <c r="R301" s="24" t="s"/>
      <c r="S301" s="25" t="s"/>
      <c r="T301" s="25" t="s"/>
      <c r="U301" s="25" t="s"/>
      <c r="V301" s="25" t="s"/>
      <c r="W301" s="25" t="s"/>
      <c r="X301" s="25" t="s"/>
      <c r="Y301" s="25" t="s"/>
      <c r="Z301" s="27" t="s"/>
      <c r="AA301" s="27" t="s"/>
      <c r="AB301" s="25" t="s"/>
      <c r="AC301" s="26" t="s"/>
      <c r="AD301" s="27" t="s"/>
      <c r="AE301" s="27" t="s"/>
      <c r="AF301" s="27" t="s"/>
      <c r="AG301" s="27" t="s"/>
      <c r="AH301" s="27" t="s"/>
      <c r="AI301" s="27" t="s"/>
      <c r="AJ301" s="27" t="s"/>
      <c r="AK301" s="27" t="s"/>
      <c r="AL301" s="27" t="s"/>
      <c r="AM301" s="27" t="s"/>
    </row>
    <row r="302" spans="1:39" s="155" customFormat="1" ht="16.5">
      <c r="A302" s="106">
        <v>999910000218</v>
      </c>
      <c r="B302" s="100" t="s">
        <v>662</v>
      </c>
      <c r="C302" s="111" t="s">
        <v>663</v>
      </c>
      <c r="D302" s="112" t="s">
        <v>199</v>
      </c>
      <c r="E302" s="112" t="s">
        <v>126</v>
      </c>
      <c r="F302" s="113" t="s">
        <v>191</v>
      </c>
      <c r="G302" s="112" t="s">
        <v>277</v>
      </c>
      <c r="H302" s="20" t="s">
        <v>27</v>
      </c>
      <c r="I302" s="114">
        <v>46387</v>
      </c>
      <c r="J302" s="34">
        <f>=SUM(K302:Q302)</f>
        <v>0</v>
      </c>
      <c r="K302" s="83">
        <v>0</v>
      </c>
      <c r="L302" s="87">
        <v>0</v>
      </c>
      <c r="M302" s="87">
        <v>0</v>
      </c>
      <c r="N302" s="27">
        <v>0</v>
      </c>
      <c r="O302" s="27">
        <v>0</v>
      </c>
      <c r="P302" s="87">
        <v>0</v>
      </c>
      <c r="Q302" s="27">
        <v>0</v>
      </c>
      <c r="R302" s="24" t="s"/>
      <c r="S302" s="25" t="s"/>
      <c r="T302" s="25" t="s"/>
      <c r="U302" s="25" t="s"/>
      <c r="V302" s="25" t="s"/>
      <c r="W302" s="25" t="s"/>
      <c r="X302" s="25" t="s"/>
      <c r="Y302" s="25" t="s"/>
      <c r="Z302" s="27" t="s"/>
      <c r="AA302" s="27" t="s"/>
      <c r="AB302" s="25" t="s"/>
      <c r="AC302" s="26" t="s"/>
      <c r="AD302" s="27" t="s"/>
      <c r="AE302" s="27" t="s"/>
      <c r="AF302" s="27" t="s"/>
      <c r="AG302" s="27" t="s"/>
      <c r="AH302" s="27" t="s"/>
      <c r="AI302" s="27" t="s"/>
      <c r="AJ302" s="27" t="s"/>
      <c r="AK302" s="27" t="s"/>
      <c r="AL302" s="27" t="s"/>
      <c r="AM302" s="27" t="s"/>
    </row>
    <row r="303" spans="1:39" s="155" customFormat="1" ht="16.5">
      <c r="A303" s="106">
        <v>999910000219</v>
      </c>
      <c r="B303" s="100" t="s">
        <v>664</v>
      </c>
      <c r="C303" s="111" t="s">
        <v>112</v>
      </c>
      <c r="D303" s="112" t="s">
        <v>665</v>
      </c>
      <c r="E303" s="112" t="s">
        <v>14</v>
      </c>
      <c r="F303" s="113" t="s">
        <v>114</v>
      </c>
      <c r="G303" s="112" t="s">
        <v>277</v>
      </c>
      <c r="H303" s="116" t="s">
        <v>115</v>
      </c>
      <c r="I303" s="114">
        <v>46660</v>
      </c>
      <c r="J303" s="34">
        <f>=SUM(K303:Q303)</f>
        <v>0</v>
      </c>
      <c r="K303" s="83">
        <v>0</v>
      </c>
      <c r="L303" s="87">
        <v>0</v>
      </c>
      <c r="M303" s="87">
        <v>0</v>
      </c>
      <c r="N303" s="27">
        <v>0</v>
      </c>
      <c r="O303" s="27">
        <v>0</v>
      </c>
      <c r="P303" s="87">
        <v>0</v>
      </c>
      <c r="Q303" s="27">
        <v>0</v>
      </c>
      <c r="R303" s="24" t="s"/>
      <c r="S303" s="25" t="s"/>
      <c r="T303" s="25" t="s"/>
      <c r="U303" s="25" t="s"/>
      <c r="V303" s="25" t="s"/>
      <c r="W303" s="25" t="s"/>
      <c r="X303" s="25" t="s"/>
      <c r="Y303" s="25" t="s"/>
      <c r="Z303" s="27" t="s"/>
      <c r="AA303" s="27" t="s"/>
      <c r="AB303" s="25" t="s"/>
      <c r="AC303" s="26" t="s"/>
      <c r="AD303" s="27" t="s"/>
      <c r="AE303" s="27" t="s"/>
      <c r="AF303" s="27" t="s"/>
      <c r="AG303" s="27" t="s"/>
      <c r="AH303" s="27" t="s"/>
      <c r="AI303" s="27" t="s"/>
      <c r="AJ303" s="27" t="s"/>
      <c r="AK303" s="27" t="s"/>
      <c r="AL303" s="27" t="s"/>
      <c r="AM303" s="27" t="s"/>
    </row>
    <row r="304" spans="1:39" s="155" customFormat="1" ht="16.5">
      <c r="A304" s="106">
        <v>999910000220</v>
      </c>
      <c r="B304" s="100" t="s">
        <v>666</v>
      </c>
      <c r="C304" s="111" t="s">
        <v>168</v>
      </c>
      <c r="D304" s="112" t="s">
        <v>667</v>
      </c>
      <c r="E304" s="77" t="s">
        <v>4</v>
      </c>
      <c r="F304" s="113" t="s">
        <v>191</v>
      </c>
      <c r="G304" s="112" t="s">
        <v>290</v>
      </c>
      <c r="H304" s="81" t="s">
        <v>4</v>
      </c>
      <c r="I304" s="114">
        <v>46751</v>
      </c>
      <c r="J304" s="34">
        <f>=SUM(K304:Q304)</f>
        <v>1131700</v>
      </c>
      <c r="K304" s="83">
        <v>0</v>
      </c>
      <c r="L304" s="84">
        <v>0</v>
      </c>
      <c r="M304" s="84">
        <v>0</v>
      </c>
      <c r="N304" s="27">
        <v>25000</v>
      </c>
      <c r="O304" s="27">
        <v>0</v>
      </c>
      <c r="P304" s="84">
        <v>1106700</v>
      </c>
      <c r="Q304" s="27">
        <v>0</v>
      </c>
      <c r="R304" s="24" t="s"/>
      <c r="S304" s="25" t="s"/>
      <c r="T304" s="25" t="s"/>
      <c r="U304" s="25" t="s"/>
      <c r="V304" s="25" t="s"/>
      <c r="W304" s="25" t="s"/>
      <c r="X304" s="25" t="s"/>
      <c r="Y304" s="25" t="s"/>
      <c r="Z304" s="27" t="s"/>
      <c r="AA304" s="27" t="s"/>
      <c r="AB304" s="25" t="s"/>
      <c r="AC304" s="26" t="s"/>
      <c r="AD304" s="27" t="s"/>
      <c r="AE304" s="27" t="s"/>
      <c r="AF304" s="27" t="s"/>
      <c r="AG304" s="27" t="s"/>
      <c r="AH304" s="27" t="s"/>
      <c r="AI304" s="27" t="s"/>
      <c r="AJ304" s="27" t="s"/>
      <c r="AK304" s="27" t="s"/>
      <c r="AL304" s="27" t="s"/>
      <c r="AM304" s="27" t="s"/>
    </row>
    <row r="305" spans="1:39" s="155" customFormat="1" ht="16.5">
      <c r="A305" s="106">
        <v>999910000221</v>
      </c>
      <c r="B305" s="100" t="s">
        <v>668</v>
      </c>
      <c r="C305" s="111" t="s">
        <v>669</v>
      </c>
      <c r="D305" s="112" t="s">
        <v>670</v>
      </c>
      <c r="E305" s="112" t="s">
        <v>671</v>
      </c>
      <c r="F305" s="113" t="s">
        <v>5</v>
      </c>
      <c r="G305" s="112" t="s">
        <v>7</v>
      </c>
      <c r="H305" s="20" t="s">
        <v>27</v>
      </c>
      <c r="I305" s="114">
        <v>46722</v>
      </c>
      <c r="J305" s="34">
        <f>=SUM(K305:Q305)</f>
        <v>0</v>
      </c>
      <c r="K305" s="83">
        <v>0</v>
      </c>
      <c r="L305" s="84">
        <v>0</v>
      </c>
      <c r="M305" s="84">
        <v>0</v>
      </c>
      <c r="N305" s="27">
        <v>0</v>
      </c>
      <c r="O305" s="27">
        <v>0</v>
      </c>
      <c r="P305" s="84">
        <v>0</v>
      </c>
      <c r="Q305" s="27">
        <v>0</v>
      </c>
      <c r="R305" s="24" t="s"/>
      <c r="S305" s="25" t="s"/>
      <c r="T305" s="25" t="s"/>
      <c r="U305" s="25" t="s"/>
      <c r="V305" s="25" t="s"/>
      <c r="W305" s="25" t="s"/>
      <c r="X305" s="25" t="s"/>
      <c r="Y305" s="25" t="s"/>
      <c r="Z305" s="27" t="s"/>
      <c r="AA305" s="27" t="s"/>
      <c r="AB305" s="25" t="s"/>
      <c r="AC305" s="26" t="s"/>
      <c r="AD305" s="27" t="s"/>
      <c r="AE305" s="27" t="s"/>
      <c r="AF305" s="27" t="s"/>
      <c r="AG305" s="27" t="s"/>
      <c r="AH305" s="27" t="s"/>
      <c r="AI305" s="27" t="s"/>
      <c r="AJ305" s="27" t="s"/>
      <c r="AK305" s="27" t="s"/>
      <c r="AL305" s="27" t="s"/>
      <c r="AM305" s="27" t="s"/>
    </row>
    <row r="306" spans="1:39" s="155" customFormat="1" ht="16.5">
      <c r="A306" s="106">
        <v>999910000222</v>
      </c>
      <c r="B306" s="100" t="s">
        <v>672</v>
      </c>
      <c r="C306" s="111" t="s">
        <v>239</v>
      </c>
      <c r="D306" s="112" t="s">
        <v>310</v>
      </c>
      <c r="E306" s="112" t="s">
        <v>10</v>
      </c>
      <c r="F306" s="113" t="s">
        <v>11</v>
      </c>
      <c r="G306" s="112" t="s">
        <v>277</v>
      </c>
      <c r="H306" s="20" t="s">
        <v>21</v>
      </c>
      <c r="I306" s="114">
        <v>46752</v>
      </c>
      <c r="J306" s="34">
        <f>=SUM(K306:Q306)</f>
        <v>0</v>
      </c>
      <c r="K306" s="83">
        <v>0</v>
      </c>
      <c r="L306" s="87">
        <v>0</v>
      </c>
      <c r="M306" s="87">
        <v>0</v>
      </c>
      <c r="N306" s="27">
        <v>0</v>
      </c>
      <c r="O306" s="27">
        <v>0</v>
      </c>
      <c r="P306" s="87">
        <v>0</v>
      </c>
      <c r="Q306" s="27">
        <v>0</v>
      </c>
      <c r="R306" s="24" t="s"/>
      <c r="S306" s="25" t="s"/>
      <c r="T306" s="25" t="s"/>
      <c r="U306" s="25" t="s"/>
      <c r="V306" s="25" t="s"/>
      <c r="W306" s="25" t="s"/>
      <c r="X306" s="25" t="s"/>
      <c r="Y306" s="25" t="s"/>
      <c r="Z306" s="27" t="s"/>
      <c r="AA306" s="27" t="s"/>
      <c r="AB306" s="25" t="s"/>
      <c r="AC306" s="26" t="s"/>
      <c r="AD306" s="27" t="s"/>
      <c r="AE306" s="27" t="s"/>
      <c r="AF306" s="27" t="s"/>
      <c r="AG306" s="27" t="s"/>
      <c r="AH306" s="27" t="s"/>
      <c r="AI306" s="27" t="s"/>
      <c r="AJ306" s="27" t="s"/>
      <c r="AK306" s="27" t="s"/>
      <c r="AL306" s="27" t="s"/>
      <c r="AM306" s="27" t="s"/>
    </row>
    <row r="307" spans="1:39" s="155" customFormat="1">
      <c r="A307" s="117">
        <v>999910000223</v>
      </c>
      <c r="B307" s="118" t="s">
        <v>673</v>
      </c>
      <c r="C307" s="119" t="s">
        <v>131</v>
      </c>
      <c r="D307" s="120" t="s">
        <v>674</v>
      </c>
      <c r="E307" s="120" t="s">
        <v>74</v>
      </c>
      <c r="F307" s="120" t="s">
        <v>69</v>
      </c>
      <c r="G307" s="121" t="s">
        <v>277</v>
      </c>
      <c r="H307" s="81" t="s">
        <v>70</v>
      </c>
      <c r="I307" s="122">
        <v>46386</v>
      </c>
      <c r="J307" s="28">
        <f>=SUM(K307:Q307)</f>
        <v>0</v>
      </c>
      <c r="K307" s="123">
        <v>0</v>
      </c>
      <c r="L307" s="87">
        <v>0</v>
      </c>
      <c r="M307" s="87">
        <v>0</v>
      </c>
      <c r="N307" s="27">
        <v>0</v>
      </c>
      <c r="O307" s="27">
        <v>0</v>
      </c>
      <c r="P307" s="87">
        <v>0</v>
      </c>
      <c r="Q307" s="27">
        <v>0</v>
      </c>
      <c r="R307" s="24" t="s"/>
      <c r="S307" s="25" t="s"/>
      <c r="T307" s="25" t="s"/>
      <c r="U307" s="25" t="s"/>
      <c r="V307" s="25" t="s"/>
      <c r="W307" s="25" t="s"/>
      <c r="X307" s="25" t="s"/>
      <c r="Y307" s="25" t="s"/>
      <c r="Z307" s="25" t="s"/>
      <c r="AA307" s="25" t="s"/>
      <c r="AB307" s="25" t="s"/>
      <c r="AC307" s="26" t="s"/>
      <c r="AD307" s="25" t="s"/>
      <c r="AE307" s="25" t="s"/>
      <c r="AF307" s="25" t="s"/>
      <c r="AG307" s="25" t="s"/>
      <c r="AH307" s="25" t="s"/>
      <c r="AI307" s="25" t="s"/>
      <c r="AJ307" s="25" t="s"/>
      <c r="AK307" s="25" t="s"/>
      <c r="AL307" s="25" t="s"/>
      <c r="AM307" s="25" t="s"/>
    </row>
    <row r="308" spans="1:39" s="155" customFormat="1">
      <c r="A308" s="117">
        <v>999910000224</v>
      </c>
      <c r="B308" s="118" t="s">
        <v>675</v>
      </c>
      <c r="C308" s="119" t="s">
        <v>168</v>
      </c>
      <c r="D308" s="120" t="s">
        <v>634</v>
      </c>
      <c r="E308" s="120" t="s">
        <v>14</v>
      </c>
      <c r="F308" s="120" t="s">
        <v>191</v>
      </c>
      <c r="G308" s="121" t="s">
        <v>7</v>
      </c>
      <c r="H308" s="20" t="s">
        <v>27</v>
      </c>
      <c r="I308" s="122">
        <v>46660</v>
      </c>
      <c r="J308" s="28">
        <f>=SUM(K308:Q308)</f>
        <v>0</v>
      </c>
      <c r="K308" s="83">
        <v>0</v>
      </c>
      <c r="L308" s="84">
        <v>0</v>
      </c>
      <c r="M308" s="84">
        <v>0</v>
      </c>
      <c r="N308" s="27">
        <v>0</v>
      </c>
      <c r="O308" s="27">
        <v>0</v>
      </c>
      <c r="P308" s="84">
        <v>0</v>
      </c>
      <c r="Q308" s="27">
        <v>0</v>
      </c>
      <c r="R308" s="24" t="s"/>
      <c r="S308" s="25" t="s"/>
      <c r="T308" s="25" t="s"/>
      <c r="U308" s="25" t="s"/>
      <c r="V308" s="25" t="s"/>
      <c r="W308" s="25" t="s"/>
      <c r="X308" s="25" t="s"/>
      <c r="Y308" s="25" t="s"/>
      <c r="Z308" s="25" t="s"/>
      <c r="AA308" s="25" t="s"/>
      <c r="AB308" s="25" t="s"/>
      <c r="AC308" s="26" t="s"/>
      <c r="AD308" s="25" t="s"/>
      <c r="AE308" s="25" t="s"/>
      <c r="AF308" s="25" t="s"/>
      <c r="AG308" s="25" t="s"/>
      <c r="AH308" s="25" t="s"/>
      <c r="AI308" s="25" t="s"/>
      <c r="AJ308" s="25" t="s"/>
      <c r="AK308" s="25" t="s"/>
      <c r="AL308" s="25" t="s"/>
      <c r="AM308" s="25" t="s"/>
    </row>
    <row r="309" spans="1:39" s="155" customFormat="1">
      <c r="A309" s="124">
        <v>999910000225</v>
      </c>
      <c r="B309" s="125" t="s">
        <v>676</v>
      </c>
      <c r="C309" s="126" t="s">
        <v>168</v>
      </c>
      <c r="D309" s="120" t="s">
        <v>634</v>
      </c>
      <c r="E309" s="120" t="s">
        <v>29</v>
      </c>
      <c r="F309" s="120" t="s">
        <v>191</v>
      </c>
      <c r="G309" s="121" t="s">
        <v>7</v>
      </c>
      <c r="H309" s="20" t="s">
        <v>27</v>
      </c>
      <c r="I309" s="122">
        <v>46660</v>
      </c>
      <c r="J309" s="28">
        <f>=SUM(K309:Q309)</f>
        <v>0</v>
      </c>
      <c r="K309" s="83">
        <v>0</v>
      </c>
      <c r="L309" s="84">
        <v>0</v>
      </c>
      <c r="M309" s="84">
        <v>0</v>
      </c>
      <c r="N309" s="27">
        <v>0</v>
      </c>
      <c r="O309" s="27">
        <v>0</v>
      </c>
      <c r="P309" s="84">
        <v>0</v>
      </c>
      <c r="Q309" s="27">
        <v>0</v>
      </c>
      <c r="R309" s="24" t="s"/>
      <c r="S309" s="25" t="s"/>
      <c r="T309" s="25" t="s"/>
      <c r="U309" s="25" t="s"/>
      <c r="V309" s="25" t="s"/>
      <c r="W309" s="25" t="s"/>
      <c r="X309" s="25" t="s"/>
      <c r="Y309" s="25" t="s"/>
      <c r="Z309" s="25" t="s"/>
      <c r="AA309" s="25" t="s"/>
      <c r="AB309" s="25" t="s"/>
      <c r="AC309" s="26" t="s"/>
      <c r="AD309" s="25" t="s"/>
      <c r="AE309" s="25" t="s"/>
      <c r="AF309" s="25" t="s"/>
      <c r="AG309" s="25" t="s"/>
      <c r="AH309" s="25" t="s"/>
      <c r="AI309" s="25" t="s"/>
      <c r="AJ309" s="25" t="s"/>
      <c r="AK309" s="25" t="s"/>
      <c r="AL309" s="25" t="s"/>
      <c r="AM309" s="25" t="s"/>
    </row>
    <row r="310" spans="1:39" s="155" customFormat="1">
      <c r="A310" s="124">
        <v>999910000226</v>
      </c>
      <c r="B310" s="125" t="s">
        <v>677</v>
      </c>
      <c r="C310" s="126" t="s">
        <v>23</v>
      </c>
      <c r="D310" s="115" t="s">
        <v>678</v>
      </c>
      <c r="E310" s="120" t="s">
        <v>14</v>
      </c>
      <c r="F310" s="120" t="s">
        <v>26</v>
      </c>
      <c r="G310" s="121" t="s">
        <v>277</v>
      </c>
      <c r="H310" s="20" t="s">
        <v>27</v>
      </c>
      <c r="I310" s="122">
        <v>46295</v>
      </c>
      <c r="J310" s="28">
        <f>=SUM(K310:Q310)</f>
        <v>0</v>
      </c>
      <c r="K310" s="123">
        <v>0</v>
      </c>
      <c r="L310" s="87">
        <v>0</v>
      </c>
      <c r="M310" s="87">
        <v>0</v>
      </c>
      <c r="N310" s="27">
        <v>0</v>
      </c>
      <c r="O310" s="27">
        <v>0</v>
      </c>
      <c r="P310" s="87">
        <v>0</v>
      </c>
      <c r="Q310" s="27">
        <v>0</v>
      </c>
      <c r="R310" s="24" t="s"/>
      <c r="S310" s="25" t="s"/>
      <c r="T310" s="25" t="s"/>
      <c r="U310" s="25" t="s"/>
      <c r="V310" s="25" t="s"/>
      <c r="W310" s="25" t="s"/>
      <c r="X310" s="25" t="s"/>
      <c r="Y310" s="25" t="s"/>
      <c r="Z310" s="25" t="s"/>
      <c r="AA310" s="25" t="s"/>
      <c r="AB310" s="25" t="s"/>
      <c r="AC310" s="26" t="s"/>
      <c r="AD310" s="25" t="s"/>
      <c r="AE310" s="25" t="s"/>
      <c r="AF310" s="25" t="s"/>
      <c r="AG310" s="25" t="s"/>
      <c r="AH310" s="25" t="s"/>
      <c r="AI310" s="25" t="s"/>
      <c r="AJ310" s="25" t="s"/>
      <c r="AK310" s="25" t="s"/>
      <c r="AL310" s="25" t="s"/>
      <c r="AM310" s="25" t="s"/>
    </row>
    <row r="311" spans="1:39" s="155" customFormat="1">
      <c r="A311" s="124">
        <v>999910000227</v>
      </c>
      <c r="B311" s="125" t="s">
        <v>679</v>
      </c>
      <c r="C311" s="126" t="s">
        <v>37</v>
      </c>
      <c r="D311" s="120" t="s">
        <v>680</v>
      </c>
      <c r="E311" s="120" t="s">
        <v>126</v>
      </c>
      <c r="F311" s="120" t="s">
        <v>15</v>
      </c>
      <c r="G311" s="121" t="s">
        <v>277</v>
      </c>
      <c r="H311" s="116" t="s">
        <v>115</v>
      </c>
      <c r="I311" s="122">
        <v>46386</v>
      </c>
      <c r="J311" s="28">
        <f>=SUM(K311:Q311)</f>
        <v>0</v>
      </c>
      <c r="K311" s="123">
        <v>0</v>
      </c>
      <c r="L311" s="87">
        <v>0</v>
      </c>
      <c r="M311" s="87">
        <v>0</v>
      </c>
      <c r="N311" s="27">
        <v>0</v>
      </c>
      <c r="O311" s="27">
        <v>0</v>
      </c>
      <c r="P311" s="87">
        <v>0</v>
      </c>
      <c r="Q311" s="27">
        <v>0</v>
      </c>
      <c r="R311" s="24" t="s"/>
      <c r="S311" s="25" t="s"/>
      <c r="T311" s="25" t="s"/>
      <c r="U311" s="25" t="s"/>
      <c r="V311" s="25" t="s"/>
      <c r="W311" s="25" t="s"/>
      <c r="X311" s="25" t="s"/>
      <c r="Y311" s="25" t="s"/>
      <c r="Z311" s="25" t="s"/>
      <c r="AA311" s="25" t="s"/>
      <c r="AB311" s="25" t="s"/>
      <c r="AC311" s="26" t="s"/>
      <c r="AD311" s="25" t="s"/>
      <c r="AE311" s="25" t="s"/>
      <c r="AF311" s="25" t="s"/>
      <c r="AG311" s="25" t="s"/>
      <c r="AH311" s="25" t="s"/>
      <c r="AI311" s="25" t="s"/>
      <c r="AJ311" s="25" t="s"/>
      <c r="AK311" s="25" t="s"/>
      <c r="AL311" s="25" t="s"/>
      <c r="AM311" s="25" t="s"/>
    </row>
    <row r="312" spans="1:39" s="155" customFormat="1">
      <c r="A312" s="124">
        <v>999910000228</v>
      </c>
      <c r="B312" s="125" t="s">
        <v>681</v>
      </c>
      <c r="C312" s="126" t="s">
        <v>23</v>
      </c>
      <c r="D312" s="120" t="s">
        <v>682</v>
      </c>
      <c r="E312" s="120" t="s">
        <v>135</v>
      </c>
      <c r="F312" s="120" t="s">
        <v>26</v>
      </c>
      <c r="G312" s="121" t="s">
        <v>7</v>
      </c>
      <c r="H312" s="20" t="s">
        <v>27</v>
      </c>
      <c r="I312" s="122">
        <v>46685</v>
      </c>
      <c r="J312" s="28">
        <f>=SUM(K312:Q312)</f>
        <v>0</v>
      </c>
      <c r="K312" s="83">
        <v>0</v>
      </c>
      <c r="L312" s="84">
        <v>0</v>
      </c>
      <c r="M312" s="84">
        <v>0</v>
      </c>
      <c r="N312" s="27">
        <v>0</v>
      </c>
      <c r="O312" s="27">
        <v>0</v>
      </c>
      <c r="P312" s="84">
        <v>0</v>
      </c>
      <c r="Q312" s="27">
        <v>0</v>
      </c>
      <c r="R312" s="24" t="s"/>
      <c r="S312" s="25" t="s"/>
      <c r="T312" s="25" t="s"/>
      <c r="U312" s="25" t="s"/>
      <c r="V312" s="25" t="s"/>
      <c r="W312" s="25" t="s"/>
      <c r="X312" s="25" t="s"/>
      <c r="Y312" s="25" t="s"/>
      <c r="Z312" s="25" t="s"/>
      <c r="AA312" s="25" t="s"/>
      <c r="AB312" s="25" t="s"/>
      <c r="AC312" s="26" t="s"/>
      <c r="AD312" s="25" t="s"/>
      <c r="AE312" s="25" t="s"/>
      <c r="AF312" s="25" t="s"/>
      <c r="AG312" s="25" t="s"/>
      <c r="AH312" s="25" t="s"/>
      <c r="AI312" s="25" t="s"/>
      <c r="AJ312" s="25" t="s"/>
      <c r="AK312" s="25" t="s"/>
      <c r="AL312" s="25" t="s"/>
      <c r="AM312" s="25" t="s"/>
    </row>
    <row r="313" spans="1:39" s="155" customFormat="1">
      <c r="A313" s="124">
        <v>999910000229</v>
      </c>
      <c r="B313" s="125" t="s">
        <v>683</v>
      </c>
      <c r="C313" s="126" t="s">
        <v>500</v>
      </c>
      <c r="D313" s="120" t="s">
        <v>501</v>
      </c>
      <c r="E313" s="120" t="s">
        <v>29</v>
      </c>
      <c r="F313" s="120" t="s">
        <v>114</v>
      </c>
      <c r="G313" s="121" t="s">
        <v>277</v>
      </c>
      <c r="H313" s="116" t="s">
        <v>115</v>
      </c>
      <c r="I313" s="122">
        <v>46295</v>
      </c>
      <c r="J313" s="28">
        <f>=SUM(K313:Q313)</f>
        <v>0</v>
      </c>
      <c r="K313" s="123">
        <v>0</v>
      </c>
      <c r="L313" s="87">
        <v>0</v>
      </c>
      <c r="M313" s="87">
        <v>0</v>
      </c>
      <c r="N313" s="27">
        <v>0</v>
      </c>
      <c r="O313" s="27">
        <v>0</v>
      </c>
      <c r="P313" s="87">
        <v>0</v>
      </c>
      <c r="Q313" s="27">
        <v>0</v>
      </c>
      <c r="R313" s="24" t="s"/>
      <c r="S313" s="25" t="s"/>
      <c r="T313" s="25" t="s"/>
      <c r="U313" s="25" t="s"/>
      <c r="V313" s="25" t="s"/>
      <c r="W313" s="25" t="s"/>
      <c r="X313" s="25" t="s"/>
      <c r="Y313" s="25" t="s"/>
      <c r="Z313" s="25" t="s"/>
      <c r="AA313" s="25" t="s"/>
      <c r="AB313" s="25" t="s"/>
      <c r="AC313" s="26" t="s"/>
      <c r="AD313" s="25" t="s"/>
      <c r="AE313" s="25" t="s"/>
      <c r="AF313" s="25" t="s"/>
      <c r="AG313" s="25" t="s"/>
      <c r="AH313" s="25" t="s"/>
      <c r="AI313" s="25" t="s"/>
      <c r="AJ313" s="25" t="s"/>
      <c r="AK313" s="25" t="s"/>
      <c r="AL313" s="25" t="s"/>
      <c r="AM313" s="25" t="s"/>
    </row>
    <row r="314" spans="1:39" s="155" customFormat="1">
      <c r="A314" s="124">
        <v>999910000230</v>
      </c>
      <c r="B314" s="125" t="s">
        <v>684</v>
      </c>
      <c r="C314" s="126" t="s">
        <v>168</v>
      </c>
      <c r="D314" s="120" t="s">
        <v>685</v>
      </c>
      <c r="E314" s="127" t="s">
        <v>4</v>
      </c>
      <c r="F314" s="120" t="s">
        <v>59</v>
      </c>
      <c r="G314" s="121" t="s">
        <v>290</v>
      </c>
      <c r="H314" s="81" t="s">
        <v>4</v>
      </c>
      <c r="I314" s="122">
        <v>46568</v>
      </c>
      <c r="J314" s="28">
        <f>=SUM(K314:Q314)</f>
        <v>697000</v>
      </c>
      <c r="K314" s="128">
        <v>0</v>
      </c>
      <c r="L314" s="129">
        <v>0</v>
      </c>
      <c r="M314" s="129">
        <v>0</v>
      </c>
      <c r="N314" s="27">
        <v>0</v>
      </c>
      <c r="O314" s="27">
        <v>0</v>
      </c>
      <c r="P314" s="129">
        <v>697000</v>
      </c>
      <c r="Q314" s="27">
        <v>0</v>
      </c>
      <c r="R314" s="24" t="s"/>
      <c r="S314" s="25" t="s"/>
      <c r="T314" s="25" t="s"/>
      <c r="U314" s="25" t="s"/>
      <c r="V314" s="25" t="s"/>
      <c r="W314" s="25" t="s"/>
      <c r="X314" s="25" t="s"/>
      <c r="Y314" s="25" t="s"/>
      <c r="Z314" s="25" t="s"/>
      <c r="AA314" s="25" t="s"/>
      <c r="AB314" s="25" t="s"/>
      <c r="AC314" s="26" t="s"/>
      <c r="AD314" s="25" t="s"/>
      <c r="AE314" s="25" t="s"/>
      <c r="AF314" s="25" t="s"/>
      <c r="AG314" s="25" t="s"/>
      <c r="AH314" s="25" t="s"/>
      <c r="AI314" s="25" t="s"/>
      <c r="AJ314" s="25" t="s"/>
      <c r="AK314" s="25" t="s"/>
      <c r="AL314" s="25" t="s"/>
      <c r="AM314" s="25" t="s"/>
    </row>
    <row r="315" spans="1:39" s="155" customFormat="1">
      <c r="A315" s="124">
        <v>999910000231</v>
      </c>
      <c r="B315" s="125" t="s">
        <v>686</v>
      </c>
      <c r="C315" s="126" t="s">
        <v>168</v>
      </c>
      <c r="D315" s="120" t="s">
        <v>687</v>
      </c>
      <c r="E315" s="127" t="s">
        <v>4</v>
      </c>
      <c r="F315" s="120" t="s">
        <v>191</v>
      </c>
      <c r="G315" s="121" t="s">
        <v>290</v>
      </c>
      <c r="H315" s="81" t="s">
        <v>4</v>
      </c>
      <c r="I315" s="122">
        <v>46721</v>
      </c>
      <c r="J315" s="28">
        <f>=SUM(K315:Q315)</f>
        <v>448840</v>
      </c>
      <c r="K315" s="128">
        <v>0</v>
      </c>
      <c r="L315" s="129">
        <v>0</v>
      </c>
      <c r="M315" s="129">
        <v>0</v>
      </c>
      <c r="N315" s="27">
        <v>15000</v>
      </c>
      <c r="O315" s="27">
        <v>0</v>
      </c>
      <c r="P315" s="129">
        <v>433840</v>
      </c>
      <c r="Q315" s="27">
        <v>0</v>
      </c>
      <c r="R315" s="24" t="s"/>
      <c r="S315" s="25" t="s"/>
      <c r="T315" s="25" t="s"/>
      <c r="U315" s="25" t="s"/>
      <c r="V315" s="25" t="s"/>
      <c r="W315" s="25" t="s"/>
      <c r="X315" s="25" t="s"/>
      <c r="Y315" s="25" t="s"/>
      <c r="Z315" s="25" t="s"/>
      <c r="AA315" s="25" t="s"/>
      <c r="AB315" s="25" t="s"/>
      <c r="AC315" s="26" t="s"/>
      <c r="AD315" s="25" t="s"/>
      <c r="AE315" s="25" t="s"/>
      <c r="AF315" s="25" t="s"/>
      <c r="AG315" s="25" t="s"/>
      <c r="AH315" s="25" t="s"/>
      <c r="AI315" s="25" t="s"/>
      <c r="AJ315" s="25" t="s"/>
      <c r="AK315" s="25" t="s"/>
      <c r="AL315" s="25" t="s"/>
      <c r="AM315" s="25" t="s"/>
    </row>
    <row r="316" spans="1:39" s="155" customFormat="1">
      <c r="A316" s="124">
        <v>999910000232</v>
      </c>
      <c r="B316" s="125" t="s">
        <v>688</v>
      </c>
      <c r="C316" s="130" t="s">
        <v>168</v>
      </c>
      <c r="D316" s="131" t="s">
        <v>689</v>
      </c>
      <c r="E316" s="132" t="s">
        <v>29</v>
      </c>
      <c r="F316" s="133" t="s">
        <v>191</v>
      </c>
      <c r="G316" s="134" t="s">
        <v>290</v>
      </c>
      <c r="H316" s="81" t="s">
        <v>4</v>
      </c>
      <c r="I316" s="135">
        <v>46417</v>
      </c>
      <c r="J316" s="28">
        <f>=SUM(K316:Q316)</f>
        <v>416580</v>
      </c>
      <c r="K316" s="128">
        <v>0</v>
      </c>
      <c r="L316" s="128">
        <v>0</v>
      </c>
      <c r="M316" s="128">
        <v>0</v>
      </c>
      <c r="N316" s="27">
        <v>6500</v>
      </c>
      <c r="O316" s="128">
        <v>0</v>
      </c>
      <c r="P316" s="129">
        <v>410080</v>
      </c>
      <c r="Q316" s="128">
        <v>0</v>
      </c>
      <c r="R316" s="136" t="s"/>
      <c r="S316" s="137" t="s"/>
      <c r="T316" s="137" t="s"/>
      <c r="U316" s="137" t="s"/>
      <c r="V316" s="137" t="s"/>
      <c r="W316" s="137" t="s"/>
      <c r="X316" s="137" t="s"/>
      <c r="Y316" s="137" t="s"/>
      <c r="Z316" s="137" t="s"/>
      <c r="AA316" s="137" t="s"/>
      <c r="AB316" s="137" t="s"/>
      <c r="AC316" s="138" t="s"/>
      <c r="AD316" s="137" t="s"/>
      <c r="AE316" s="137" t="s"/>
      <c r="AF316" s="137" t="s"/>
      <c r="AG316" s="137" t="s"/>
      <c r="AH316" s="137" t="s"/>
      <c r="AI316" s="137" t="s"/>
      <c r="AJ316" s="137" t="s"/>
      <c r="AK316" s="137" t="s"/>
      <c r="AL316" s="137" t="s"/>
      <c r="AM316" s="137" t="s"/>
    </row>
    <row r="317" spans="1:39" s="155" customFormat="1">
      <c r="A317" s="124">
        <v>999910000233</v>
      </c>
      <c r="B317" s="139" t="s">
        <v>690</v>
      </c>
      <c r="C317" s="130" t="s">
        <v>67</v>
      </c>
      <c r="D317" s="140" t="s">
        <v>498</v>
      </c>
      <c r="E317" s="132" t="s">
        <v>135</v>
      </c>
      <c r="F317" s="140" t="s">
        <v>69</v>
      </c>
      <c r="G317" s="134" t="s">
        <v>290</v>
      </c>
      <c r="H317" s="81" t="s">
        <v>4</v>
      </c>
      <c r="I317" s="135">
        <v>46598</v>
      </c>
      <c r="J317" s="28">
        <f>=SUM(K317:Q317)</f>
        <v>141200</v>
      </c>
      <c r="K317" s="128">
        <v>0</v>
      </c>
      <c r="L317" s="128">
        <v>0</v>
      </c>
      <c r="M317" s="128">
        <v>0</v>
      </c>
      <c r="N317" s="27">
        <v>15000</v>
      </c>
      <c r="O317" s="128">
        <v>0</v>
      </c>
      <c r="P317" s="129">
        <v>126200</v>
      </c>
      <c r="Q317" s="128">
        <v>0</v>
      </c>
      <c r="R317" s="136" t="s"/>
      <c r="S317" s="137" t="s"/>
      <c r="T317" s="137" t="s"/>
      <c r="U317" s="137" t="s"/>
      <c r="V317" s="137" t="s"/>
      <c r="W317" s="137" t="s"/>
      <c r="X317" s="137" t="s"/>
      <c r="Y317" s="137" t="s"/>
      <c r="Z317" s="137" t="s"/>
      <c r="AA317" s="137" t="s"/>
      <c r="AB317" s="137" t="s"/>
      <c r="AC317" s="138" t="s"/>
      <c r="AD317" s="137" t="s"/>
      <c r="AE317" s="137" t="s"/>
      <c r="AF317" s="137" t="s"/>
      <c r="AG317" s="137" t="s"/>
      <c r="AH317" s="137" t="s"/>
      <c r="AI317" s="137" t="s"/>
      <c r="AJ317" s="137" t="s"/>
      <c r="AK317" s="137" t="s"/>
      <c r="AL317" s="137" t="s"/>
      <c r="AM317" s="137" t="s"/>
    </row>
    <row r="318" spans="1:39" s="155" customFormat="1">
      <c r="A318" s="124">
        <v>999910000234</v>
      </c>
      <c r="B318" s="139" t="s">
        <v>691</v>
      </c>
      <c r="C318" s="130" t="s">
        <v>692</v>
      </c>
      <c r="D318" s="140" t="s">
        <v>693</v>
      </c>
      <c r="E318" s="132" t="s">
        <v>694</v>
      </c>
      <c r="F318" s="140" t="s">
        <v>69</v>
      </c>
      <c r="G318" s="134" t="s">
        <v>290</v>
      </c>
      <c r="H318" s="81" t="s">
        <v>4</v>
      </c>
      <c r="I318" s="135">
        <v>46660</v>
      </c>
      <c r="J318" s="28">
        <f>=SUM(K318:Q318)</f>
        <v>1230900</v>
      </c>
      <c r="K318" s="128">
        <v>0</v>
      </c>
      <c r="L318" s="128">
        <v>0</v>
      </c>
      <c r="M318" s="128">
        <v>0</v>
      </c>
      <c r="N318" s="27">
        <v>37500</v>
      </c>
      <c r="O318" s="128">
        <v>0</v>
      </c>
      <c r="P318" s="129">
        <v>1193400</v>
      </c>
      <c r="Q318" s="128">
        <v>0</v>
      </c>
      <c r="R318" s="136" t="s"/>
      <c r="S318" s="137" t="s"/>
      <c r="T318" s="137" t="s"/>
      <c r="U318" s="137" t="s"/>
      <c r="V318" s="137" t="s"/>
      <c r="W318" s="137" t="s"/>
      <c r="X318" s="137" t="s"/>
      <c r="Y318" s="137" t="s"/>
      <c r="Z318" s="137" t="s"/>
      <c r="AA318" s="137" t="s"/>
      <c r="AB318" s="137" t="s"/>
      <c r="AC318" s="138" t="s"/>
      <c r="AD318" s="137" t="s"/>
      <c r="AE318" s="137" t="s"/>
      <c r="AF318" s="137" t="s"/>
      <c r="AG318" s="137" t="s"/>
      <c r="AH318" s="137" t="s"/>
      <c r="AI318" s="137" t="s"/>
      <c r="AJ318" s="137" t="s"/>
      <c r="AK318" s="137" t="s"/>
      <c r="AL318" s="137" t="s"/>
      <c r="AM318" s="137" t="s"/>
    </row>
    <row r="319" spans="1:39" s="155" customFormat="1">
      <c r="A319" s="124">
        <v>999910000235</v>
      </c>
      <c r="B319" s="139" t="s">
        <v>695</v>
      </c>
      <c r="C319" s="130" t="s">
        <v>371</v>
      </c>
      <c r="D319" s="140" t="s">
        <v>696</v>
      </c>
      <c r="E319" s="132" t="s">
        <v>14</v>
      </c>
      <c r="F319" s="140" t="s">
        <v>59</v>
      </c>
      <c r="G319" s="141" t="s">
        <v>7</v>
      </c>
      <c r="H319" s="20" t="s">
        <v>21</v>
      </c>
      <c r="I319" s="135">
        <v>46568</v>
      </c>
      <c r="J319" s="28">
        <f>=SUM(K319:Q319)</f>
        <v>5303626</v>
      </c>
      <c r="K319" s="123">
        <v>318426</v>
      </c>
      <c r="L319" s="129">
        <v>1350000</v>
      </c>
      <c r="M319" s="129">
        <v>2070000</v>
      </c>
      <c r="N319" s="27">
        <v>200000</v>
      </c>
      <c r="O319" s="27">
        <v>50000</v>
      </c>
      <c r="P319" s="129">
        <v>1185200</v>
      </c>
      <c r="Q319" s="27">
        <v>130000</v>
      </c>
      <c r="R319" s="136" t="s"/>
      <c r="S319" s="137" t="s"/>
      <c r="T319" s="137" t="s"/>
      <c r="U319" s="137" t="s"/>
      <c r="V319" s="137" t="s"/>
      <c r="W319" s="137" t="s"/>
      <c r="X319" s="137" t="s"/>
      <c r="Y319" s="137" t="s"/>
      <c r="Z319" s="137" t="s"/>
      <c r="AA319" s="137" t="s"/>
      <c r="AB319" s="137" t="s"/>
      <c r="AC319" s="138" t="s"/>
      <c r="AD319" s="137" t="s"/>
      <c r="AE319" s="137" t="s"/>
      <c r="AF319" s="137" t="s"/>
      <c r="AG319" s="137" t="s"/>
      <c r="AH319" s="137" t="s"/>
      <c r="AI319" s="137" t="s"/>
      <c r="AJ319" s="137" t="s"/>
      <c r="AK319" s="137" t="s"/>
      <c r="AL319" s="137" t="s"/>
      <c r="AM319" s="137" t="s"/>
    </row>
    <row r="320" spans="1:39" s="155" customFormat="1">
      <c r="A320" s="124">
        <v>999910000236</v>
      </c>
      <c r="B320" s="139" t="s">
        <v>697</v>
      </c>
      <c r="C320" s="130" t="s">
        <v>40</v>
      </c>
      <c r="D320" s="140" t="s">
        <v>139</v>
      </c>
      <c r="E320" s="132" t="s">
        <v>126</v>
      </c>
      <c r="F320" s="140" t="s">
        <v>42</v>
      </c>
      <c r="G320" s="134" t="s">
        <v>277</v>
      </c>
      <c r="H320" s="20" t="s">
        <v>27</v>
      </c>
      <c r="I320" s="135">
        <v>46387</v>
      </c>
      <c r="J320" s="28">
        <f>=SUM(K320:Q320)</f>
        <v>0</v>
      </c>
      <c r="K320" s="123">
        <v>0</v>
      </c>
      <c r="L320" s="142">
        <v>0</v>
      </c>
      <c r="M320" s="142">
        <v>0</v>
      </c>
      <c r="N320" s="83">
        <v>0</v>
      </c>
      <c r="O320" s="83">
        <v>0</v>
      </c>
      <c r="P320" s="142">
        <v>0</v>
      </c>
      <c r="Q320" s="83">
        <v>0</v>
      </c>
      <c r="R320" s="136" t="s"/>
      <c r="S320" s="137" t="s"/>
      <c r="T320" s="137" t="s"/>
      <c r="U320" s="137" t="s"/>
      <c r="V320" s="137" t="s"/>
      <c r="W320" s="137" t="s"/>
      <c r="X320" s="137" t="s"/>
      <c r="Y320" s="137" t="s"/>
      <c r="Z320" s="137" t="s"/>
      <c r="AA320" s="137" t="s"/>
      <c r="AB320" s="137" t="s"/>
      <c r="AC320" s="138" t="s"/>
      <c r="AD320" s="137" t="s"/>
      <c r="AE320" s="137" t="s"/>
      <c r="AF320" s="137" t="s"/>
      <c r="AG320" s="137" t="s"/>
      <c r="AH320" s="137" t="s"/>
      <c r="AI320" s="137" t="s"/>
      <c r="AJ320" s="137" t="s"/>
      <c r="AK320" s="137" t="s"/>
      <c r="AL320" s="137" t="s"/>
      <c r="AM320" s="137" t="s"/>
    </row>
    <row r="321" spans="1:39" s="155" customFormat="1">
      <c r="A321" s="124">
        <v>999910000237</v>
      </c>
      <c r="B321" s="139" t="s">
        <v>698</v>
      </c>
      <c r="C321" s="130" t="s">
        <v>557</v>
      </c>
      <c r="D321" s="140" t="s">
        <v>289</v>
      </c>
      <c r="E321" s="132" t="s">
        <v>74</v>
      </c>
      <c r="F321" s="140" t="s">
        <v>26</v>
      </c>
      <c r="G321" s="143" t="s">
        <v>7</v>
      </c>
      <c r="H321" s="20" t="s">
        <v>27</v>
      </c>
      <c r="I321" s="135">
        <v>46568</v>
      </c>
      <c r="J321" s="28">
        <f>=SUM(K321:Q321)</f>
        <v>6973465</v>
      </c>
      <c r="K321" s="123">
        <v>179549</v>
      </c>
      <c r="L321" s="129">
        <v>2661156</v>
      </c>
      <c r="M321" s="129">
        <v>1683360</v>
      </c>
      <c r="N321" s="27">
        <v>300000</v>
      </c>
      <c r="O321" s="27">
        <v>50000</v>
      </c>
      <c r="P321" s="129">
        <v>1749400</v>
      </c>
      <c r="Q321" s="27">
        <v>350000</v>
      </c>
      <c r="R321" s="136" t="s"/>
      <c r="S321" s="137" t="s"/>
      <c r="T321" s="137" t="s"/>
      <c r="U321" s="137" t="s"/>
      <c r="V321" s="137" t="s"/>
      <c r="W321" s="137" t="s"/>
      <c r="X321" s="137" t="s"/>
      <c r="Y321" s="137" t="s"/>
      <c r="Z321" s="137" t="s"/>
      <c r="AA321" s="137" t="s"/>
      <c r="AB321" s="137" t="s"/>
      <c r="AC321" s="138" t="s"/>
      <c r="AD321" s="137" t="s"/>
      <c r="AE321" s="137" t="s"/>
      <c r="AF321" s="137" t="s"/>
      <c r="AG321" s="137" t="s"/>
      <c r="AH321" s="137" t="s"/>
      <c r="AI321" s="137" t="s"/>
      <c r="AJ321" s="137" t="s"/>
      <c r="AK321" s="137" t="s"/>
      <c r="AL321" s="137" t="s"/>
      <c r="AM321" s="137" t="s"/>
    </row>
    <row r="322" spans="1:39" s="155" customFormat="1">
      <c r="A322" s="144">
        <v>999910000238</v>
      </c>
      <c r="B322" s="145" t="s">
        <v>699</v>
      </c>
      <c r="C322" s="130" t="s">
        <v>131</v>
      </c>
      <c r="D322" s="140" t="s">
        <v>58</v>
      </c>
      <c r="E322" s="132" t="s">
        <v>135</v>
      </c>
      <c r="F322" s="140" t="s">
        <v>59</v>
      </c>
      <c r="G322" s="134" t="s">
        <v>277</v>
      </c>
      <c r="H322" s="20" t="s">
        <v>21</v>
      </c>
      <c r="I322" s="146">
        <v>46325</v>
      </c>
      <c r="J322" s="28">
        <f>=SUM(K322:Q322)</f>
        <v>0</v>
      </c>
      <c r="K322" s="123">
        <v>0</v>
      </c>
      <c r="L322" s="142">
        <v>0</v>
      </c>
      <c r="M322" s="142">
        <v>0</v>
      </c>
      <c r="N322" s="83">
        <v>0</v>
      </c>
      <c r="O322" s="83">
        <v>0</v>
      </c>
      <c r="P322" s="142">
        <v>0</v>
      </c>
      <c r="Q322" s="83">
        <v>0</v>
      </c>
      <c r="R322" s="136" t="s"/>
      <c r="S322" s="147" t="s"/>
      <c r="T322" s="147" t="s"/>
      <c r="U322" s="147" t="s"/>
      <c r="V322" s="147" t="s"/>
      <c r="W322" s="147" t="s"/>
      <c r="X322" s="147" t="s"/>
      <c r="Y322" s="147" t="s"/>
      <c r="Z322" s="147" t="s"/>
      <c r="AA322" s="147" t="s"/>
      <c r="AB322" s="147" t="s"/>
      <c r="AC322" s="138" t="s"/>
      <c r="AD322" s="147" t="s"/>
      <c r="AE322" s="147" t="s"/>
      <c r="AF322" s="147" t="s"/>
      <c r="AG322" s="147" t="s"/>
      <c r="AH322" s="147" t="s"/>
      <c r="AI322" s="147" t="s"/>
      <c r="AJ322" s="147" t="s"/>
      <c r="AK322" s="147" t="s"/>
      <c r="AL322" s="147" t="s"/>
      <c r="AM322" s="147" t="s"/>
    </row>
    <row r="323" spans="1:39" s="155" customFormat="1">
      <c r="A323" s="124">
        <v>999910000239</v>
      </c>
      <c r="B323" s="139" t="s">
        <v>700</v>
      </c>
      <c r="C323" s="130" t="s">
        <v>193</v>
      </c>
      <c r="D323" s="148" t="s">
        <v>208</v>
      </c>
      <c r="E323" s="130" t="s">
        <v>126</v>
      </c>
      <c r="F323" s="148" t="s">
        <v>15</v>
      </c>
      <c r="G323" s="130" t="s">
        <v>277</v>
      </c>
      <c r="H323" s="149" t="s">
        <v>115</v>
      </c>
      <c r="I323" s="150">
        <v>46387</v>
      </c>
      <c r="J323" s="34">
        <f>=SUM(K323:Q323)</f>
        <v>0</v>
      </c>
      <c r="K323" s="142">
        <v>0</v>
      </c>
      <c r="L323" s="142">
        <v>0</v>
      </c>
      <c r="M323" s="142">
        <v>0</v>
      </c>
      <c r="N323" s="83">
        <v>0</v>
      </c>
      <c r="O323" s="83">
        <v>0</v>
      </c>
      <c r="P323" s="142">
        <v>0</v>
      </c>
      <c r="Q323" s="83">
        <v>0</v>
      </c>
      <c r="R323" s="151" t="s"/>
      <c r="S323" s="152" t="s"/>
      <c r="T323" s="152" t="s"/>
      <c r="U323" s="152" t="s"/>
      <c r="V323" s="152" t="s"/>
      <c r="W323" s="152" t="s"/>
      <c r="X323" s="152" t="s"/>
      <c r="Y323" s="152" t="s"/>
      <c r="Z323" s="152" t="s"/>
      <c r="AA323" s="152" t="s"/>
      <c r="AB323" s="152" t="s"/>
      <c r="AC323" s="153" t="s"/>
      <c r="AD323" s="152" t="s"/>
      <c r="AE323" s="152" t="s"/>
      <c r="AF323" s="152" t="s"/>
      <c r="AG323" s="152" t="s"/>
      <c r="AH323" s="152" t="s"/>
      <c r="AI323" s="152" t="s"/>
      <c r="AJ323" s="152" t="s"/>
      <c r="AK323" s="152" t="s"/>
      <c r="AL323" s="152" t="s"/>
      <c r="AM323" s="152" t="s"/>
    </row>
    <row r="324" spans="1:39" s="155" customFormat="1">
      <c r="A324" s="124">
        <v>999910000240</v>
      </c>
      <c r="B324" s="125" t="s">
        <v>701</v>
      </c>
      <c r="C324" s="130" t="s">
        <v>37</v>
      </c>
      <c r="D324" s="140" t="s">
        <v>702</v>
      </c>
      <c r="E324" s="132" t="s">
        <v>126</v>
      </c>
      <c r="F324" s="140" t="s">
        <v>114</v>
      </c>
      <c r="G324" s="134" t="s">
        <v>277</v>
      </c>
      <c r="H324" s="154" t="s">
        <v>115</v>
      </c>
      <c r="I324" s="135">
        <v>46386</v>
      </c>
      <c r="J324" s="28">
        <f>=SUM(K324:Q324)</f>
        <v>0</v>
      </c>
      <c r="K324" s="123">
        <v>0</v>
      </c>
      <c r="L324" s="142">
        <v>0</v>
      </c>
      <c r="M324" s="142">
        <v>0</v>
      </c>
      <c r="N324" s="83">
        <v>0</v>
      </c>
      <c r="O324" s="83">
        <v>0</v>
      </c>
      <c r="P324" s="142">
        <v>0</v>
      </c>
      <c r="Q324" s="83">
        <v>0</v>
      </c>
      <c r="R324" s="136" t="s"/>
      <c r="S324" s="137" t="s"/>
      <c r="T324" s="137" t="s"/>
      <c r="U324" s="137" t="s"/>
      <c r="V324" s="137" t="s"/>
      <c r="W324" s="137" t="s"/>
      <c r="X324" s="137" t="s"/>
      <c r="Y324" s="137" t="s"/>
      <c r="Z324" s="137" t="s"/>
      <c r="AA324" s="137" t="s"/>
      <c r="AB324" s="137" t="s"/>
      <c r="AC324" s="138" t="s"/>
      <c r="AD324" s="137" t="s"/>
      <c r="AE324" s="137" t="s"/>
      <c r="AF324" s="137" t="s"/>
      <c r="AG324" s="137" t="s"/>
      <c r="AH324" s="137" t="s"/>
      <c r="AI324" s="137" t="s"/>
      <c r="AJ324" s="137" t="s"/>
      <c r="AK324" s="137" t="s"/>
      <c r="AL324" s="137" t="s"/>
      <c r="AM324" s="137" t="s"/>
    </row>
    <row r="325" spans="1:39" s="155" customFormat="1">
      <c r="A325" s="124">
        <v>999910000241</v>
      </c>
      <c r="B325" s="125" t="s">
        <v>703</v>
      </c>
      <c r="C325" s="130" t="s">
        <v>37</v>
      </c>
      <c r="D325" s="140" t="s">
        <v>704</v>
      </c>
      <c r="E325" s="132" t="s">
        <v>126</v>
      </c>
      <c r="F325" s="140" t="s">
        <v>114</v>
      </c>
      <c r="G325" s="134" t="s">
        <v>277</v>
      </c>
      <c r="H325" s="154" t="s">
        <v>115</v>
      </c>
      <c r="I325" s="135">
        <v>46386</v>
      </c>
      <c r="J325" s="28">
        <f>=SUM(K325:Q325)</f>
        <v>0</v>
      </c>
      <c r="K325" s="123">
        <v>0</v>
      </c>
      <c r="L325" s="142">
        <v>0</v>
      </c>
      <c r="M325" s="142">
        <v>0</v>
      </c>
      <c r="N325" s="83">
        <v>0</v>
      </c>
      <c r="O325" s="83">
        <v>0</v>
      </c>
      <c r="P325" s="142">
        <v>0</v>
      </c>
      <c r="Q325" s="83">
        <v>0</v>
      </c>
      <c r="R325" s="136" t="s"/>
      <c r="S325" s="137" t="s"/>
      <c r="T325" s="137" t="s"/>
      <c r="U325" s="137" t="s"/>
      <c r="V325" s="137" t="s"/>
      <c r="W325" s="137" t="s"/>
      <c r="X325" s="137" t="s"/>
      <c r="Y325" s="137" t="s"/>
      <c r="Z325" s="137" t="s"/>
      <c r="AA325" s="137" t="s"/>
      <c r="AB325" s="137" t="s"/>
      <c r="AC325" s="138" t="s"/>
      <c r="AD325" s="137" t="s"/>
      <c r="AE325" s="137" t="s"/>
      <c r="AF325" s="137" t="s"/>
      <c r="AG325" s="137" t="s"/>
      <c r="AH325" s="137" t="s"/>
      <c r="AI325" s="137" t="s"/>
      <c r="AJ325" s="137" t="s"/>
      <c r="AK325" s="137" t="s"/>
      <c r="AL325" s="137" t="s"/>
      <c r="AM325" s="137" t="s"/>
    </row>
    <row r="326" spans="1:39" s="155" customFormat="1">
      <c r="A326" s="124">
        <v>999910000242</v>
      </c>
      <c r="B326" s="125" t="s">
        <v>705</v>
      </c>
      <c r="C326" s="130" t="s">
        <v>168</v>
      </c>
      <c r="D326" s="131" t="s">
        <v>706</v>
      </c>
      <c r="E326" s="132" t="s">
        <v>74</v>
      </c>
      <c r="F326" s="140" t="s">
        <v>191</v>
      </c>
      <c r="G326" s="134" t="s">
        <v>290</v>
      </c>
      <c r="H326" s="81" t="s">
        <v>4</v>
      </c>
      <c r="I326" s="135">
        <v>46505</v>
      </c>
      <c r="J326" s="28">
        <f>=SUM(K326:Q326)</f>
        <v>1423500</v>
      </c>
      <c r="K326" s="128">
        <v>0</v>
      </c>
      <c r="L326" s="128">
        <v>0</v>
      </c>
      <c r="M326" s="128">
        <v>0</v>
      </c>
      <c r="N326" s="27">
        <v>38500</v>
      </c>
      <c r="O326" s="128">
        <v>0</v>
      </c>
      <c r="P326" s="129">
        <v>1385000</v>
      </c>
      <c r="Q326" s="128">
        <v>0</v>
      </c>
      <c r="R326" s="136" t="s"/>
      <c r="S326" s="137" t="s"/>
      <c r="T326" s="137" t="s"/>
      <c r="U326" s="137" t="s"/>
      <c r="V326" s="137" t="s"/>
      <c r="W326" s="137" t="s"/>
      <c r="X326" s="137" t="s"/>
      <c r="Y326" s="137" t="s"/>
      <c r="Z326" s="137" t="s"/>
      <c r="AA326" s="137" t="s"/>
      <c r="AB326" s="137" t="s"/>
      <c r="AC326" s="138" t="s"/>
      <c r="AD326" s="137" t="s"/>
      <c r="AE326" s="137" t="s"/>
      <c r="AF326" s="137" t="s"/>
      <c r="AG326" s="137" t="s"/>
      <c r="AH326" s="137" t="s"/>
      <c r="AI326" s="137" t="s"/>
      <c r="AJ326" s="137" t="s"/>
      <c r="AK326" s="137" t="s"/>
      <c r="AL326" s="137" t="s"/>
      <c r="AM326" s="137" t="s"/>
    </row>
    <row r="327" spans="1:39" s="155" customFormat="1">
      <c r="A327" s="124">
        <v>999910000243</v>
      </c>
      <c r="B327" s="125" t="s">
        <v>707</v>
      </c>
      <c r="C327" s="130" t="s">
        <v>168</v>
      </c>
      <c r="D327" s="131" t="s">
        <v>524</v>
      </c>
      <c r="E327" s="132" t="s">
        <v>74</v>
      </c>
      <c r="F327" s="131" t="s">
        <v>26</v>
      </c>
      <c r="G327" s="143" t="s">
        <v>7</v>
      </c>
      <c r="H327" s="20" t="s">
        <v>27</v>
      </c>
      <c r="I327" s="135">
        <v>46568</v>
      </c>
      <c r="J327" s="28">
        <f>=SUM(K327:Q327)</f>
        <v>703600</v>
      </c>
      <c r="K327" s="128">
        <v>0</v>
      </c>
      <c r="L327" s="128">
        <v>0</v>
      </c>
      <c r="M327" s="128">
        <v>0</v>
      </c>
      <c r="N327" s="128">
        <v>0</v>
      </c>
      <c r="O327" s="128">
        <v>0</v>
      </c>
      <c r="P327" s="129">
        <v>703600</v>
      </c>
      <c r="Q327" s="128">
        <v>0</v>
      </c>
      <c r="R327" s="136" t="s"/>
      <c r="S327" s="137" t="s"/>
      <c r="T327" s="137" t="s"/>
      <c r="U327" s="137" t="s"/>
      <c r="V327" s="137" t="s"/>
      <c r="W327" s="137" t="s"/>
      <c r="X327" s="137" t="s"/>
      <c r="Y327" s="137" t="s"/>
      <c r="Z327" s="137" t="s"/>
      <c r="AA327" s="137" t="s"/>
      <c r="AB327" s="137" t="s"/>
      <c r="AC327" s="138" t="s"/>
      <c r="AD327" s="137" t="s"/>
      <c r="AE327" s="137" t="s"/>
      <c r="AF327" s="137" t="s"/>
      <c r="AG327" s="137" t="s"/>
      <c r="AH327" s="137" t="s"/>
      <c r="AI327" s="137" t="s"/>
      <c r="AJ327" s="137" t="s"/>
      <c r="AK327" s="137" t="s"/>
      <c r="AL327" s="137" t="s"/>
      <c r="AM327" s="137" t="s"/>
    </row>
    <row r="328" spans="1:39" s="155" customFormat="1">
      <c r="A328" s="124">
        <v>999910000244</v>
      </c>
      <c r="B328" s="125" t="s">
        <v>708</v>
      </c>
      <c r="C328" s="130" t="s">
        <v>709</v>
      </c>
      <c r="D328" s="140" t="s">
        <v>710</v>
      </c>
      <c r="E328" s="132" t="s">
        <v>711</v>
      </c>
      <c r="F328" s="140" t="s">
        <v>59</v>
      </c>
      <c r="G328" s="134" t="s">
        <v>290</v>
      </c>
      <c r="H328" s="81" t="s">
        <v>4</v>
      </c>
      <c r="I328" s="135">
        <v>46265</v>
      </c>
      <c r="J328" s="28">
        <f>=SUM(K328:Q328)</f>
        <v>164600</v>
      </c>
      <c r="K328" s="128">
        <v>0</v>
      </c>
      <c r="L328" s="128">
        <v>0</v>
      </c>
      <c r="M328" s="128">
        <v>0</v>
      </c>
      <c r="N328" s="128">
        <v>0</v>
      </c>
      <c r="O328" s="128">
        <v>0</v>
      </c>
      <c r="P328" s="129">
        <v>164600</v>
      </c>
      <c r="Q328" s="128">
        <v>0</v>
      </c>
      <c r="R328" s="136" t="s"/>
      <c r="S328" s="137" t="s"/>
      <c r="T328" s="137" t="s"/>
      <c r="U328" s="137" t="s"/>
      <c r="V328" s="137" t="s"/>
      <c r="W328" s="137" t="s"/>
      <c r="X328" s="137" t="s"/>
      <c r="Y328" s="137" t="s"/>
      <c r="Z328" s="137" t="s"/>
      <c r="AA328" s="137" t="s"/>
      <c r="AB328" s="137" t="s"/>
      <c r="AC328" s="138" t="s"/>
      <c r="AD328" s="137" t="s"/>
      <c r="AE328" s="137" t="s"/>
      <c r="AF328" s="137" t="s"/>
      <c r="AG328" s="137" t="s"/>
      <c r="AH328" s="137" t="s"/>
      <c r="AI328" s="137" t="s"/>
      <c r="AJ328" s="137" t="s"/>
      <c r="AK328" s="137" t="s"/>
      <c r="AL328" s="137" t="s"/>
      <c r="AM328" s="137" t="s"/>
    </row>
    <row r="329" spans="1:39" s="155" customFormat="1">
      <c r="A329" s="124">
        <v>999910000245</v>
      </c>
      <c r="B329" s="125" t="s">
        <v>712</v>
      </c>
      <c r="C329" s="130" t="s">
        <v>164</v>
      </c>
      <c r="D329" s="140" t="s">
        <v>165</v>
      </c>
      <c r="E329" s="132" t="s">
        <v>74</v>
      </c>
      <c r="F329" s="140" t="s">
        <v>26</v>
      </c>
      <c r="G329" s="134" t="s">
        <v>277</v>
      </c>
      <c r="H329" s="20" t="s">
        <v>27</v>
      </c>
      <c r="I329" s="135">
        <v>46387</v>
      </c>
      <c r="J329" s="28">
        <f>=SUM(K329:Q329)</f>
        <v>0</v>
      </c>
      <c r="K329" s="123">
        <v>0</v>
      </c>
      <c r="L329" s="142">
        <v>0</v>
      </c>
      <c r="M329" s="142">
        <v>0</v>
      </c>
      <c r="N329" s="83">
        <v>0</v>
      </c>
      <c r="O329" s="83">
        <v>0</v>
      </c>
      <c r="P329" s="142">
        <v>0</v>
      </c>
      <c r="Q329" s="83">
        <v>0</v>
      </c>
      <c r="R329" s="136" t="s"/>
      <c r="S329" s="137" t="s"/>
      <c r="T329" s="137" t="s"/>
      <c r="U329" s="137" t="s"/>
      <c r="V329" s="137" t="s"/>
      <c r="W329" s="137" t="s"/>
      <c r="X329" s="137" t="s"/>
      <c r="Y329" s="137" t="s"/>
      <c r="Z329" s="137" t="s"/>
      <c r="AA329" s="137" t="s"/>
      <c r="AB329" s="137" t="s"/>
      <c r="AC329" s="138" t="s"/>
      <c r="AD329" s="137" t="s"/>
      <c r="AE329" s="137" t="s"/>
      <c r="AF329" s="137" t="s"/>
      <c r="AG329" s="137" t="s"/>
      <c r="AH329" s="137" t="s"/>
      <c r="AI329" s="137" t="s"/>
      <c r="AJ329" s="137" t="s"/>
      <c r="AK329" s="137" t="s"/>
      <c r="AL329" s="137" t="s"/>
      <c r="AM329" s="137" t="s"/>
    </row>
  </sheetData>
  <conditionalFormatting sqref="B1:B298">
    <cfRule type="duplicateValues" dxfId="0" priority="1"/>
  </conditionalFormatting>
  <conditionalFormatting sqref="AD1:AJ1">
    <cfRule type="expression" dxfId="1" priority="2" stopIfTrue="1">
      <formula>$K1="StartUp :"</formula>
    </cfRule>
  </conditionalFormatting>
  <conditionalFormatting sqref="AD1:AJ1">
    <cfRule type="expression" dxfId="2" priority="3" stopIfTrue="1">
      <formula>OR($K1="人员人工",$K1="差旅费",$K1="设计费")</formula>
    </cfRule>
  </conditionalFormatting>
  <conditionalFormatting sqref="AD1:AJ1">
    <cfRule type="expression" dxfId="3" priority="4" stopIfTrue="1">
      <formula>$K1="其他"</formula>
    </cfRule>
  </conditionalFormatting>
  <conditionalFormatting sqref="K1:Y1">
    <cfRule type="expression" dxfId="1" priority="5" stopIfTrue="1">
      <formula>$K1="StartUp :"</formula>
    </cfRule>
  </conditionalFormatting>
  <conditionalFormatting sqref="K1:Y1">
    <cfRule type="expression" dxfId="2" priority="6" stopIfTrue="1">
      <formula>OR($K1="人员人工",$K1="差旅费",$K1="设计费")</formula>
    </cfRule>
  </conditionalFormatting>
  <conditionalFormatting sqref="K1:Y1">
    <cfRule type="expression" dxfId="3" priority="7" stopIfTrue="1">
      <formula>$K1="其他"</formula>
    </cfRule>
  </conditionalFormatting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2026-09-14T13:16:09Z</dcterms:created>
  <dcterms:modified xsi:type="dcterms:W3CDTF">2026-09-14T13:16:09Z</dcterms:modified>
</cp:coreProperties>
</file>