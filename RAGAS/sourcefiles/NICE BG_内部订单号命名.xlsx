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x15ac="http://schemas.microsoft.com/office/spreadsheetml/2010/11/ac" xmlns="http://schemas.openxmlformats.org/spreadsheetml/2006/main" xmlns:r="http://schemas.openxmlformats.org/officeDocument/2006/relationships" xmlns:mc="http://schemas.openxmlformats.org/markup-compatibility/2006" mc:Ignorable="x15ac">
  <workbookPr/>
  <x15ac:absPath url="D:\Desktop\"/>
  <bookViews>
    <workbookView activeTab="0"/>
  </bookViews>
  <sheets>
    <sheet name="项目名称list" sheetId="1" r:id="rId3"/>
    <sheet name="命名规则" sheetId="2" r:id="rId4"/>
    <sheet name="基础表" sheetId="3" r:id="rId5"/>
    <sheet name="工作表1" sheetId="4" state="hidden" r:id="rId6"/>
    <sheet name="其他项目名称" sheetId="5" state="hidden" r:id="rId7"/>
    <sheet name="startup匹配（停））" sheetId="6" state="hidden" r:id="rId8"/>
  </sheets>
  <definedNames>
    <definedName name="_xlnm._FilterDatabase" localSheetId="2" hidden="1">基础表!$A$1:$C$1</definedName>
  </definedNames>
  <calcPr calcId="191029"/>
</workbook>
</file>

<file path=xl/sharedStrings.xml><?xml version="1.0" encoding="utf-8"?>
<sst xmlns="http://schemas.openxmlformats.org/spreadsheetml/2006/main" count="1304" uniqueCount="1304">
  <si>
    <t/>
  </si>
  <si>
    <t>OEM</t>
  </si>
  <si>
    <t>车型代号</t>
  </si>
  <si>
    <t>产品类型</t>
  </si>
  <si>
    <t>主生产地</t>
  </si>
  <si>
    <t>项目类型</t>
  </si>
  <si>
    <t>项目名称</t>
  </si>
  <si>
    <t>2611内部订单号</t>
  </si>
  <si>
    <t>上汽集团</t>
  </si>
  <si>
    <t>BS4EM</t>
  </si>
  <si>
    <t>仪表板</t>
  </si>
  <si>
    <t>常熟</t>
  </si>
  <si>
    <t>共创</t>
  </si>
  <si>
    <t>上汽集团-BS4EM-仪表板-常熟-共创</t>
  </si>
  <si>
    <t>华人运通-HVC1-仪表板-常熟</t>
  </si>
  <si>
    <t>奥迪新能源</t>
  </si>
  <si>
    <t>AU416/2</t>
  </si>
  <si>
    <t>顶棚</t>
  </si>
  <si>
    <t>长春</t>
  </si>
  <si>
    <t>奥迪新能源-AU416/2-顶棚-长春</t>
  </si>
  <si>
    <t>AU416/3</t>
  </si>
  <si>
    <t>奥迪新能源-AU416/3-顶棚-长春</t>
  </si>
  <si>
    <t>AU513/4</t>
  </si>
  <si>
    <t>奥迪新能源-AU513/4-顶棚-长春</t>
  </si>
  <si>
    <t>一汽丰田</t>
  </si>
  <si>
    <t>312D</t>
  </si>
  <si>
    <t>一汽丰田-312D-顶棚-长春</t>
  </si>
  <si>
    <t>一汽红旗</t>
  </si>
  <si>
    <t>E009</t>
  </si>
  <si>
    <t>一汽红旗-E009-顶棚-长春</t>
  </si>
  <si>
    <t>P301</t>
  </si>
  <si>
    <t>一汽红旗-P301-顶棚-长春</t>
  </si>
  <si>
    <t>长安深蓝汽车</t>
  </si>
  <si>
    <t>D587</t>
  </si>
  <si>
    <t>天津</t>
  </si>
  <si>
    <t>长安深蓝汽车-D587-顶棚-天津</t>
  </si>
  <si>
    <t>一汽大众</t>
  </si>
  <si>
    <t>AU426/1</t>
  </si>
  <si>
    <t>一汽大众-AU426/1-顶棚-长春</t>
  </si>
  <si>
    <t>AU591</t>
  </si>
  <si>
    <t>一汽大众-AU591-顶棚-长春</t>
  </si>
  <si>
    <t>C100</t>
  </si>
  <si>
    <t>一汽红旗-C100-顶棚-长春</t>
  </si>
  <si>
    <t>比亚迪</t>
  </si>
  <si>
    <t>ST2H</t>
  </si>
  <si>
    <t>佛山</t>
  </si>
  <si>
    <t>比亚迪-ST2H-顶棚-佛山</t>
  </si>
  <si>
    <t>斯堪尼亚</t>
  </si>
  <si>
    <t>Hero</t>
  </si>
  <si>
    <t>芜湖</t>
  </si>
  <si>
    <t>斯堪尼亚-Hero-顶棚-芜湖</t>
  </si>
  <si>
    <t>E111/2</t>
  </si>
  <si>
    <t>一汽红旗-E111/2-顶棚-长春</t>
  </si>
  <si>
    <t>大众安徽</t>
  </si>
  <si>
    <t>VW416/9</t>
  </si>
  <si>
    <t>合肥</t>
  </si>
  <si>
    <t>大众安徽-VW416/9-顶棚-合肥</t>
  </si>
  <si>
    <t>一汽奔腾</t>
  </si>
  <si>
    <t>E541</t>
  </si>
  <si>
    <t>一汽奔腾-E541-顶棚-芜湖</t>
  </si>
  <si>
    <t>斯特兰蒂斯</t>
  </si>
  <si>
    <t>J4U</t>
  </si>
  <si>
    <t>斯特兰蒂斯-J4U-顶棚-长春</t>
  </si>
  <si>
    <t>零跑汽车</t>
  </si>
  <si>
    <t>D13</t>
  </si>
  <si>
    <t>金华</t>
  </si>
  <si>
    <t>零跑汽车-D13-顶棚-金华</t>
  </si>
  <si>
    <t>奇瑞新能源</t>
  </si>
  <si>
    <t>V23</t>
  </si>
  <si>
    <t>奇瑞新能源-V23-顶棚-芜湖</t>
  </si>
  <si>
    <t>E702</t>
  </si>
  <si>
    <t>一汽红旗-E702-顶棚-长春</t>
  </si>
  <si>
    <t>北京现代</t>
  </si>
  <si>
    <t>EA1C</t>
  </si>
  <si>
    <t>北京现代-EA1C-顶棚-天津</t>
  </si>
  <si>
    <t>D21</t>
  </si>
  <si>
    <t>零跑汽车-D21-顶棚-金华</t>
  </si>
  <si>
    <t>C095/10</t>
  </si>
  <si>
    <t>一汽红旗-C095/10-顶棚-长春</t>
  </si>
  <si>
    <t>V25</t>
  </si>
  <si>
    <t>奇瑞新能源-V25-顶棚-芜湖</t>
  </si>
  <si>
    <t>J01</t>
  </si>
  <si>
    <t>成都</t>
  </si>
  <si>
    <t>一汽大众-J01-顶棚-成都</t>
  </si>
  <si>
    <t>零跑-西班牙</t>
  </si>
  <si>
    <t>A12</t>
  </si>
  <si>
    <t>零跑-西班牙-A12-顶棚-佛山</t>
  </si>
  <si>
    <t>北汽新能源</t>
  </si>
  <si>
    <t>X90KS</t>
  </si>
  <si>
    <t>地毯</t>
  </si>
  <si>
    <t>北汽新能源-X90KS-地毯-天津</t>
  </si>
  <si>
    <t>X81KS</t>
  </si>
  <si>
    <t>声学包</t>
  </si>
  <si>
    <t>北汽新能源-X81KS-声学包-天津</t>
  </si>
  <si>
    <t>X91KS</t>
  </si>
  <si>
    <t>北汽新能源-X91KS-顶棚-天津</t>
  </si>
  <si>
    <t>挡泥板&amp;底护板</t>
  </si>
  <si>
    <t>北汽新能源-X91KS-挡泥板&amp;底护板-天津</t>
  </si>
  <si>
    <t>行李箱系统</t>
  </si>
  <si>
    <t>北汽新能源-X91KS-行李箱系统-天津</t>
  </si>
  <si>
    <t>北汽新能源-X91KS-声学包-天津</t>
  </si>
  <si>
    <t>C206-10</t>
  </si>
  <si>
    <t>一汽红旗-C206-10-顶棚-长春</t>
  </si>
  <si>
    <t>工厂</t>
  </si>
  <si>
    <t>NICE内部订单号</t>
  </si>
  <si>
    <t>Ariba同步</t>
  </si>
  <si>
    <t>OA同步</t>
  </si>
  <si>
    <t>SAP状态</t>
  </si>
  <si>
    <t>MES状态</t>
  </si>
  <si>
    <t>ECN截止/SOP</t>
  </si>
  <si>
    <t>初始ECN</t>
  </si>
  <si>
    <t>C车型</t>
  </si>
  <si>
    <t>设计费</t>
  </si>
  <si>
    <t>Y号</t>
  </si>
  <si>
    <t>是否需要Y</t>
  </si>
  <si>
    <t>备注</t>
  </si>
  <si>
    <t>奇瑞汽车-E03FL-仪表板-常熟</t>
  </si>
  <si>
    <t>OK</t>
  </si>
  <si>
    <t>open</t>
  </si>
  <si>
    <t>Y301</t>
  </si>
  <si>
    <t>YES</t>
  </si>
  <si>
    <t>宝马-G67-注塑件-沈阳</t>
  </si>
  <si>
    <t>Y348</t>
  </si>
  <si>
    <t>大众安徽-VW313-HUD盖板总成-合肥</t>
  </si>
  <si>
    <t>Y349</t>
  </si>
  <si>
    <t>一汽丰田-960D-顶棚-长春</t>
  </si>
  <si>
    <t>Y350</t>
  </si>
  <si>
    <t>北汽新能源-N82KS-顶棚-天津</t>
  </si>
  <si>
    <t>Y305</t>
  </si>
  <si>
    <t>Y351</t>
  </si>
  <si>
    <t>Y352</t>
  </si>
  <si>
    <t>现代-EA1C-顶棚-天津</t>
  </si>
  <si>
    <t>Y353</t>
  </si>
  <si>
    <t>Y354</t>
  </si>
  <si>
    <t>Y309</t>
  </si>
  <si>
    <t>C4101</t>
  </si>
  <si>
    <t>Y340</t>
  </si>
  <si>
    <t>Y330</t>
  </si>
  <si>
    <t>Y329</t>
  </si>
  <si>
    <t>Y355</t>
  </si>
  <si>
    <t>剔除无预算影响</t>
  </si>
  <si>
    <t>赛力斯-E68-立柱-重庆</t>
  </si>
  <si>
    <t>Y304</t>
  </si>
  <si>
    <t>北汽新能源-X81KS-挡泥板-天津</t>
  </si>
  <si>
    <t>Y308</t>
  </si>
  <si>
    <t>北汽新能源-X90KS-挡泥板-天津</t>
  </si>
  <si>
    <t>Y307</t>
  </si>
  <si>
    <t>禁用</t>
  </si>
  <si>
    <t>closed</t>
  </si>
  <si>
    <t>Y306</t>
  </si>
  <si>
    <t>上汽通用-GL8-世纪框/尾门/侧围-上海-ECN</t>
  </si>
  <si>
    <t>NO</t>
  </si>
  <si>
    <t>走客户变更</t>
  </si>
  <si>
    <t>奇瑞汽车-T22-顶棚-青岛-ECN</t>
  </si>
  <si>
    <t>EC_T22 HL_001-F03-A</t>
  </si>
  <si>
    <t>奇瑞汽车-T28-顶棚-青岛-ECN</t>
  </si>
  <si>
    <t>EC_T28 HL_001-F03-A</t>
  </si>
  <si>
    <t>大众安徽-MY4225-门板-合肥</t>
  </si>
  <si>
    <t>closed（已结案）</t>
  </si>
  <si>
    <t>Y142</t>
  </si>
  <si>
    <t>Closed</t>
  </si>
  <si>
    <t>一汽红旗-V506-小门-西周</t>
  </si>
  <si>
    <t>Y356</t>
  </si>
  <si>
    <t>一汽红旗-P301-小门-西周</t>
  </si>
  <si>
    <t>Y357</t>
  </si>
  <si>
    <t>上汽集团-BS5PR-仪表板-常熟-共创</t>
  </si>
  <si>
    <t>Y338</t>
  </si>
  <si>
    <t>一汽大众-劳伦斯-VW416-2 PA-油漆饰条-西周</t>
  </si>
  <si>
    <t>Y358</t>
  </si>
  <si>
    <t>大众安徽-MM1-小门-西周</t>
  </si>
  <si>
    <t>Y359</t>
  </si>
  <si>
    <t>上汽智己-S12L T1-小门-西周</t>
  </si>
  <si>
    <t>Y360</t>
  </si>
  <si>
    <t>比亚迪-HKHA-小门-西周</t>
  </si>
  <si>
    <t>Y361</t>
  </si>
  <si>
    <t>一汽大众-劳伦斯-AU591-油漆饰条-西周</t>
  </si>
  <si>
    <t>Y362</t>
  </si>
  <si>
    <t>上汽智己-S12L M2-小门-西周</t>
  </si>
  <si>
    <t>Y363</t>
  </si>
  <si>
    <t>一汽红旗-P201离线-小门-西周</t>
  </si>
  <si>
    <t>Y364</t>
  </si>
  <si>
    <t>比亚迪-劳伦斯-HTEBE-油漆饰条-西周</t>
  </si>
  <si>
    <t>Y365</t>
  </si>
  <si>
    <t>比亚迪-EKEA-小门-西周</t>
  </si>
  <si>
    <t>Y366</t>
  </si>
  <si>
    <t>大众安徽-VW316墨西哥-小门-西周</t>
  </si>
  <si>
    <t>Y367</t>
  </si>
  <si>
    <t>大众安徽-MM2-小门-西周</t>
  </si>
  <si>
    <t>Y368</t>
  </si>
  <si>
    <t>比亚迪-SGHAZ-轮眉-西周</t>
  </si>
  <si>
    <t>Y369</t>
  </si>
  <si>
    <t>长安-B216-小门-西周</t>
  </si>
  <si>
    <t>Y370</t>
  </si>
  <si>
    <t>一汽红旗-P567-小门-西周</t>
  </si>
  <si>
    <t>Y371</t>
  </si>
  <si>
    <t>一汽红旗-E702-小门-西周</t>
  </si>
  <si>
    <t>Y372</t>
  </si>
  <si>
    <t>上汽大众-B SUV EREV 6S-小门-西周</t>
  </si>
  <si>
    <t>Y373</t>
  </si>
  <si>
    <t>一汽红旗-E111-03-小门-西周</t>
  </si>
  <si>
    <t>Closed（为解决老项目暂放）</t>
  </si>
  <si>
    <t>Y374</t>
  </si>
  <si>
    <t>阿维塔-Avatr E16-小门-西周</t>
  </si>
  <si>
    <t>Y375</t>
  </si>
  <si>
    <t>一汽捷达-J01-小门-西周</t>
  </si>
  <si>
    <t>Y376</t>
  </si>
  <si>
    <t>一汽大众-CN0-小门-西周</t>
  </si>
  <si>
    <t>Y377</t>
  </si>
  <si>
    <t>广汽华望-F03-小门-西周</t>
  </si>
  <si>
    <t>Y378</t>
  </si>
  <si>
    <t>长安福特-CX810-小门-西周</t>
  </si>
  <si>
    <t>Y379</t>
  </si>
  <si>
    <t>阿维塔-Avatr E15-小门-西周</t>
  </si>
  <si>
    <t>Y380</t>
  </si>
  <si>
    <t>一汽大众-劳伦斯-VW336 PHEV-油漆饰条-西周</t>
  </si>
  <si>
    <t>Y381</t>
  </si>
  <si>
    <t>上汽大众-B SUV EREV 5S-小门-西周</t>
  </si>
  <si>
    <t>Y382</t>
  </si>
  <si>
    <t>北汽新能源-X90KS-小门-西周</t>
  </si>
  <si>
    <t>Y383</t>
  </si>
  <si>
    <t>一汽大众-劳伦斯-VW380 PA-油漆饰条-西周</t>
  </si>
  <si>
    <t>Y384</t>
  </si>
  <si>
    <t>东风岚图-H56E-小门-西周</t>
  </si>
  <si>
    <t>Y385</t>
  </si>
  <si>
    <t>东风岚图-H47A-小门-西周</t>
  </si>
  <si>
    <t>Y386</t>
  </si>
  <si>
    <t>东风岚图-H66A-小门-西周</t>
  </si>
  <si>
    <t>Y387</t>
  </si>
  <si>
    <t>北汽新能源-N65QB-小门-西周</t>
  </si>
  <si>
    <t>Y388</t>
  </si>
  <si>
    <t>江铃-JP360 PHEV-小门-西周</t>
  </si>
  <si>
    <t>Y389</t>
  </si>
  <si>
    <t>江铃-V362-小门-西周</t>
  </si>
  <si>
    <t>Y390</t>
  </si>
  <si>
    <t>江铃-JCE3-BUS-小门-西周</t>
  </si>
  <si>
    <t>Y391</t>
  </si>
  <si>
    <t>上汽集团-IS4GR-小门-西周</t>
  </si>
  <si>
    <t>Y392</t>
  </si>
  <si>
    <t>创新-X项目&amp;VS20项目-其他-宁波-创新</t>
  </si>
  <si>
    <t>Y393</t>
  </si>
  <si>
    <t>上汽大众-A7L SB-门板-常熟</t>
  </si>
  <si>
    <t>Y166</t>
  </si>
  <si>
    <t>上汽大众-A7L Premium-门板-常熟</t>
  </si>
  <si>
    <t>Y167</t>
  </si>
  <si>
    <t>零跑-D21-门板-金华</t>
  </si>
  <si>
    <t>Y168</t>
  </si>
  <si>
    <t>上汽大众-CMP21D-门板-常熟</t>
  </si>
  <si>
    <t>Y171</t>
  </si>
  <si>
    <t>福建奔驰-VAN.EA-前门尾门-宁波</t>
  </si>
  <si>
    <t>Y172</t>
  </si>
  <si>
    <t>福建奔驰-VAN.EA-中门后侧围-宁波</t>
  </si>
  <si>
    <t>Y455</t>
  </si>
  <si>
    <t>创新-VS20门板材料国产化项目-其他-宁波-创新</t>
  </si>
  <si>
    <t>Y394</t>
  </si>
  <si>
    <t>上汽大众-Tiguan MP26-门板-宁波</t>
  </si>
  <si>
    <t>Y121</t>
  </si>
  <si>
    <t>一汽大众-CN0-门板-宁波</t>
  </si>
  <si>
    <t>Y232</t>
  </si>
  <si>
    <t>奇瑞-EHX/EHU-宁波-共创</t>
  </si>
  <si>
    <t>Y395</t>
  </si>
  <si>
    <t>零跑-C18-门板-金华</t>
  </si>
  <si>
    <t>Y240</t>
  </si>
  <si>
    <t>创新-AIGC-创新-宁波-创新</t>
  </si>
  <si>
    <t>Y396</t>
  </si>
  <si>
    <t>上汽大众-427 CNB-中央通道-常熟</t>
  </si>
  <si>
    <t>Y238</t>
  </si>
  <si>
    <t>福建奔驰-VAN.EA 1.5A-门板-宁波</t>
  </si>
  <si>
    <t>Y397</t>
  </si>
  <si>
    <t>长安福特-U625-门板-宁波</t>
  </si>
  <si>
    <t>Y261</t>
  </si>
  <si>
    <t>上汽智己-P12L-门板-宁波-ECN</t>
  </si>
  <si>
    <t>比亚迪-URE-门板-宁波-ECN</t>
  </si>
  <si>
    <t>比亚迪-EHEA-门板-宁波-ECN</t>
  </si>
  <si>
    <t>极氪-CX1E-门板-宁波-ECN</t>
  </si>
  <si>
    <t>Y398</t>
  </si>
  <si>
    <t>Y399</t>
  </si>
  <si>
    <t>一汽红旗-V506-顶棚-长春</t>
  </si>
  <si>
    <t>Y400</t>
  </si>
  <si>
    <t>2026/8/7关闭</t>
  </si>
  <si>
    <t>奇瑞-V25-顶棚-芜湖</t>
  </si>
  <si>
    <t>Y401</t>
  </si>
  <si>
    <t>零跑-B10-顶棚-佛山</t>
  </si>
  <si>
    <t>Y402</t>
  </si>
  <si>
    <t>一汽红旗-C206/10-顶棚-长春</t>
  </si>
  <si>
    <t>Y403</t>
  </si>
  <si>
    <t>东风岚图-H56E-仪表板-武汉</t>
  </si>
  <si>
    <t>Y259</t>
  </si>
  <si>
    <t>路特斯-T132A-中央通道-武汉</t>
  </si>
  <si>
    <t>Closed(武汉计提)</t>
  </si>
  <si>
    <t>Y236</t>
  </si>
  <si>
    <t>东风岚图-H67A-仪表板-武汉</t>
  </si>
  <si>
    <t>Y237</t>
  </si>
  <si>
    <t>东风岚图-H66A-仪表板-武汉</t>
  </si>
  <si>
    <t>Y253</t>
  </si>
  <si>
    <t>零跑-D19-顶棚-金华</t>
  </si>
  <si>
    <t>Y404</t>
  </si>
  <si>
    <t>零跑-D21-顶棚-金华</t>
  </si>
  <si>
    <t>Y405</t>
  </si>
  <si>
    <t>宝马-NA6-中央通道-沈阳</t>
  </si>
  <si>
    <t>Y406</t>
  </si>
  <si>
    <t>北京奔驰-C174-中央通道/门板-沈阳</t>
  </si>
  <si>
    <t>Y407</t>
  </si>
  <si>
    <t>北京奔驰-V254/V540-仪表板-沈阳</t>
  </si>
  <si>
    <t>Y408</t>
  </si>
  <si>
    <t>宝马-G45-立柱/密封条/行李箱/其他内饰-沈阳</t>
  </si>
  <si>
    <t>Y409</t>
  </si>
  <si>
    <t>宝马-G78-立柱/密封条/行李箱/其他内饰-沈阳</t>
  </si>
  <si>
    <t>Y410</t>
  </si>
  <si>
    <t>北京奔驰-X248-中央通道/门板-沈阳</t>
  </si>
  <si>
    <t>Y411</t>
  </si>
  <si>
    <t>北京奔驰-W206-行李箱/其他内饰-沈阳</t>
  </si>
  <si>
    <t>Y412</t>
  </si>
  <si>
    <t>北京安道拓-北京奔驰-V540-其他内饰-沈阳</t>
  </si>
  <si>
    <t>Y413</t>
  </si>
  <si>
    <t>北京奔驰-V214/W214（长/短）/V520-其他内饰-沈阳</t>
  </si>
  <si>
    <t>Y414</t>
  </si>
  <si>
    <t>劳伦斯-一汽大众-AU591-仪表板-沈阳</t>
  </si>
  <si>
    <t>Y415</t>
  </si>
  <si>
    <t>劳伦斯-一汽大众-AU336-仪表板-沈阳</t>
  </si>
  <si>
    <t>Y416</t>
  </si>
  <si>
    <t>宝马-G68(CN) | G60(DE)-立柱/其他内饰-沈阳</t>
  </si>
  <si>
    <t>Y417</t>
  </si>
  <si>
    <t>宝马-G68(CN) | G60(DE)-其他内饰-沈阳</t>
  </si>
  <si>
    <t>Y418</t>
  </si>
  <si>
    <t>宝马-U12-仪表板-沈阳</t>
  </si>
  <si>
    <t>Y419</t>
  </si>
  <si>
    <t>罗马尼亚-VW492-其他内饰-沈阳</t>
  </si>
  <si>
    <t>Y420</t>
  </si>
  <si>
    <t>Y421</t>
  </si>
  <si>
    <t>墨西哥-VW426-其他内饰-沈阳</t>
  </si>
  <si>
    <t>Y422</t>
  </si>
  <si>
    <t>劳伦斯-德国奥迪-A3PA-仪表板-沈阳</t>
  </si>
  <si>
    <t>Y423</t>
  </si>
  <si>
    <t>宝马南非-G45-立柱-沈阳</t>
  </si>
  <si>
    <t>Y424</t>
  </si>
  <si>
    <t>北京延锋-北京奔驰-V530-格栅/其他内饰-沈阳</t>
  </si>
  <si>
    <t>Y425</t>
  </si>
  <si>
    <t>北京安道拓-北京奔驰-T167-其他内饰-沈阳</t>
  </si>
  <si>
    <t>Y426</t>
  </si>
  <si>
    <t>上汽大众-427C-SUV-中央通道-常熟</t>
  </si>
  <si>
    <t>Y234</t>
  </si>
  <si>
    <t>奇瑞-E0V-中央通道-常熟</t>
  </si>
  <si>
    <t>Y456</t>
  </si>
  <si>
    <t>奇瑞-E0V-仪表板-常熟</t>
  </si>
  <si>
    <t>Y427</t>
  </si>
  <si>
    <t>北京汽车-N40QB-中央通道-天津</t>
  </si>
  <si>
    <t>Y428</t>
  </si>
  <si>
    <t>北京汽车-N40QB-仪表板-天津</t>
  </si>
  <si>
    <t>Y429</t>
  </si>
  <si>
    <t>北京奔驰-V530-轮毂-天津</t>
  </si>
  <si>
    <t>Y430</t>
  </si>
  <si>
    <t>大众安徽-VW313/2-顶棚-合肥-ECN</t>
  </si>
  <si>
    <t>EC_VW313 HL_001-F03-A</t>
  </si>
  <si>
    <t>NBHX智能表面项目-创新</t>
  </si>
  <si>
    <t>Y431</t>
  </si>
  <si>
    <t>赛力斯-F1L-座舱-重庆</t>
  </si>
  <si>
    <t>Y233</t>
  </si>
  <si>
    <t>福建奔驰-VAN.EA-仪表板-常熟</t>
  </si>
  <si>
    <t>Y432</t>
  </si>
  <si>
    <t>北汽新能源-X91KS-门板-天津</t>
  </si>
  <si>
    <t>Y433</t>
  </si>
  <si>
    <t>北汽新能源-X91KS-中央通道-天津</t>
  </si>
  <si>
    <t>Y434</t>
  </si>
  <si>
    <t>北汽新能源-X91KS-仪表板-天津</t>
  </si>
  <si>
    <t>Y435</t>
  </si>
  <si>
    <t>北汽新能源-X91KS-立柱侧围-天津</t>
  </si>
  <si>
    <t>Y274</t>
  </si>
  <si>
    <t>北京奔驰-X244 248-门板-天津</t>
  </si>
  <si>
    <t>open（杨贵宁：合并未超）</t>
  </si>
  <si>
    <t>Y436</t>
  </si>
  <si>
    <t>赛力斯-G19-仪表板-重庆</t>
  </si>
  <si>
    <t>Y292</t>
  </si>
  <si>
    <t>小米-MS12 C下柱-立柱-天津</t>
  </si>
  <si>
    <t>Closed(临时开：工时系统问题)</t>
  </si>
  <si>
    <t>Y437</t>
  </si>
  <si>
    <t>2026/08/07关闭</t>
  </si>
  <si>
    <t>东风岚图-H77-仪表板-武汉</t>
  </si>
  <si>
    <t>Y235</t>
  </si>
  <si>
    <t>2026/8/14100工资做错冲回重新open</t>
  </si>
  <si>
    <t>新项目支持</t>
  </si>
  <si>
    <t>Y438</t>
  </si>
  <si>
    <t>一汽奔腾-E541-顶棚-芜湖-ECN</t>
  </si>
  <si>
    <t>EC_E541 HL_002-F03-A</t>
  </si>
  <si>
    <t>NICE BG LPP执行器-宁波-创新</t>
  </si>
  <si>
    <t>Y293</t>
  </si>
  <si>
    <t>赛力斯-G19-门板-重庆</t>
  </si>
  <si>
    <t>Y289</t>
  </si>
  <si>
    <t>赛力斯-G19-立柱-重庆</t>
  </si>
  <si>
    <t>Y288</t>
  </si>
  <si>
    <t>赛力斯-G19-侧围-重庆</t>
  </si>
  <si>
    <t>Y290</t>
  </si>
  <si>
    <t>赛力斯-G19-中央通道-重庆</t>
  </si>
  <si>
    <t>Y291</t>
  </si>
  <si>
    <t>T客户-TOD-门板-上海-ECN</t>
  </si>
  <si>
    <t>长安深蓝-D587-顶棚-天津-ECN</t>
  </si>
  <si>
    <t>EC_D587 HL_002-F03-A</t>
  </si>
  <si>
    <t>蔚来-Sirius&amp;Libra-立柱-合肥-ECN</t>
  </si>
  <si>
    <t>宝马-G48LCI-立柱-沈阳-ECN</t>
  </si>
  <si>
    <t>EC G48 PL 002-F03-A</t>
  </si>
  <si>
    <t>北京奔驰-V540 MOPF-注塑件-沈阳-ECN</t>
  </si>
  <si>
    <t>一汽大众-VW311-小门-西周</t>
  </si>
  <si>
    <t>C3997</t>
  </si>
  <si>
    <t>Y337</t>
  </si>
  <si>
    <t>奇瑞-E0DA-立柱-常熟-共创</t>
  </si>
  <si>
    <t>C4181</t>
  </si>
  <si>
    <t>Y331</t>
  </si>
  <si>
    <t>奇瑞-E0DA-副仪表板-常熟-共创</t>
  </si>
  <si>
    <t>Y332</t>
  </si>
  <si>
    <t>奇瑞-E0DA-门板-常熟-共创</t>
  </si>
  <si>
    <t>Y333</t>
  </si>
  <si>
    <t>奇瑞-E0DA-仪表板-常熟-共创</t>
  </si>
  <si>
    <t>Y334</t>
  </si>
  <si>
    <t>奇瑞-E0AA-副仪表板-常熟-共创</t>
  </si>
  <si>
    <t>C4180</t>
  </si>
  <si>
    <t>Y335</t>
  </si>
  <si>
    <t>奇瑞-E0AA-仪表板-常熟-共创</t>
  </si>
  <si>
    <t>Y336</t>
  </si>
  <si>
    <t>北京奔驰-V520-门板-天津</t>
  </si>
  <si>
    <t>Y439</t>
  </si>
  <si>
    <t>剔除人工影响</t>
  </si>
  <si>
    <t>长安马自达-J90K右舵-中央通道-ECN</t>
  </si>
  <si>
    <t>ECN30</t>
  </si>
  <si>
    <t>比亚迪-SRE-小门-西周-ECN</t>
  </si>
  <si>
    <t>ECN2</t>
  </si>
  <si>
    <t>奇瑞-E07A-仪表板-常熟-共创</t>
  </si>
  <si>
    <t>C4182</t>
  </si>
  <si>
    <t>Y339</t>
  </si>
  <si>
    <t>峰梅-LG JF2 CCS-注塑支架-宁波</t>
  </si>
  <si>
    <t>Y341</t>
  </si>
  <si>
    <t>东风岚图-DH97-立柱-武汉-ECN</t>
  </si>
  <si>
    <t>EC_H97 PL_008</t>
  </si>
  <si>
    <t>上汽通用-C1UL-2 PHEV&amp;ICE-门板-上海-ECN</t>
  </si>
  <si>
    <t>C_C1UL-2 DP_080</t>
  </si>
  <si>
    <t>东风乘用车-C65-仪表板-武汉-ECN</t>
  </si>
  <si>
    <t>北京奔驰-V214-立柱-ECN</t>
  </si>
  <si>
    <t>Closed(股份过账临时解锁)</t>
  </si>
  <si>
    <t>宝马-NB6-立柱-沈阳</t>
  </si>
  <si>
    <t>Y440</t>
  </si>
  <si>
    <t>上汽乘用车-BS4EM-仪表板-常熟</t>
  </si>
  <si>
    <t>C4188</t>
  </si>
  <si>
    <t>Y342</t>
  </si>
  <si>
    <t>上汽大众-A+SUV BEV -门板-常熟</t>
  </si>
  <si>
    <t>Y441</t>
  </si>
  <si>
    <t>上汽大众-A SUV PHEV-门板-扬州</t>
  </si>
  <si>
    <t>Y287</t>
  </si>
  <si>
    <t>现代XDA0超薄前格栅灯开发-共创</t>
  </si>
  <si>
    <t>Y442</t>
  </si>
  <si>
    <t>一汽红旗-C100-10-小门-西周</t>
  </si>
  <si>
    <t>C3960</t>
  </si>
  <si>
    <t>Y343</t>
  </si>
  <si>
    <t>一汽红旗-C001-06在线-小门-西周</t>
  </si>
  <si>
    <t>C3514</t>
  </si>
  <si>
    <t>Y344</t>
  </si>
  <si>
    <t>一汽红旗-E111-04在线-小门-西周</t>
  </si>
  <si>
    <t>C4001</t>
  </si>
  <si>
    <t>Y345</t>
  </si>
  <si>
    <t>一汽红旗-C101-01-小门-西周</t>
  </si>
  <si>
    <t>C3457</t>
  </si>
  <si>
    <t>Y346</t>
  </si>
  <si>
    <t>一汽红旗-P201在线-小门-西周</t>
  </si>
  <si>
    <t>Y347</t>
  </si>
  <si>
    <t>东风岚图-DH56-仪表板&amp;立柱-武汉-ECN</t>
  </si>
  <si>
    <t>东风岚图-DH37B-仪表板-武汉-ECN</t>
  </si>
  <si>
    <t>一汽红旗-C101-01-顶棚-长春-ECN</t>
  </si>
  <si>
    <t>EC_C101-01 HL_001-F03-A</t>
  </si>
  <si>
    <t>台湾鸿华-D21F-门外把手-西周-ECN</t>
  </si>
  <si>
    <t>EC_D21F_001</t>
  </si>
  <si>
    <t>一汽红旗-C001-06离线-小门-西周-ECN</t>
  </si>
  <si>
    <t>一汽红旗-E111-04离线-小门-西周-ECN</t>
  </si>
  <si>
    <t>东风岚图-H56E右舵-仪表板-武汉</t>
  </si>
  <si>
    <t>Y263</t>
  </si>
  <si>
    <t>小鹏-F11-仪表板-武汉-共创</t>
  </si>
  <si>
    <t>C9999暂定</t>
  </si>
  <si>
    <t>Y443</t>
  </si>
  <si>
    <t>小鹏-F11-中央通道-武汉-共创</t>
  </si>
  <si>
    <t>Y444</t>
  </si>
  <si>
    <t>一汽红旗-C100/10-顶棚-长春-ECN</t>
  </si>
  <si>
    <t>北汽新能源-N82KS-仪表板-天津</t>
  </si>
  <si>
    <t>C4145</t>
  </si>
  <si>
    <t>Y294</t>
  </si>
  <si>
    <t>北汽新能源-N82KS-门板-天津</t>
  </si>
  <si>
    <t>Y296</t>
  </si>
  <si>
    <t>北汽新能源-N66QB-门板-天津</t>
  </si>
  <si>
    <t>C4168</t>
  </si>
  <si>
    <t>Y295</t>
  </si>
  <si>
    <t>小鹏-D04-门板-佛山</t>
  </si>
  <si>
    <t>C4191</t>
  </si>
  <si>
    <t>Y445</t>
  </si>
  <si>
    <t>一汽丰田-835D-顶棚-成都-ECN</t>
  </si>
  <si>
    <t>NICE 1.0智能座舱-创新</t>
  </si>
  <si>
    <t>Y449</t>
  </si>
  <si>
    <t>小米-曼岛Manne-仪表板-上海-共创</t>
  </si>
  <si>
    <t>Y450</t>
  </si>
  <si>
    <t>奇瑞-E03-仪表板&amp;中央通道-宁波-共创</t>
  </si>
  <si>
    <t>Y451</t>
  </si>
  <si>
    <t>奇瑞-E0Z-仪表板/中央通道/门板-宁波-共创</t>
  </si>
  <si>
    <t>Y452</t>
  </si>
  <si>
    <t>奇瑞-E01MY-顶棚-芜湖-ECN</t>
  </si>
  <si>
    <t>北汽新能源-N82KS-中央通道-天津</t>
  </si>
  <si>
    <t>Y453</t>
  </si>
  <si>
    <t>奇瑞-EHV右舵-仪表板-芜湖</t>
  </si>
  <si>
    <t>C4065</t>
  </si>
  <si>
    <t>Y446</t>
  </si>
  <si>
    <t>吉利-376-发光车标-上海-共创</t>
  </si>
  <si>
    <t>Y447</t>
  </si>
  <si>
    <t>长安福特-CD542-仪表板-重庆-ECN</t>
  </si>
  <si>
    <t>北京奔驰-VV214-立柱-天津</t>
  </si>
  <si>
    <t>C1213</t>
  </si>
  <si>
    <t>Y448</t>
  </si>
  <si>
    <t>上汽大众-VW423 BNB-门板-宁波</t>
  </si>
  <si>
    <t>C4097</t>
  </si>
  <si>
    <t>Y254</t>
  </si>
  <si>
    <t>奇瑞-E0V右舵-中央通道-常熟</t>
  </si>
  <si>
    <t>C4053</t>
  </si>
  <si>
    <t>Y454</t>
  </si>
  <si>
    <t>吉利-P135-门板/主副仪表板-宁波-共创</t>
  </si>
  <si>
    <t>Y457</t>
  </si>
  <si>
    <t>奇瑞-E0GA右舵-仪表板-芜湖-共创</t>
  </si>
  <si>
    <t>C4193</t>
  </si>
  <si>
    <t>Y458</t>
  </si>
  <si>
    <t>奇瑞-E03FL1-中央通道-常熟</t>
  </si>
  <si>
    <t>C3822</t>
  </si>
  <si>
    <t>Y459</t>
  </si>
  <si>
    <t>T客户-E10P-门板-上海</t>
  </si>
  <si>
    <t>C3747</t>
  </si>
  <si>
    <t>Y460</t>
  </si>
  <si>
    <t>奇瑞-E0GA-门板-芜湖-共创</t>
  </si>
  <si>
    <t>Y461</t>
  </si>
  <si>
    <t>上汽乘用车-AS5PM-小门-西周</t>
  </si>
  <si>
    <t>C4159</t>
  </si>
  <si>
    <t>Y462</t>
  </si>
  <si>
    <t>奇瑞-T1FT-门板-合肥-共创</t>
  </si>
  <si>
    <t>C9999</t>
  </si>
  <si>
    <t>Y464</t>
  </si>
  <si>
    <t>奇瑞-E0GA-立柱-芜湖-共创</t>
  </si>
  <si>
    <t>Y463</t>
  </si>
  <si>
    <t>一汽丰田-312D-顶棚-长春-ECN</t>
  </si>
  <si>
    <t>华晨宝马-F78-立柱-沈阳-ECN</t>
  </si>
  <si>
    <t>奇瑞-EHL-仪表板&amp;中央通道-芜湖-共创</t>
  </si>
  <si>
    <t>C4196</t>
  </si>
  <si>
    <t>Y465</t>
  </si>
  <si>
    <t>奇瑞-E0GA-顶棚-芜湖-共创</t>
  </si>
  <si>
    <t>Y466</t>
  </si>
  <si>
    <t>奇瑞-E03FL1-门板-常熟</t>
  </si>
  <si>
    <t>Y467</t>
  </si>
  <si>
    <t>近期修改7/15</t>
  </si>
  <si>
    <t>奇瑞-E03FL1-立柱-常熟</t>
  </si>
  <si>
    <t>Y468</t>
  </si>
  <si>
    <t>上汽大众- PASSAT B9-门板-扬州-ECN</t>
  </si>
  <si>
    <t>北汽新能源-B70KS-顶棚-天津</t>
  </si>
  <si>
    <t>C4127</t>
  </si>
  <si>
    <t>Y470</t>
  </si>
  <si>
    <t>奇瑞-T2DA-立柱-常熟-共创</t>
  </si>
  <si>
    <t>Y471</t>
  </si>
  <si>
    <t>T客户-E10L-门板-上海</t>
  </si>
  <si>
    <t>Y472</t>
  </si>
  <si>
    <t>吉利极星-P61A-仪表板-重庆-ECN</t>
  </si>
  <si>
    <t>一汽大众-Q5 NF-顶棚-长春-ECN</t>
  </si>
  <si>
    <t>奇瑞新能源-V23-顶棚-芜湖-ECN</t>
  </si>
  <si>
    <t>北京奔驰-V254 MOPF-门板-天津-ECN</t>
  </si>
  <si>
    <t>奇瑞-T2GT-仪表板-芜湖-共创</t>
  </si>
  <si>
    <t>C4211</t>
  </si>
  <si>
    <t>Y473</t>
  </si>
  <si>
    <t>丰田-983D-车标-上海</t>
  </si>
  <si>
    <t>C3588</t>
  </si>
  <si>
    <t>Y474</t>
  </si>
  <si>
    <t>大众安徽-VW316-小门-西周-ECN</t>
  </si>
  <si>
    <t>长安福特-CD391-仪表板-重庆-ECN</t>
  </si>
  <si>
    <t>奇瑞-E0GA-门板-芜湖</t>
  </si>
  <si>
    <t>Y475</t>
  </si>
  <si>
    <t>奇瑞-E0GA-立柱-芜湖</t>
  </si>
  <si>
    <t>Y476</t>
  </si>
  <si>
    <t>上汽大众-AU413 MP27-门板-常熟-ECN</t>
  </si>
  <si>
    <t>一汽大众-C9-顶棚-长春-ECN</t>
  </si>
  <si>
    <t>上汽大众-Tiguan L Pro PA-中央通道-常熟</t>
  </si>
  <si>
    <t>C1176</t>
  </si>
  <si>
    <t>Y484</t>
  </si>
  <si>
    <t>小米-MS12 C下柱-立柱-天津-ECN</t>
  </si>
  <si>
    <t>奇瑞-EHU-门板&amp;立柱-宁波-共创</t>
  </si>
  <si>
    <t>Y485</t>
  </si>
  <si>
    <t>奇瑞-E02FL-仪表板-芜湖-共创</t>
  </si>
  <si>
    <t>Y486</t>
  </si>
  <si>
    <t>奇瑞-T1TP-JEACOO-立柱-芜湖-共创</t>
  </si>
  <si>
    <t>Y487</t>
  </si>
  <si>
    <t>赛力斯-G19海外-中央通道-重庆-共创</t>
  </si>
  <si>
    <t>C3539</t>
  </si>
  <si>
    <t>Y488</t>
  </si>
  <si>
    <t>赛豆-G39-仪表板&amp;中央通道&amp;门板-重庆-共创</t>
  </si>
  <si>
    <t>Y489</t>
  </si>
  <si>
    <t>零跑-BU21-门板-宁波</t>
  </si>
  <si>
    <t>C4222</t>
  </si>
  <si>
    <t>Y490</t>
  </si>
  <si>
    <t>比亚迪-ENEA-顶棚-合肥-ECN</t>
  </si>
  <si>
    <t>上汽乘用车-BS5PR-仪表板-常熟</t>
  </si>
  <si>
    <t>C4223</t>
  </si>
  <si>
    <t>Y491</t>
  </si>
  <si>
    <t>长安福特-CDX707-中央通道-宁波-ECN</t>
  </si>
  <si>
    <t>一汽奔腾-D511-顶棚-长春-ECN</t>
  </si>
  <si>
    <t>一汽大众-A SUV-顶棚-天津-ECN</t>
  </si>
  <si>
    <t>一汽大众-A SUV NF-顶棚-天津-ECN</t>
  </si>
  <si>
    <t>奇瑞-EHV左舵-仪表板-芜湖-共创</t>
  </si>
  <si>
    <t>Y492</t>
  </si>
  <si>
    <t>奇瑞-E0DA右舵-仪表板-常熟</t>
  </si>
  <si>
    <t>Y493</t>
  </si>
  <si>
    <t>上纬启元-启元T1-包覆件-宁波-共创</t>
  </si>
  <si>
    <t>Y494</t>
  </si>
  <si>
    <t>长安马自达-J90K-仪表板-常熟-ECN</t>
  </si>
  <si>
    <t>历史未处理完-小门-西周</t>
  </si>
  <si>
    <t>北美新业务拓展-海外</t>
  </si>
  <si>
    <t>奇瑞-T29BEV-仪表板-芜湖-共创</t>
  </si>
  <si>
    <t>Y495</t>
  </si>
  <si>
    <t>奇瑞-T29BEV-中央通道-芜湖-共创</t>
  </si>
  <si>
    <t>Y496</t>
  </si>
  <si>
    <t>T客户-D90-小门-西周-共创</t>
  </si>
  <si>
    <t>Y497</t>
  </si>
  <si>
    <t>上汽大众-AU427 EREV-中央通道-常熟-ECN</t>
  </si>
  <si>
    <t>奇瑞-E0DA左舵-仪表板-常熟-ECN</t>
  </si>
  <si>
    <t>ECN截止</t>
  </si>
  <si>
    <t>2616内部订单号</t>
  </si>
  <si>
    <t>3000内部订单号</t>
  </si>
  <si>
    <t>1800内部订单号</t>
  </si>
  <si>
    <t>2601内部订单号</t>
  </si>
  <si>
    <t>2606内部订单号</t>
  </si>
  <si>
    <t>2602内部订单号</t>
  </si>
  <si>
    <t>奇瑞汽车-E03F-门板-常熟</t>
  </si>
  <si>
    <t>奇瑞汽车-E0V-中央通道-常熟</t>
  </si>
  <si>
    <t>北京奔驰-V254 MOPF-注塑件-沈阳-ECN</t>
  </si>
  <si>
    <t>一汽大众-VW336/3 顶棚（批量爆破）-天津</t>
  </si>
  <si>
    <t>一汽丰田-260B 顶棚（批量爆破）-天津</t>
  </si>
  <si>
    <t>一汽大众-AU326 顶棚（批量爆破）-天津</t>
  </si>
  <si>
    <t>一汽大众-AU326/1 顶棚（批量爆破）-天津</t>
  </si>
  <si>
    <t>一汽丰田-875B  顶棚（批量爆破）-天津</t>
  </si>
  <si>
    <t>一汽大众-VW326/3 顶棚（批量爆破）-天津</t>
  </si>
  <si>
    <t>一汽大众-VW326/4 顶棚（批量爆破）-天津</t>
  </si>
  <si>
    <t>一汽丰田-018D/493D 顶棚（批量爆破）-天津</t>
  </si>
  <si>
    <t>一汽丰田-290D/526 顶棚（批量爆破）-天津</t>
  </si>
  <si>
    <t>长安-D587 顶棚（批量爆破）-天津</t>
  </si>
  <si>
    <t>一汽大众-VW371 顶棚（批量爆破）-成都</t>
  </si>
  <si>
    <t>一汽大众-BC316/0 顶棚（批量爆破）-成都</t>
  </si>
  <si>
    <t>一汽大众-VW381 顶棚（批量爆破）-成都</t>
  </si>
  <si>
    <t>一汽大众-BC311/0(BC315) 顶棚（批量爆破）-成都</t>
  </si>
  <si>
    <t>项目号</t>
  </si>
  <si>
    <t>行标签</t>
  </si>
  <si>
    <t>变更新内部订单</t>
  </si>
  <si>
    <t>工厂代码</t>
  </si>
  <si>
    <t>新内部订单号</t>
  </si>
  <si>
    <t>Passat B9门板项目</t>
  </si>
  <si>
    <t>上汽大众</t>
  </si>
  <si>
    <t>Passat B9</t>
  </si>
  <si>
    <t>门板</t>
  </si>
  <si>
    <t>扬州</t>
  </si>
  <si>
    <t>上汽大众-Passat B9-门板-扬州</t>
  </si>
  <si>
    <t>BYD EHEA门板项目</t>
  </si>
  <si>
    <t>EHEA</t>
  </si>
  <si>
    <t>比亚迪-EHEA-门板-合肥</t>
  </si>
  <si>
    <t>A SUVe_MY4225门板项目</t>
  </si>
  <si>
    <t>MY4225</t>
  </si>
  <si>
    <t>上汽大众-MY4225-门板-合肥</t>
  </si>
  <si>
    <t>999910000022</t>
  </si>
  <si>
    <t>S12L充电口盖</t>
  </si>
  <si>
    <t>上汽智己</t>
  </si>
  <si>
    <t>S12L</t>
  </si>
  <si>
    <t>小门</t>
  </si>
  <si>
    <t>西周</t>
  </si>
  <si>
    <t>上汽智己-S12L-小门-西周</t>
  </si>
  <si>
    <t>AERO  B充电口盖</t>
  </si>
  <si>
    <t>AERO B</t>
  </si>
  <si>
    <t>上汽大众-AERO B-小门-西周</t>
  </si>
  <si>
    <t>鸿华D21隐藏式外门把手</t>
  </si>
  <si>
    <t>台湾鸿华</t>
  </si>
  <si>
    <t>其他外饰</t>
  </si>
  <si>
    <t>台湾鸿华-D21-其他外饰-西周</t>
  </si>
  <si>
    <t>C5充电小门</t>
  </si>
  <si>
    <t>吉祥</t>
  </si>
  <si>
    <t>C5</t>
  </si>
  <si>
    <t>吉祥-C5-小门-西周</t>
  </si>
  <si>
    <t>BYD SR加油/充电口盖</t>
  </si>
  <si>
    <t>SR</t>
  </si>
  <si>
    <t>比亚迪-SR-小门-西周</t>
  </si>
  <si>
    <t>比亚迪EUEA小门</t>
  </si>
  <si>
    <t>EUEA</t>
  </si>
  <si>
    <t>比亚迪-EUEA-小门-西周</t>
  </si>
  <si>
    <t>红旗C100PHEV小门</t>
  </si>
  <si>
    <t>C100 PHEV</t>
  </si>
  <si>
    <t>一汽红旗-C100 PHEV-小门-西周</t>
  </si>
  <si>
    <t>比亚迪SK2轮眉</t>
  </si>
  <si>
    <t>SK2</t>
  </si>
  <si>
    <t>轮眉</t>
  </si>
  <si>
    <t>比亚迪-SK2-轮眉-西周</t>
  </si>
  <si>
    <t>江淮华为X6充电口盖</t>
  </si>
  <si>
    <t>江淮</t>
  </si>
  <si>
    <t>X6</t>
  </si>
  <si>
    <t>江淮-X6-小门-西周</t>
  </si>
  <si>
    <t>AUDI401饰条</t>
  </si>
  <si>
    <t>一汽大众-劳伦斯</t>
  </si>
  <si>
    <t>AUDI401</t>
  </si>
  <si>
    <t>油漆饰条</t>
  </si>
  <si>
    <t>一汽大众-劳伦斯-AUDI401-油漆饰条-西周</t>
  </si>
  <si>
    <t>BYD-SGHU轮眉</t>
  </si>
  <si>
    <t>SGHU</t>
  </si>
  <si>
    <t>比亚迪-SGHU-轮眉-西周</t>
  </si>
  <si>
    <t>BC326加油小门（VS8)</t>
  </si>
  <si>
    <t>BC326</t>
  </si>
  <si>
    <t>一汽大众-BC326-小门-西周</t>
  </si>
  <si>
    <t>SRE充电口盖</t>
  </si>
  <si>
    <t>SRE</t>
  </si>
  <si>
    <t>比亚迪-SRE-小门-西周</t>
  </si>
  <si>
    <t>VW336喷漆饰条</t>
  </si>
  <si>
    <t>VW336</t>
  </si>
  <si>
    <t>一汽大众-劳伦斯-VW336-油漆饰条-西周</t>
  </si>
  <si>
    <t>VW380喷漆饰条</t>
  </si>
  <si>
    <t>VW380</t>
  </si>
  <si>
    <t>一汽大众-劳伦斯-VW380-油漆饰条-西周</t>
  </si>
  <si>
    <t>A5L加油小门</t>
  </si>
  <si>
    <t>上汽奥迪</t>
  </si>
  <si>
    <t>A5L</t>
  </si>
  <si>
    <t>上汽奥迪-A5L-小门-西周</t>
  </si>
  <si>
    <t>Lavida加油小门</t>
  </si>
  <si>
    <t>Lavida</t>
  </si>
  <si>
    <t>上汽大众-Lavida-小门-西周</t>
  </si>
  <si>
    <t>SA6充电小门</t>
  </si>
  <si>
    <t>SA6</t>
  </si>
  <si>
    <t>比亚迪-SA6-小门-西周</t>
  </si>
  <si>
    <t>TSWI喷漆支架</t>
  </si>
  <si>
    <t>特斯拉-劳伦斯</t>
  </si>
  <si>
    <t>TSWI</t>
  </si>
  <si>
    <t>特斯拉-劳伦斯-TSWI-油漆饰条-西周</t>
  </si>
  <si>
    <t>CD701充电小门</t>
  </si>
  <si>
    <t>长安</t>
  </si>
  <si>
    <t>CD701</t>
  </si>
  <si>
    <t>长安-CD701-小门-西周</t>
  </si>
  <si>
    <t>C71KS加油小门</t>
  </si>
  <si>
    <t>C71KS</t>
  </si>
  <si>
    <t>北汽新能源-C71KS-小门-西周</t>
  </si>
  <si>
    <t>SL2加油小门</t>
  </si>
  <si>
    <t>SL2</t>
  </si>
  <si>
    <t>比亚迪-SL2-小门-西周</t>
  </si>
  <si>
    <t>V506充电口盖总成</t>
  </si>
  <si>
    <t>V506</t>
  </si>
  <si>
    <t>999910000023</t>
  </si>
  <si>
    <t>P301充电/加油口盖总成</t>
  </si>
  <si>
    <t>999910000024</t>
  </si>
  <si>
    <t>ID系列外饰件</t>
  </si>
  <si>
    <t>ID系列外饰件-小门-西周</t>
  </si>
  <si>
    <t>999910000025</t>
  </si>
  <si>
    <t>工厂SOP项目新增颜色使用</t>
  </si>
  <si>
    <t>VW416-2 PA组合仪表框</t>
  </si>
  <si>
    <t>VW416-2 PA</t>
  </si>
  <si>
    <t>999910000026</t>
  </si>
  <si>
    <t>安徽大众MM1充电口盖</t>
  </si>
  <si>
    <t>MM1</t>
  </si>
  <si>
    <t>999910000027</t>
  </si>
  <si>
    <t>S12L T1加油小门</t>
  </si>
  <si>
    <t>S12L T1</t>
  </si>
  <si>
    <t>999910000028</t>
  </si>
  <si>
    <t>BYD HKHA小门衍生版</t>
  </si>
  <si>
    <t>HKHA</t>
  </si>
  <si>
    <t>999910000029</t>
  </si>
  <si>
    <t>AU591喷漆饰条</t>
  </si>
  <si>
    <t>999910000030</t>
  </si>
  <si>
    <t>S12L M2充电小门</t>
  </si>
  <si>
    <t>S12L M2</t>
  </si>
  <si>
    <t>999910000031</t>
  </si>
  <si>
    <t>红旗P201加油/充电口盖</t>
  </si>
  <si>
    <t>P201</t>
  </si>
  <si>
    <t>一汽红旗-P201-小门-西周</t>
  </si>
  <si>
    <t>999910000032</t>
  </si>
  <si>
    <t>BYD-HTEBE仪表基座</t>
  </si>
  <si>
    <t>比亚迪-劳伦斯</t>
  </si>
  <si>
    <t>HTEBE</t>
  </si>
  <si>
    <t>999910000033</t>
  </si>
  <si>
    <t>EKEA交直流充电口盖总成</t>
  </si>
  <si>
    <t>EKEA</t>
  </si>
  <si>
    <t>999910000034</t>
  </si>
  <si>
    <t>红旗E111-04加油口盖</t>
  </si>
  <si>
    <t>E111-04</t>
  </si>
  <si>
    <t>一汽红旗-E111-04-小门-西周</t>
  </si>
  <si>
    <t>VW316充电口盖项目（墨西哥版）</t>
  </si>
  <si>
    <t>VW316</t>
  </si>
  <si>
    <t>大众安徽-VW316-小门-西周</t>
  </si>
  <si>
    <t>999910000035</t>
  </si>
  <si>
    <t>安徽大众MM2充电口盖</t>
  </si>
  <si>
    <t>MM2</t>
  </si>
  <si>
    <t>999910000036</t>
  </si>
  <si>
    <t>BYD SGHAZ轮眉</t>
  </si>
  <si>
    <t>SGHAZ</t>
  </si>
  <si>
    <t>999910000037</t>
  </si>
  <si>
    <t>长安B216充电口盖</t>
  </si>
  <si>
    <t>B216</t>
  </si>
  <si>
    <t>999910000038</t>
  </si>
  <si>
    <t>红旗P567充电加油口盖</t>
  </si>
  <si>
    <t>P567</t>
  </si>
  <si>
    <t>999910000039</t>
  </si>
  <si>
    <t>红旗P601充电加油口盖</t>
  </si>
  <si>
    <t>P601</t>
  </si>
  <si>
    <t>一汽红旗-P601-小门-西周</t>
  </si>
  <si>
    <t>999910000040</t>
  </si>
  <si>
    <t>B SUV EREV 6S口盖</t>
  </si>
  <si>
    <t>B SUV EREV 6S</t>
  </si>
  <si>
    <t>999910000041</t>
  </si>
  <si>
    <t>E111-03 充电口盖</t>
  </si>
  <si>
    <t>E111-03</t>
  </si>
  <si>
    <t>999910000042</t>
  </si>
  <si>
    <t>长安阿维塔E16充电/加油口盖</t>
  </si>
  <si>
    <t>阿维塔</t>
  </si>
  <si>
    <t>Avatr E16</t>
  </si>
  <si>
    <t>999910000043</t>
  </si>
  <si>
    <t>上汽SHB充电小门</t>
  </si>
  <si>
    <t>SHB</t>
  </si>
  <si>
    <t>上汽集团-SHB-小门-西周</t>
  </si>
  <si>
    <t>一汽捷达J01小门</t>
  </si>
  <si>
    <t>一汽捷达</t>
  </si>
  <si>
    <t>999910000044</t>
  </si>
  <si>
    <t>一汽大众CN0充电口盖</t>
  </si>
  <si>
    <t>CN0</t>
  </si>
  <si>
    <t>999910000045</t>
  </si>
  <si>
    <t>广汽F03加油口盖</t>
  </si>
  <si>
    <t>广汽华望</t>
  </si>
  <si>
    <t>F03</t>
  </si>
  <si>
    <t>999910000046</t>
  </si>
  <si>
    <t>CX810充电加油口盖总成</t>
  </si>
  <si>
    <t>长安福特</t>
  </si>
  <si>
    <t>CX810</t>
  </si>
  <si>
    <t>999910000047</t>
  </si>
  <si>
    <t>阿维塔E15 MCA1充电加油口盖总成</t>
  </si>
  <si>
    <t>Avatr E15</t>
  </si>
  <si>
    <t>999910000048</t>
  </si>
  <si>
    <t>VW336 PHEV 喷漆装饰条</t>
  </si>
  <si>
    <t>VW336 PHEV</t>
  </si>
  <si>
    <t>999910000049</t>
  </si>
  <si>
    <t>B SUV EREV 5S口盖</t>
  </si>
  <si>
    <t>B SUV EREV 5S</t>
  </si>
  <si>
    <t>999910000050</t>
  </si>
  <si>
    <t>X90KS加油/充电口盖</t>
  </si>
  <si>
    <t>999910000051</t>
  </si>
  <si>
    <t>380 PA 饰条年型车</t>
  </si>
  <si>
    <t>VW380 PA</t>
  </si>
  <si>
    <t>999910000052</t>
  </si>
  <si>
    <t>岚图H56E 电动充电口盖</t>
  </si>
  <si>
    <t>东风岚图</t>
  </si>
  <si>
    <t>H56E</t>
  </si>
  <si>
    <t>999910000053</t>
  </si>
  <si>
    <t>岚图H47A电动充电口盖</t>
  </si>
  <si>
    <t>H47A</t>
  </si>
  <si>
    <t>999910000054</t>
  </si>
  <si>
    <t>岚图H66A加油/充电口盖</t>
  </si>
  <si>
    <t>H66A</t>
  </si>
  <si>
    <t>999910000055</t>
  </si>
  <si>
    <t>北汽新能源N65QB充电口盖</t>
  </si>
  <si>
    <t>N65QB</t>
  </si>
  <si>
    <t>999910000056</t>
  </si>
  <si>
    <t>江铃福特JP360PHEV加油口盖</t>
  </si>
  <si>
    <t>江铃</t>
  </si>
  <si>
    <t>JP360 PHEV</t>
  </si>
  <si>
    <t>999910000057</t>
  </si>
  <si>
    <t>江铃V362 充电口盖</t>
  </si>
  <si>
    <t>V362</t>
  </si>
  <si>
    <t>999910000058</t>
  </si>
  <si>
    <t>江铃福特JCE3-BUS充电口盖</t>
  </si>
  <si>
    <t>JCE3-BUS</t>
  </si>
  <si>
    <t>999910000059</t>
  </si>
  <si>
    <t>上汽IS4GR加油小门</t>
  </si>
  <si>
    <t>IS4GR</t>
  </si>
  <si>
    <t>999910000060</t>
  </si>
  <si>
    <t>URE门板项目</t>
  </si>
  <si>
    <t>URE</t>
  </si>
  <si>
    <t>西安</t>
  </si>
  <si>
    <t>比亚迪-URE-门板-西安</t>
  </si>
  <si>
    <t>Audi A5L门板项目</t>
  </si>
  <si>
    <t>上汽奥迪-A5L-门板-常熟</t>
  </si>
  <si>
    <t>Audi A5L饰柱项目</t>
  </si>
  <si>
    <t>立柱</t>
  </si>
  <si>
    <t>上汽奥迪-A5L-立柱-常熟</t>
  </si>
  <si>
    <t>X项目&amp;VS20项目-透光内嵌板预研</t>
  </si>
  <si>
    <t>创新</t>
  </si>
  <si>
    <t>X项目&amp;VS20项目</t>
  </si>
  <si>
    <t>其他</t>
  </si>
  <si>
    <t>宁波</t>
  </si>
  <si>
    <t>999910000061</t>
  </si>
  <si>
    <t>CX1E门板项目</t>
  </si>
  <si>
    <t>极氪</t>
  </si>
  <si>
    <t>CX1E</t>
  </si>
  <si>
    <t>极氪-CX1E-门板-宁波</t>
  </si>
  <si>
    <t>TOD门板项目</t>
  </si>
  <si>
    <t>特斯拉</t>
  </si>
  <si>
    <t>TOD</t>
  </si>
  <si>
    <t>上海</t>
  </si>
  <si>
    <t>特斯拉-TOD-门板-上海</t>
  </si>
  <si>
    <t>B NBe/AU413项目</t>
  </si>
  <si>
    <t>AU413</t>
  </si>
  <si>
    <t>上汽大众-AU413-门板-常熟</t>
  </si>
  <si>
    <t>Audi  A7L SB门板项目</t>
  </si>
  <si>
    <t>A7L SB</t>
  </si>
  <si>
    <t>999910000062</t>
  </si>
  <si>
    <t>Sirius NT2.5项目</t>
  </si>
  <si>
    <t>蔚来</t>
  </si>
  <si>
    <t>Sirius NT2.5</t>
  </si>
  <si>
    <t>蔚来-Sirius NT2.5-立柱-合肥</t>
  </si>
  <si>
    <t>AUDIA7L Premium门板</t>
  </si>
  <si>
    <t>A7L Premium</t>
  </si>
  <si>
    <t>999910000063</t>
  </si>
  <si>
    <t>E80门板项目</t>
  </si>
  <si>
    <t>E80</t>
  </si>
  <si>
    <t>特斯拉-E80-门板-上海</t>
  </si>
  <si>
    <t>D21门板项目</t>
  </si>
  <si>
    <t>零跑</t>
  </si>
  <si>
    <t>999910000064</t>
  </si>
  <si>
    <t>P12L M1门板</t>
  </si>
  <si>
    <t>P12LM1</t>
  </si>
  <si>
    <t>上汽智己-P12LM1-门板-宁波</t>
  </si>
  <si>
    <t>CMP21D门板项目</t>
  </si>
  <si>
    <t>CMP21D</t>
  </si>
  <si>
    <t>999910000065</t>
  </si>
  <si>
    <t>VAN.EA 前门尾门项目</t>
  </si>
  <si>
    <t>福建奔驰</t>
  </si>
  <si>
    <t>VAN.EA</t>
  </si>
  <si>
    <t>前门尾门</t>
  </si>
  <si>
    <t>999910000066</t>
  </si>
  <si>
    <t>VAN.EA 中门后侧围项目</t>
  </si>
  <si>
    <t>中门后侧围</t>
  </si>
  <si>
    <t>999910000067</t>
  </si>
  <si>
    <t>VS20门板材料国产化项目</t>
  </si>
  <si>
    <t>999910000068</t>
  </si>
  <si>
    <t>Tiguan MP26门板项目</t>
  </si>
  <si>
    <t>Tiguan MP26</t>
  </si>
  <si>
    <t>999910000069</t>
  </si>
  <si>
    <t>CN0门板项目</t>
  </si>
  <si>
    <t>999910000070</t>
  </si>
  <si>
    <t>奇瑞智界新能源汽车内饰件的研发</t>
  </si>
  <si>
    <t>奇瑞</t>
  </si>
  <si>
    <t>共创-奇瑞-共创-宁波-共创</t>
  </si>
  <si>
    <t>999910000071</t>
  </si>
  <si>
    <t>C18窗框门板项目</t>
  </si>
  <si>
    <t>C18</t>
  </si>
  <si>
    <t>999910000072</t>
  </si>
  <si>
    <t>AIGC项目</t>
  </si>
  <si>
    <t>AIGC</t>
  </si>
  <si>
    <t>999910000073</t>
  </si>
  <si>
    <t>427CNB 中央通道项目</t>
  </si>
  <si>
    <t>427 CNB</t>
  </si>
  <si>
    <t>中央通道</t>
  </si>
  <si>
    <t>999910000074</t>
  </si>
  <si>
    <t>VAN-EA门板1.5版项目</t>
  </si>
  <si>
    <t>VAN.EA 1.5A</t>
  </si>
  <si>
    <t>999910000075</t>
  </si>
  <si>
    <t>U625 MY26 DP</t>
  </si>
  <si>
    <t>U625</t>
  </si>
  <si>
    <t>999910000076</t>
  </si>
  <si>
    <t>CDX707改款项目</t>
  </si>
  <si>
    <t>其它</t>
  </si>
  <si>
    <t>CDX707</t>
  </si>
  <si>
    <t>其它-CDX707-其它-宁波</t>
  </si>
  <si>
    <t>奇瑞共创设计项目EXU</t>
  </si>
  <si>
    <t>奇瑞EXU</t>
  </si>
  <si>
    <t>共创-奇瑞EXU-共创-宁波-共创</t>
  </si>
  <si>
    <t>奇瑞共创设计项目E0Z</t>
  </si>
  <si>
    <t>奇瑞E0Z</t>
  </si>
  <si>
    <t>共创-奇瑞E0Z-共创-宁波-共创</t>
  </si>
  <si>
    <t>奇瑞共创设计项目E03</t>
  </si>
  <si>
    <t>奇瑞E03</t>
  </si>
  <si>
    <t>共创-奇瑞E03-共创-宁波-共创</t>
  </si>
  <si>
    <t>奇瑞共创设计项目E0AA</t>
  </si>
  <si>
    <t>奇瑞E0AA</t>
  </si>
  <si>
    <t>共创-奇瑞E0AA-共创-宁波-共创</t>
  </si>
  <si>
    <t>P12L DP ECN</t>
  </si>
  <si>
    <t>P12L</t>
  </si>
  <si>
    <t>ECN</t>
  </si>
  <si>
    <t>999910000077</t>
  </si>
  <si>
    <t>BYD URE ECN</t>
  </si>
  <si>
    <t>999910000078</t>
  </si>
  <si>
    <t>BYD EHEA ECN</t>
  </si>
  <si>
    <t>999910000079</t>
  </si>
  <si>
    <t>CX1E ECN项目</t>
  </si>
  <si>
    <t>999910000080</t>
  </si>
  <si>
    <t>长春-PPE-AU416/2-Q6 e-tron</t>
  </si>
  <si>
    <t>长春-PPE-AU416/3-Q6 Sportback e-tron</t>
  </si>
  <si>
    <t>长春-PPE-AU513/4-A6 e-tron（AU511-4）</t>
  </si>
  <si>
    <t>长春-丰田-312D-RAV4</t>
  </si>
  <si>
    <t>长春-红旗-E009-C Sedan EV</t>
  </si>
  <si>
    <t>长春-红旗-P301/D092-HS5(PHEV)</t>
  </si>
  <si>
    <t>天津-长安-D587(7座)-Deepal E-SUV</t>
  </si>
  <si>
    <t>长安深蓝</t>
  </si>
  <si>
    <t>长安深蓝-D587-顶棚-天津</t>
  </si>
  <si>
    <t>长春-大众-AU426/1-Q5 Sportback</t>
  </si>
  <si>
    <t>长春-大众-AU591-A6L（C9）</t>
  </si>
  <si>
    <t>长春-红旗-E001-EH7</t>
  </si>
  <si>
    <t>E001</t>
  </si>
  <si>
    <t>一汽红旗-E001-顶棚-长春</t>
  </si>
  <si>
    <t>青岛-奇瑞-T28-Fulwin T9</t>
  </si>
  <si>
    <t>T28</t>
  </si>
  <si>
    <t>青岛</t>
  </si>
  <si>
    <t>奇瑞-T28-顶棚-青岛</t>
  </si>
  <si>
    <t>长春-红旗-C100-H5</t>
  </si>
  <si>
    <t>天津-BYD-SR/ST2H-Tang</t>
  </si>
  <si>
    <t>佛山-BYD-QZH-Fangchengbao D-SUV</t>
  </si>
  <si>
    <t>QZH</t>
  </si>
  <si>
    <t>比亚迪-QZH-顶棚-佛山</t>
  </si>
  <si>
    <t>项目-其他</t>
  </si>
  <si>
    <t>0</t>
  </si>
  <si>
    <t>长春-红旗-C206（2）-HS7</t>
  </si>
  <si>
    <t>C206(2)</t>
  </si>
  <si>
    <t>一汽红旗-C206(2)-顶棚-长春</t>
  </si>
  <si>
    <t>长春-奔腾-D511-T90</t>
  </si>
  <si>
    <t>D511</t>
  </si>
  <si>
    <t>一汽奔腾-D511-顶棚-长春</t>
  </si>
  <si>
    <t>长春-红旗-E111（2）-E QM5</t>
  </si>
  <si>
    <t>天津-现代-EA1C-C Sedan</t>
  </si>
  <si>
    <t>现代</t>
  </si>
  <si>
    <t>长春-泰佛-J4U-Jeep Compass</t>
  </si>
  <si>
    <t>先期制造部-冻结</t>
  </si>
  <si>
    <t>天津-长安-D587(5座)-Deepal E-SUV</t>
  </si>
  <si>
    <t>长安-D587-顶棚-天津</t>
  </si>
  <si>
    <t>长春-红旗-E702-E Sedan EV</t>
  </si>
  <si>
    <t>999910000081</t>
  </si>
  <si>
    <t>长春-红旗-C095/10-HQ9</t>
  </si>
  <si>
    <t>999910000082</t>
  </si>
  <si>
    <t>长春-红旗-V506/03-QM7</t>
  </si>
  <si>
    <t>999910000083</t>
  </si>
  <si>
    <t>芜湖-奇瑞-V25-S59D</t>
  </si>
  <si>
    <t>999910000084</t>
  </si>
  <si>
    <t>成都-大众-J01-Jetta C-Sedan EV</t>
  </si>
  <si>
    <t>佛山-零跑-B10-Leapmotor B10</t>
  </si>
  <si>
    <t>零跑-A12-顶棚-佛山</t>
  </si>
  <si>
    <t>999910000085</t>
  </si>
  <si>
    <t>天津-享界-X90KS-Stelato E SUV</t>
  </si>
  <si>
    <t>天津-享界-X80KS-Stelato E MPV</t>
  </si>
  <si>
    <t>长春-红旗-C206/10-HS7</t>
  </si>
  <si>
    <t>C206/10</t>
  </si>
  <si>
    <t>999910000086</t>
  </si>
  <si>
    <t>武汉</t>
  </si>
  <si>
    <t>999910000087</t>
  </si>
  <si>
    <t>路特斯</t>
  </si>
  <si>
    <t>T132A</t>
  </si>
  <si>
    <t>999910000088</t>
  </si>
  <si>
    <t>H67A</t>
  </si>
  <si>
    <t>999910000089</t>
  </si>
  <si>
    <t>999910000090</t>
  </si>
  <si>
    <t>合肥-大众-VW311/0-C Hatch EV(NB Entry)</t>
  </si>
  <si>
    <t>VW311/0</t>
  </si>
  <si>
    <t>一汽大众-VW311/0-顶棚-合肥</t>
  </si>
  <si>
    <t>合肥-大众-VW313/2-C Sedan EV COSe</t>
  </si>
  <si>
    <t>VW313/2</t>
  </si>
  <si>
    <t>一汽大众-VW313/2-顶棚-合肥</t>
  </si>
  <si>
    <t>合肥-大众-VW416/9-D CUV EV(MM 01)</t>
  </si>
  <si>
    <t>一汽大众-VW416/9-顶棚-合肥</t>
  </si>
  <si>
    <t>合肥-BYD-ENEA-王朝系列对公轿车</t>
  </si>
  <si>
    <t>ENEA</t>
  </si>
  <si>
    <t>比亚迪-ENEA-顶棚-合肥</t>
  </si>
  <si>
    <t>芜湖-奔腾-E541-D Sedan</t>
  </si>
  <si>
    <t>芜湖-奇瑞-Star/E01-Fulwin A9</t>
  </si>
  <si>
    <t>E01</t>
  </si>
  <si>
    <t>奇瑞-E01-顶棚-芜湖</t>
  </si>
  <si>
    <t>芜湖-SCANIA-HERO-Heavy Truck</t>
  </si>
  <si>
    <t>SCANIA</t>
  </si>
  <si>
    <t>HERO</t>
  </si>
  <si>
    <t>SCANIA-HERO-顶棚-芜湖</t>
  </si>
  <si>
    <t>芜湖-奇瑞-V23-C Hatch EV</t>
  </si>
  <si>
    <t>奇瑞-V23-顶棚-芜湖</t>
  </si>
  <si>
    <t>芜湖-零跑-D16-E SUV</t>
  </si>
  <si>
    <t>D19</t>
  </si>
  <si>
    <t>999910000091</t>
  </si>
  <si>
    <t>芜湖-零跑-D21-E MPV</t>
  </si>
  <si>
    <t>999910000092</t>
  </si>
  <si>
    <t>F1L侧围项目</t>
  </si>
  <si>
    <t>赛力斯</t>
  </si>
  <si>
    <t>F1L</t>
  </si>
  <si>
    <t>侧围</t>
  </si>
  <si>
    <t>重庆</t>
  </si>
  <si>
    <t>赛力斯-F1L-侧围-重庆</t>
  </si>
  <si>
    <t>F1L立柱项目</t>
  </si>
  <si>
    <t>赛力斯-F1L-立柱-重庆</t>
  </si>
  <si>
    <t>F1L 仪表板项目</t>
  </si>
  <si>
    <t>赛力斯-F1L-仪表板-重庆</t>
  </si>
  <si>
    <t>F1L 立柱六座项目</t>
  </si>
  <si>
    <t>F1L六座</t>
  </si>
  <si>
    <t>赛力斯-F1L六座-立柱-重庆</t>
  </si>
  <si>
    <t>F1L 门板项目</t>
  </si>
  <si>
    <t>赛力斯-F1L-门板-重庆</t>
  </si>
  <si>
    <t>F1L座舱系统项目</t>
  </si>
  <si>
    <t>座舱</t>
  </si>
  <si>
    <t>Y</t>
  </si>
  <si>
    <t>BMW NCAR NA6 CC</t>
  </si>
  <si>
    <t>宝马</t>
  </si>
  <si>
    <t>NA6</t>
  </si>
  <si>
    <t>沈阳</t>
  </si>
  <si>
    <t>999910000093</t>
  </si>
  <si>
    <t>奔驰MMA Trim part_V174/V178</t>
  </si>
  <si>
    <t>北京奔驰</t>
  </si>
  <si>
    <t>C174</t>
  </si>
  <si>
    <t>中央通道/门板</t>
  </si>
  <si>
    <t>999910000094</t>
  </si>
  <si>
    <t>奔驰MBEAM CENTER FILL</t>
  </si>
  <si>
    <t>V254/V540</t>
  </si>
  <si>
    <t>999910000095</t>
  </si>
  <si>
    <t>BMW G48项目</t>
  </si>
  <si>
    <t>G45</t>
  </si>
  <si>
    <t>立柱/密封条/行李箱/其他内饰</t>
  </si>
  <si>
    <t>999910000096</t>
  </si>
  <si>
    <t>BMW G78项目</t>
  </si>
  <si>
    <t>G78</t>
  </si>
  <si>
    <t>999910000097</t>
  </si>
  <si>
    <t>奔驰MMA Décor part_HX244/248</t>
  </si>
  <si>
    <t>X248</t>
  </si>
  <si>
    <t>999910000098</t>
  </si>
  <si>
    <t>奔驰V206 MOPF</t>
  </si>
  <si>
    <t>W206</t>
  </si>
  <si>
    <t>行李箱/其他内饰</t>
  </si>
  <si>
    <t>999910000099</t>
  </si>
  <si>
    <t>安道拓V540扶手喷漆</t>
  </si>
  <si>
    <t>北京安道拓-北京奔驰</t>
  </si>
  <si>
    <t>V540</t>
  </si>
  <si>
    <t>其他内饰</t>
  </si>
  <si>
    <t>999910000100</t>
  </si>
  <si>
    <t>奔驰V214/V540项目</t>
  </si>
  <si>
    <t>V214/W214（长/短）/V520</t>
  </si>
  <si>
    <t>999910000101</t>
  </si>
  <si>
    <t>奥迪AU591项目</t>
  </si>
  <si>
    <t>劳伦斯-一汽大众</t>
  </si>
  <si>
    <t>999910000102</t>
  </si>
  <si>
    <t>大众AU336项目三个件</t>
  </si>
  <si>
    <t>AU336</t>
  </si>
  <si>
    <t>999910000103</t>
  </si>
  <si>
    <t>BMW G68 LCI项目</t>
  </si>
  <si>
    <t>G68(CN) | G60(DE)</t>
  </si>
  <si>
    <t>立柱/其他内饰</t>
  </si>
  <si>
    <t>999910000104</t>
  </si>
  <si>
    <t>BMW G68 E-Mirror项目（含B柱）</t>
  </si>
  <si>
    <t>999910000105</t>
  </si>
  <si>
    <t>BMW U12 LCI项目</t>
  </si>
  <si>
    <t>U12</t>
  </si>
  <si>
    <t>999910000106</t>
  </si>
  <si>
    <t>VW Beta+下饰条项目</t>
  </si>
  <si>
    <t>罗马尼亚</t>
  </si>
  <si>
    <t>VW492</t>
  </si>
  <si>
    <t>999910000107</t>
  </si>
  <si>
    <t>大众AU336项目2个件</t>
  </si>
  <si>
    <t>999910000108</t>
  </si>
  <si>
    <t>大众VW 426（MEXICO）项目</t>
  </si>
  <si>
    <t>墨西哥</t>
  </si>
  <si>
    <t>VW426</t>
  </si>
  <si>
    <t>999910000109</t>
  </si>
  <si>
    <t>大众A3PA项目</t>
  </si>
  <si>
    <t>劳伦斯-德国奥迪</t>
  </si>
  <si>
    <t>A3PA</t>
  </si>
  <si>
    <t>999910000110</t>
  </si>
  <si>
    <t>BMW G45 A柱项目</t>
  </si>
  <si>
    <t>宝马南非</t>
  </si>
  <si>
    <t>999910000111</t>
  </si>
  <si>
    <t>奔驰V530 center fill项目</t>
  </si>
  <si>
    <t>北京延锋-北京奔驰</t>
  </si>
  <si>
    <t>V530</t>
  </si>
  <si>
    <t>格栅/其他内饰</t>
  </si>
  <si>
    <t>999910000112</t>
  </si>
  <si>
    <t>安道拓T167扶手项目</t>
  </si>
  <si>
    <t>T167</t>
  </si>
  <si>
    <t>999910000113</t>
  </si>
  <si>
    <t>AU427C26</t>
  </si>
  <si>
    <t>427C-SUV CNSL</t>
  </si>
  <si>
    <t>427C-SUV</t>
  </si>
  <si>
    <t>999910000114</t>
  </si>
  <si>
    <t>C542IP25</t>
  </si>
  <si>
    <t>福特CD542 25款IP</t>
  </si>
  <si>
    <t>CD542</t>
  </si>
  <si>
    <t>长安福特-CD542-仪表板-重庆</t>
  </si>
  <si>
    <t>CE08IP26</t>
  </si>
  <si>
    <t>奇瑞E08 IP</t>
  </si>
  <si>
    <t>E08</t>
  </si>
  <si>
    <t>奇瑞-E08-仪表板-常熟</t>
  </si>
  <si>
    <t>CE0VFC26</t>
  </si>
  <si>
    <t>奇瑞E0V CNSL</t>
  </si>
  <si>
    <t>E0V</t>
  </si>
  <si>
    <t>999910000115</t>
  </si>
  <si>
    <t>CE0VIP26</t>
  </si>
  <si>
    <t>奇瑞E0V IP</t>
  </si>
  <si>
    <t>999910000116</t>
  </si>
  <si>
    <t>CE0YIP25</t>
  </si>
  <si>
    <t>奇瑞E0Y IP</t>
  </si>
  <si>
    <t>E0Y</t>
  </si>
  <si>
    <t>奇瑞-E0Y-仪表板-常熟</t>
  </si>
  <si>
    <t>DH77IP26</t>
  </si>
  <si>
    <t>东风岚图H77 IP</t>
  </si>
  <si>
    <t>H77</t>
  </si>
  <si>
    <t>DMMADP27</t>
  </si>
  <si>
    <t>奔驰V174 178 DP</t>
  </si>
  <si>
    <t xml:space="preserve">V174/178 </t>
  </si>
  <si>
    <t>北京奔驰-V174/178 -门板-天津</t>
  </si>
  <si>
    <t>FDVEIP26</t>
  </si>
  <si>
    <t>福建奔驰VANEA IP</t>
  </si>
  <si>
    <t>J90KFC25</t>
  </si>
  <si>
    <t>马自达J90K CNSL</t>
  </si>
  <si>
    <t>长安马自达</t>
  </si>
  <si>
    <t>J90K</t>
  </si>
  <si>
    <t>长安马自达-J90K-中央通道-常熟</t>
  </si>
  <si>
    <t>MAJ90K25</t>
  </si>
  <si>
    <t>马自达J90K IP</t>
  </si>
  <si>
    <t>长安马自达-J90K-仪表板-常熟</t>
  </si>
  <si>
    <t>N40BFC26</t>
  </si>
  <si>
    <t>北汽N40QB CNSL</t>
  </si>
  <si>
    <t>北京汽车</t>
  </si>
  <si>
    <t>N40QB</t>
  </si>
  <si>
    <t>999910000117</t>
  </si>
  <si>
    <t>N40BIP26</t>
  </si>
  <si>
    <t>北汽N40QB IP</t>
  </si>
  <si>
    <t>999910000118</t>
  </si>
  <si>
    <t>P61AIP23</t>
  </si>
  <si>
    <t>极星P61A IP</t>
  </si>
  <si>
    <t>极星</t>
  </si>
  <si>
    <t>P61</t>
  </si>
  <si>
    <t>极星-P61-仪表板-重庆</t>
  </si>
  <si>
    <t>P61APS23</t>
  </si>
  <si>
    <t>极星P61A Parcel Shelf</t>
  </si>
  <si>
    <t>极星-P61-行李箱系统-重庆</t>
  </si>
  <si>
    <t>V530WH27</t>
  </si>
  <si>
    <t>奔驰V530 轮毂</t>
  </si>
  <si>
    <t>轮毂</t>
  </si>
  <si>
    <t>999910000119</t>
  </si>
  <si>
    <t>X91KDP26</t>
  </si>
  <si>
    <t>北汽新能源X91KS DP</t>
  </si>
  <si>
    <t>X91KFC26</t>
  </si>
  <si>
    <t>北汽新能源X91KS CNSL</t>
  </si>
  <si>
    <t>X91KIP26</t>
  </si>
  <si>
    <t>北汽新能源X91KS IP</t>
  </si>
  <si>
    <t>PASSAT B9  PHEV门板</t>
  </si>
  <si>
    <t>Passat B9 PHEV</t>
  </si>
  <si>
    <t>上汽大众-Passat B9 PHEV-门板-宁波</t>
  </si>
  <si>
    <t>北汽新能源X91KS 立柱侧围</t>
  </si>
  <si>
    <t>立柱侧围</t>
  </si>
  <si>
    <t>北汽新能源-X91KS-立柱侧围-重庆</t>
  </si>
  <si>
    <t>奔驰V520 DP</t>
  </si>
  <si>
    <t>V520</t>
  </si>
  <si>
    <t>奔驰X244 248 DP</t>
  </si>
  <si>
    <t>X244 248</t>
  </si>
  <si>
    <t>大众AU427 CNSL</t>
  </si>
  <si>
    <t xml:space="preserve">AU427 </t>
  </si>
  <si>
    <t>上汽大众-AU427 -中央通道-常熟</t>
  </si>
  <si>
    <t>N</t>
  </si>
  <si>
    <t>福特CX483 25款FP</t>
  </si>
  <si>
    <t>CX483 MY25</t>
  </si>
  <si>
    <t>长安福特-CX483 MY25-门板-重庆</t>
  </si>
  <si>
    <t>福特U625 26款DP</t>
  </si>
  <si>
    <t>U625 MY26</t>
  </si>
  <si>
    <t>长安福特-U625 MY26-门板-重庆</t>
  </si>
  <si>
    <t>赛力斯F1C 25款 IP DP  CNSL</t>
  </si>
  <si>
    <t>F1C MY25</t>
  </si>
  <si>
    <t>赛力斯-F1C MY25-中央通道-重庆</t>
  </si>
  <si>
    <t>赛力斯G19 仪表板及内饰</t>
  </si>
  <si>
    <t>G19</t>
  </si>
  <si>
    <t>赛力斯X1L DP</t>
  </si>
  <si>
    <t>X1L</t>
  </si>
  <si>
    <t>赛力斯-X1L-门板-重庆</t>
  </si>
  <si>
    <t>未引用项目</t>
  </si>
  <si>
    <t>未引用项目-未引用项目-未引用项目-未引用项目</t>
  </si>
  <si>
    <t>小米MS12 C下柱</t>
  </si>
  <si>
    <t>小米</t>
  </si>
  <si>
    <t>MS12 C下柱</t>
  </si>
  <si>
    <t>产品大类</t>
  </si>
  <si>
    <t>一汽奥迪</t>
  </si>
  <si>
    <t>北京</t>
  </si>
  <si>
    <t xml:space="preserve"> </t>
  </si>
  <si>
    <t>福州</t>
  </si>
  <si>
    <t>风管</t>
  </si>
  <si>
    <t>杭州</t>
  </si>
  <si>
    <t>洗涤罐</t>
  </si>
  <si>
    <t>头枕</t>
  </si>
  <si>
    <t>上汽通用</t>
  </si>
  <si>
    <t>密封条</t>
  </si>
  <si>
    <t>美国CTL</t>
  </si>
  <si>
    <t>扰流板</t>
  </si>
  <si>
    <t>格栅</t>
  </si>
  <si>
    <t>东风乘用车</t>
  </si>
  <si>
    <t>加油小门</t>
  </si>
  <si>
    <t>玻璃</t>
  </si>
  <si>
    <t>车顶条</t>
  </si>
  <si>
    <t>行李架</t>
  </si>
  <si>
    <t>落水槽</t>
  </si>
  <si>
    <t>保险杠</t>
  </si>
  <si>
    <t>真木饰条</t>
  </si>
  <si>
    <t>真铝饰条</t>
  </si>
  <si>
    <t>碳纤维饰条</t>
  </si>
  <si>
    <t>电镀饰条</t>
  </si>
  <si>
    <t>IMD饰条</t>
  </si>
  <si>
    <t>北汽极狐</t>
  </si>
  <si>
    <t>INS饰条</t>
  </si>
  <si>
    <t>踏板</t>
  </si>
  <si>
    <t>注塑件</t>
  </si>
  <si>
    <t>包覆件</t>
  </si>
  <si>
    <t>支架</t>
  </si>
  <si>
    <t>天津一汽/大众-劳伦斯</t>
  </si>
  <si>
    <t>HUD盖板</t>
  </si>
  <si>
    <t>北京安道拓-奔驰</t>
  </si>
  <si>
    <t>后摄像盖板</t>
  </si>
  <si>
    <t>北京延峰-奔驰</t>
  </si>
  <si>
    <t>后背门</t>
  </si>
  <si>
    <t>墨西哥华翔-大众</t>
  </si>
  <si>
    <t>门板/侧围/尾门</t>
  </si>
  <si>
    <t>宝马-南非</t>
  </si>
  <si>
    <t>门板/前门/尾门</t>
  </si>
  <si>
    <t>门板/中门/侧围</t>
  </si>
  <si>
    <t>其他饰条</t>
  </si>
  <si>
    <t>长春格拉默-大众</t>
  </si>
  <si>
    <t>世纪框/尾门/侧围</t>
  </si>
  <si>
    <t>小鹏</t>
  </si>
  <si>
    <t>赛豆</t>
  </si>
  <si>
    <r>
      <rPr>
        <rFont val="等线"/>
        <b val="0"/>
        <i val="0"/>
        <strike val="0"/>
        <color rgb="FF000000"/>
        <sz val="11"/>
      </rPr>
      <t>东风乘用车-S59-立柱&amp;背门</t>
    </r>
    <r>
      <rPr>
        <rFont val="等线"/>
        <b val="0"/>
        <i val="0"/>
        <strike val="0"/>
        <color rgb="FF000000"/>
        <sz val="11"/>
      </rPr>
      <t>-武汉-ECN</t>
    </r>
  </si>
</sst>
</file>

<file path=xl/styles.xml><?xml version="1.0" encoding="utf-8"?>
<styleSheet xmlns="http://schemas.openxmlformats.org/spreadsheetml/2006/main">
  <numFmts count="7">
    <numFmt numFmtId="300" formatCode="0_ "/>
    <numFmt numFmtId="301" formatCode="yyyy/m/d;@"/>
    <numFmt numFmtId="302" formatCode="#,##0_ "/>
    <numFmt numFmtId="303" formatCode="0_);[Red](0)"/>
    <numFmt numFmtId="304" formatCode="yyyy/m/d"/>
    <numFmt numFmtId="305" formatCode="#,##0.00"/>
    <numFmt numFmtId="306" formatCode="General"/>
  </numFmts>
  <fonts count="34">
    <font>
      <name val="等线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等线"/>
      <charset val="134"/>
      <family val="3"/>
      <color theme="0"/>
      <sz val="11"/>
      <scheme val="minor"/>
    </font>
    <font>
      <name val="等线"/>
    </font>
    <font>
      <name val="等线"/>
    </font>
    <font>
      <name val="等线"/>
    </font>
    <font>
      <name val="等线"/>
    </font>
    <font/>
    <font>
      <b val="1"/>
    </font>
    <font>
      <b val="1"/>
    </font>
    <font>
      <sz val="10"/>
    </font>
    <font>
      <name val="等线"/>
      <color theme="1"/>
      <sz val="11"/>
    </font>
    <font/>
    <font>
      <name val="等线"/>
      <color theme="1"/>
      <sz val="11"/>
    </font>
    <font>
      <color rgb="FF000000"/>
    </font>
    <font>
      <name val="等线"/>
      <color rgb="FF000000"/>
    </font>
    <font>
      <sz val="10"/>
    </font>
    <font>
      <sz val="11"/>
    </font>
    <font/>
    <font>
      <color rgb="FFFF0000"/>
    </font>
    <font>
      <name val="等线"/>
      <color rgb="FFFFFFFF"/>
    </font>
    <font>
      <name val="等线"/>
      <color rgb="FFFFFFFF"/>
      <sz val="11"/>
    </font>
    <font>
      <name val="Calibri"/>
      <sz val="11"/>
    </font>
    <font>
      <name val="等线"/>
      <color rgb="FF000000"/>
      <sz val="11"/>
    </font>
    <font>
      <name val="Calibri"/>
    </font>
    <font>
      <name val="等线"/>
      <sz val="11"/>
    </font>
    <font>
      <name val="等线 \(正文\)"/>
      <sz val="10"/>
    </font>
    <font>
      <name val="宋体"/>
    </font>
    <font>
      <name val="等线 \(正文\)"/>
    </font>
    <font/>
    <font>
      <name val="等线"/>
      <color rgb="FFFF0000"/>
      <sz val="11"/>
    </font>
    <font>
      <name val="等线"/>
      <family val="2"/>
      <color theme="1"/>
      <sz val="11"/>
      <scheme val="minor"/>
    </font>
    <font>
      <name val="等线"/>
      <charset val="134"/>
      <family val="3"/>
      <color theme="1"/>
      <sz val="11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0" tint="-0.4999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FF"/>
      </patternFill>
    </fill>
    <fill>
      <patternFill patternType="none"/>
    </fill>
    <fill>
      <patternFill patternType="solid">
        <fgColor rgb="FFFFFFFF"/>
      </patternFill>
    </fill>
    <fill/>
    <fill/>
    <fill>
      <patternFill patternType="solid">
        <fgColor rgb="FFFFC000"/>
      </patternFill>
    </fill>
    <fill>
      <patternFill patternType="solid">
        <fgColor rgb="FFFF9C99"/>
      </patternFill>
    </fill>
    <fill>
      <patternFill patternType="solid">
        <fgColor rgb="FF8CDDFA"/>
      </patternFill>
    </fill>
    <fill>
      <patternFill patternType="solid">
        <fgColor rgb="FFFFC000"/>
        <bgColor rgb="FF000000"/>
      </patternFill>
    </fill>
    <fill>
      <patternFill patternType="solid">
        <fgColor rgb="FFE5F6FF"/>
      </patternFill>
    </fill>
    <fill>
      <patternFill patternType="solid">
        <fgColor rgb="FF8CDDFA"/>
      </patternFill>
    </fill>
    <fill>
      <patternFill patternType="solid">
        <fgColor rgb="FFFF0000"/>
      </patternFill>
    </fill>
    <fill>
      <patternFill patternType="solid">
        <fgColor rgb="FFFFFFFF"/>
      </patternFill>
    </fill>
    <fill>
      <patternFill patternType="solid">
        <fgColor rgb="FF0070C0"/>
      </patternFill>
    </fill>
    <fill>
      <patternFill patternType="solid">
        <fgColor rgb="FFFFFF00"/>
      </patternFill>
    </fill>
    <fill>
      <patternFill patternType="solid">
        <fgColor rgb="FFEAFAF1"/>
      </patternFill>
    </fill>
    <fill>
      <patternFill patternType="solid">
        <fgColor rgb="FFFFEEAD"/>
      </patternFill>
    </fill>
    <fill>
      <patternFill patternType="solid">
        <fgColor rgb="FF00B0F0"/>
        <bgColor indexed="64"/>
      </patternFill>
    </fill>
    <fill>
      <patternFill patternType="none"/>
    </fill>
  </fills>
  <borders count="6">
    <border>
      <left/>
      <right/>
      <top/>
      <bottom/>
      <diagonal/>
    </border>
    <border diagonalUp="1" diagonalDown="1"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/>
      <bottom/>
    </border>
    <border>
      <left/>
      <right/>
      <top/>
      <bottom/>
      <diagonal/>
    </border>
  </borders>
  <cellStyleXfs>
    <xf numFmtId="306" fontId="32" fillId="0" borderId="5" xfId="0"/>
    <xf numFmtId="306" fontId="33" fillId="22" borderId="5" xfId="0">
      <alignment vertical="center"/>
    </xf>
  </cellStyleXfs>
  <cellXfs count="182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49" fontId="3" fillId="2" borderId="5" xfId="1" applyNumberFormat="1" applyFont="1" applyFill="1">
      <alignment vertical="center"/>
    </xf>
    <xf numFmtId="49" fontId="3" fillId="3" borderId="5" xfId="1" applyNumberFormat="1" applyFont="1" applyFill="1">
      <alignment vertical="center"/>
    </xf>
    <xf numFmtId="306" fontId="3" fillId="3" borderId="5" xfId="0" applyFont="1" applyFill="1"/>
    <xf numFmtId="0" fontId="4" fillId="0" borderId="0" xfId="0">
      <alignment vertical="center" wrapText="0"/>
    </xf>
    <xf numFmtId="0" fontId="5" fillId="0" borderId="5" xfId="0" applyNumberFormat="1" applyFont="1"/>
    <xf numFmtId="0" fontId="6" fillId="0" borderId="0" xfId="0">
      <alignment vertical="center" wrapText="0"/>
    </xf>
    <xf numFmtId="0" fontId="7" fillId="0" borderId="0" xfId="0">
      <alignment vertical="center" wrapText="0"/>
    </xf>
    <xf numFmtId="0" fontId="8" fillId="0" borderId="5" xfId="0" applyNumberFormat="1" applyFont="1" applyAlignment="1">
      <alignment vertical="center" wrapText="0"/>
    </xf>
    <xf numFmtId="306" fontId="32" fillId="0" borderId="5" xfId="0"/>
    <xf numFmtId="0" fontId="6" fillId="0" borderId="5" xfId="0" applyNumberFormat="1" applyFont="1"/>
    <xf numFmtId="0" fontId="32" fillId="0" borderId="5" xfId="0" applyNumberFormat="1"/>
    <xf numFmtId="306" fontId="8" fillId="0" borderId="5" xfId="0" applyFont="1" applyAlignment="1">
      <alignment vertical="center" wrapText="0"/>
    </xf>
    <xf fontId="8" fillId="0" borderId="0" xfId="0">
      <alignment vertical="center" wrapText="0"/>
    </xf>
    <xf numFmtId="300" fontId="0" fillId="0" borderId="0" xfId="0"/>
    <xf fontId="4" fillId="0" borderId="0" xfId="0">
      <alignment vertical="bottom"/>
    </xf>
    <xf fontId="4" fillId="0" borderId="0" xfId="0">
      <alignment vertical="center"/>
    </xf>
    <xf fontId="4" fillId="0" borderId="0" xfId="0">
      <alignment vertical="bottom" wrapText="0"/>
    </xf>
    <xf numFmtId="300" fontId="4" fillId="0" borderId="0" xfId="0">
      <alignment vertical="center"/>
    </xf>
    <xf fontId="9" fillId="4" borderId="0" xfId="0">
      <alignment horizontal="center"/>
    </xf>
    <xf fontId="9" fillId="0" borderId="0" xfId="0">
      <alignment horizontal="center"/>
    </xf>
    <xf numFmtId="300" fontId="9" fillId="0" borderId="0" xfId="0">
      <alignment horizontal="center"/>
    </xf>
    <xf numFmtId="301" fontId="9" fillId="0" borderId="0" xfId="0">
      <alignment horizontal="center"/>
    </xf>
    <xf fontId="10" fillId="0" borderId="0" xfId="0">
      <alignment horizontal="center"/>
    </xf>
    <xf numFmtId="3" fontId="9" fillId="0" borderId="0" xfId="0">
      <alignment horizontal="center"/>
    </xf>
    <xf numFmtId="0" fontId="6" fillId="4" borderId="5" xfId="0" applyNumberFormat="1" applyFont="1" applyFill="1"/>
    <xf numFmtId="0" fontId="0" fillId="0" borderId="0" xfId="0">
      <alignment horizontal="left"/>
    </xf>
    <xf numFmtId="3" fontId="0" fillId="0" borderId="0" xfId="0"/>
    <xf numFmtId="300" fontId="0" fillId="0" borderId="0" xfId="0">
      <alignment horizontal="left"/>
    </xf>
    <xf numFmtId="0" fontId="11" fillId="0" borderId="0" xfId="0">
      <alignment vertical="top" textRotation="0"/>
    </xf>
    <xf fontId="0" fillId="4" borderId="0" xfId="0"/>
    <xf numFmtId="49" fontId="0" fillId="4" borderId="0" xfId="0"/>
    <xf numFmtId="0" fontId="0" fillId="4" borderId="0" xfId="0">
      <alignment horizontal="left"/>
    </xf>
    <xf numFmtId="300" fontId="0" fillId="4" borderId="0" xfId="0"/>
    <xf numFmtId="0" fontId="12" fillId="5" borderId="1" xfId="0"/>
    <xf numFmtId="14" fontId="0" fillId="6" borderId="0" xfId="0">
      <alignment horizontal="left"/>
    </xf>
    <xf fontId="0" fillId="6" borderId="0" xfId="0">
      <alignment horizontal="left"/>
    </xf>
    <xf numFmtId="3" fontId="0" fillId="6" borderId="0" xfId="0"/>
    <xf numFmtId="300" fontId="0" fillId="4" borderId="0" xfId="0">
      <alignment horizontal="left"/>
    </xf>
    <xf numFmtId="0" fontId="11" fillId="7" borderId="0" xfId="0">
      <alignment vertical="top" textRotation="0"/>
    </xf>
    <xf fontId="13" fillId="0" borderId="0" xfId="0"/>
    <xf fontId="4" fillId="4" borderId="0" xfId="0">
      <alignment vertical="bottom"/>
    </xf>
    <xf fontId="0" fillId="6" borderId="0" xfId="0"/>
    <xf fontId="0" fillId="4" borderId="0" xfId="0">
      <alignment horizontal="left"/>
    </xf>
    <xf numFmtId="0" fontId="14" fillId="5" borderId="0" xfId="0"/>
    <xf numFmtId="301" fontId="0" fillId="4" borderId="0" xfId="0">
      <alignment horizontal="left"/>
    </xf>
    <xf fontId="0" fillId="0" borderId="0" xfId="0">
      <alignment horizontal="left"/>
    </xf>
    <xf numFmtId="301" fontId="0" fillId="0" borderId="0" xfId="0">
      <alignment horizontal="left"/>
    </xf>
    <xf numFmtId="302" fontId="11" fillId="0" borderId="0" xfId="0">
      <alignment horizontal="left" vertical="bottom" textRotation="0" indent="0" justifyLastLine="0" shrinkToFit="0"/>
    </xf>
    <xf numFmtId="300" fontId="0" fillId="8" borderId="0" xfId="0"/>
    <xf numFmtId="300" fontId="15" fillId="0" borderId="0" xfId="0"/>
    <xf fontId="0" fillId="9" borderId="0" xfId="0"/>
    <xf numFmtId="0" fontId="15" fillId="4" borderId="0" xfId="0"/>
    <xf fontId="15" fillId="0" borderId="0" xfId="0">
      <alignment horizontal="left"/>
    </xf>
    <xf fontId="15" fillId="0" borderId="0" xfId="0"/>
    <xf numFmtId="14" fontId="15" fillId="0" borderId="0" xfId="0">
      <alignment horizontal="left"/>
    </xf>
    <xf numFmtId="3" fontId="15" fillId="0" borderId="0" xfId="0"/>
    <xf numFmtId="300" fontId="13" fillId="0" borderId="0" xfId="0">
      <alignment horizontal="left"/>
    </xf>
    <xf fontId="0" fillId="10" borderId="0" xfId="0"/>
    <xf numFmtId="300" fontId="15" fillId="4" borderId="0" xfId="0"/>
    <xf fontId="0" fillId="11" borderId="0" xfId="0"/>
    <xf numFmtId="0" fontId="0" fillId="12" borderId="2" xfId="0">
      <alignment vertical="center" textRotation="0"/>
    </xf>
    <xf numFmtId="300" fontId="0" fillId="8" borderId="0" xfId="0">
      <alignment horizontal="left"/>
    </xf>
    <xf fontId="13" fillId="10" borderId="0" xfId="0"/>
    <xf numFmtId="301" fontId="0" fillId="0" borderId="0" xfId="0"/>
    <xf fontId="4" fillId="4" borderId="0" xfId="0">
      <alignment vertical="center"/>
    </xf>
    <xf fontId="4" fillId="4" borderId="0" xfId="0">
      <alignment horizontal="left" vertical="center"/>
    </xf>
    <xf fontId="4" fillId="5" borderId="0" xfId="0">
      <alignment horizontal="left" vertical="center"/>
    </xf>
    <xf fontId="16" fillId="4" borderId="0" xfId="0">
      <alignment vertical="bottom"/>
    </xf>
    <xf fontId="15" fillId="10" borderId="0" xfId="0"/>
    <xf numFmtId="300" fontId="15" fillId="0" borderId="0" xfId="0">
      <alignment horizontal="left"/>
    </xf>
    <xf numFmtId="0" fontId="17" fillId="0" borderId="0" xfId="0">
      <alignment vertical="top" textRotation="0"/>
    </xf>
    <xf fontId="0" fillId="8" borderId="0" xfId="0"/>
    <xf fontId="0" fillId="0" borderId="0" xfId="0">
      <alignment/>
    </xf>
    <xf fontId="0" fillId="8" borderId="3" xfId="0"/>
    <xf numFmtId="0" fontId="14" fillId="5" borderId="1" xfId="0"/>
    <xf fontId="15" fillId="4" borderId="0" xfId="0">
      <alignment horizontal="left"/>
    </xf>
    <xf fontId="15" fillId="4" borderId="0" xfId="0"/>
    <xf numFmtId="14" fontId="15" fillId="4" borderId="0" xfId="0">
      <alignment horizontal="left"/>
    </xf>
    <xf numFmtId="3" fontId="15" fillId="6" borderId="0" xfId="0"/>
    <xf numFmtId="300" fontId="13" fillId="4" borderId="0" xfId="0">
      <alignment horizontal="left"/>
    </xf>
    <xf numFmtId="0" fontId="18" fillId="8" borderId="0" xfId="0">
      <alignment vertical="bottom" textRotation="0"/>
    </xf>
    <xf fontId="13" fillId="4" borderId="0" xfId="0"/>
    <xf numFmtId="0" fontId="11" fillId="8" borderId="0" xfId="0">
      <alignment vertical="top" textRotation="0"/>
    </xf>
    <xf numFmtId="0" fontId="0" fillId="0" borderId="0" xfId="0">
      <alignment vertical="center" textRotation="0" indent="0" justifyLastLine="0" shrinkToFit="0"/>
    </xf>
    <xf numFmtId="14" fontId="0" fillId="0" borderId="0" xfId="0">
      <alignment horizontal="left"/>
    </xf>
    <xf numFmtId="3" fontId="19" fillId="8" borderId="1" xfId="0">
      <alignment wrapText="0"/>
    </xf>
    <xf numFmtId="3" fontId="0" fillId="0" borderId="0" xfId="0">
      <alignment wrapText="0"/>
    </xf>
    <xf numFmtId="3" fontId="13" fillId="0" borderId="0" xfId="0">
      <alignment wrapText="0"/>
    </xf>
    <xf fontId="13" fillId="13" borderId="0" xfId="0"/>
    <xf numFmtId="301" fontId="15" fillId="0" borderId="0" xfId="0">
      <alignment horizontal="left"/>
    </xf>
    <xf fontId="15" fillId="11" borderId="0" xfId="0"/>
    <xf numFmtId="0" fontId="15" fillId="4" borderId="0" xfId="0">
      <alignment vertical="bottom" textRotation="0"/>
    </xf>
    <xf fontId="15" fillId="4" borderId="0" xfId="0">
      <alignment vertical="bottom" textRotation="0"/>
    </xf>
    <xf numFmtId="301" fontId="15" fillId="4" borderId="0" xfId="0">
      <alignment horizontal="left"/>
    </xf>
    <xf numFmtId="0" fontId="17" fillId="7" borderId="0" xfId="0">
      <alignment vertical="top" textRotation="0"/>
    </xf>
    <xf fontId="20" fillId="0" borderId="0" xfId="0">
      <alignment horizontal="left"/>
    </xf>
    <xf numFmtId="3" fontId="20" fillId="0" borderId="0" xfId="0"/>
    <xf fontId="20" fillId="0" borderId="0" xfId="0"/>
    <xf fontId="0" fillId="0" borderId="3" xfId="0"/>
    <xf fontId="0" fillId="4" borderId="0" xfId="0">
      <alignment wrapText="1"/>
    </xf>
    <xf fontId="0" fillId="0" borderId="4" xfId="0"/>
    <xf numFmtId="0" fontId="11" fillId="4" borderId="0" xfId="0">
      <alignment vertical="bottom" textRotation="0"/>
    </xf>
    <xf fontId="13" fillId="0" borderId="0" xfId="0">
      <alignment horizontal="left"/>
    </xf>
    <xf numFmtId="300" fontId="13" fillId="0" borderId="0" xfId="0"/>
    <xf fontId="13" fillId="8" borderId="0" xfId="0">
      <alignment horizontal="left"/>
    </xf>
    <xf numFmtId="0" fontId="14" fillId="4" borderId="1" xfId="0"/>
    <xf fontId="13" fillId="4" borderId="0" xfId="0">
      <alignment horizontal="left"/>
    </xf>
    <xf numFmtId="300" fontId="13" fillId="8" borderId="0" xfId="0"/>
    <xf fontId="15" fillId="8" borderId="0" xfId="0"/>
    <xf numFmtId="14" fontId="0" fillId="4" borderId="0" xfId="0">
      <alignment horizontal="left"/>
    </xf>
    <xf fontId="0" fillId="4" borderId="0" xfId="0">
      <alignment/>
    </xf>
    <xf numFmtId="3" fontId="0" fillId="4" borderId="0" xfId="0"/>
    <xf fontId="0" fillId="8" borderId="0" xfId="0">
      <alignment/>
    </xf>
    <xf fontId="0" fillId="8" borderId="0" xfId="0">
      <alignment horizontal="left"/>
    </xf>
    <xf fontId="0" fillId="0" borderId="3" xfId="0">
      <alignment/>
    </xf>
    <xf fontId="0" fillId="14" borderId="0" xfId="0"/>
    <xf fontId="0" fillId="15" borderId="0" xfId="0"/>
    <xf fontId="0" fillId="8" borderId="4" xfId="0"/>
    <xf numFmtId="3" fontId="15" fillId="0" borderId="0" xfId="0">
      <alignment wrapText="0"/>
    </xf>
    <xf fontId="15" fillId="8" borderId="3" xfId="0">
      <alignment/>
    </xf>
    <xf fontId="0" fillId="8" borderId="3" xfId="0">
      <alignment/>
    </xf>
    <xf fontId="16" fillId="6" borderId="0" xfId="0">
      <alignment vertical="bottom"/>
    </xf>
    <xf fontId="16" fillId="16" borderId="0" xfId="0">
      <alignment vertical="bottom"/>
    </xf>
    <xf fontId="0" fillId="11" borderId="0" xfId="0">
      <alignment horizontal="left"/>
    </xf>
    <xf numFmtId="300" fontId="15" fillId="11" borderId="0" xfId="0"/>
    <xf fontId="9" fillId="0" borderId="0" xfId="0"/>
    <xf numFmtId="14" fontId="9" fillId="0" borderId="0" xfId="0">
      <alignment horizontal="right"/>
    </xf>
    <xf fontId="10" fillId="0" borderId="0" xfId="0"/>
    <xf numFmtId="14" fontId="0" fillId="0" borderId="0" xfId="0">
      <alignment horizontal="right"/>
    </xf>
    <xf numFmtId="303" fontId="0" fillId="0" borderId="0" xfId="0">
      <alignment horizontal="center" vertical="center"/>
    </xf>
    <xf fontId="0" fillId="0" borderId="0" xfId="0">
      <alignment vertical="center"/>
    </xf>
    <xf numFmtId="49" fontId="0" fillId="0" borderId="0" xfId="0"/>
    <xf numFmtId="300" fontId="21" fillId="17" borderId="0" xfId="0">
      <alignment vertical="bottom"/>
    </xf>
    <xf fontId="21" fillId="17" borderId="0" xfId="0">
      <alignment vertical="bottom"/>
    </xf>
    <xf numFmtId="49" fontId="22" fillId="17" borderId="5" xfId="1" applyNumberFormat="1" applyFont="1" applyFill="1" applyAlignment="1">
      <alignment vertical="center"/>
    </xf>
    <xf numFmtId="49" fontId="22" fillId="17" borderId="5" xfId="1" applyNumberFormat="1" applyFont="1" applyFill="1">
      <alignment vertical="center"/>
    </xf>
    <xf numFmtId="300" fontId="4" fillId="0" borderId="0" xfId="0">
      <alignment vertical="bottom"/>
    </xf>
    <xf fontId="4" fillId="18" borderId="0" xfId="0">
      <alignment vertical="bottom"/>
    </xf>
    <xf numFmtId="49" fontId="15" fillId="0" borderId="0" xfId="0"/>
    <xf fontId="23" fillId="0" borderId="0" xfId="0">
      <alignment vertical="center"/>
    </xf>
    <xf numFmtId="300" fontId="16" fillId="0" borderId="0" xfId="0">
      <alignment vertical="bottom"/>
    </xf>
    <xf fontId="16" fillId="0" borderId="0" xfId="0">
      <alignment vertical="bottom"/>
    </xf>
    <xf fontId="24" fillId="0" borderId="0" xfId="0">
      <alignment vertical="bottom"/>
    </xf>
    <xf fontId="16" fillId="8" borderId="0" xfId="0">
      <alignment vertical="bottom"/>
    </xf>
    <xf fontId="4" fillId="19" borderId="0" xfId="0">
      <alignment vertical="bottom"/>
    </xf>
    <xf numFmtId="49" fontId="15" fillId="8" borderId="0" xfId="0"/>
    <xf numFmtId="0" fontId="4" fillId="0" borderId="0" xfId="0">
      <alignment vertical="bottom"/>
    </xf>
    <xf fontId="25" fillId="0" borderId="0" xfId="0">
      <alignment vertical="center"/>
    </xf>
    <xf fontId="26" fillId="0" borderId="0" xfId="0">
      <alignment vertical="bottom"/>
    </xf>
    <xf fontId="27" fillId="0" borderId="0" xfId="0">
      <alignment vertical="bottom"/>
    </xf>
    <xf numFmtId="300" fontId="4" fillId="5" borderId="0" xfId="0">
      <alignment vertical="bottom"/>
    </xf>
    <xf fontId="4" fillId="5" borderId="0" xfId="0">
      <alignment vertical="bottom"/>
    </xf>
    <xf fontId="4" fillId="5" borderId="0" xfId="0">
      <alignment vertical="center"/>
    </xf>
    <xf fontId="0" fillId="20" borderId="0" xfId="0"/>
    <xf fontId="4" fillId="8" borderId="3" xfId="0">
      <alignment vertical="bottom"/>
    </xf>
    <xf numFmtId="306" fontId="13" fillId="0" borderId="5" xfId="0" applyFont="1"/>
    <xf numFmtId="306" fontId="13" fillId="4" borderId="5" xfId="0" applyFont="1" applyFill="1"/>
    <xf numFmtId="0" fontId="13" fillId="8" borderId="5" xfId="0" applyNumberFormat="1" applyFont="1" applyFill="1"/>
    <xf numFmtId="0" fontId="4" fillId="4" borderId="0" xfId="0"/>
    <xf numFmtId="0" fontId="13" fillId="0" borderId="0" xfId="0"/>
    <xf numFmtId="0" fontId="13" fillId="4" borderId="0" xfId="0"/>
    <xf numFmtId="49" fontId="33" fillId="21" borderId="5" xfId="1" applyNumberFormat="1" applyFill="1">
      <alignment vertical="center"/>
    </xf>
    <xf numFmtId="49" fontId="6" fillId="21" borderId="5" xfId="1" applyNumberFormat="1" applyFont="1" applyFill="1">
      <alignment vertical="center"/>
    </xf>
    <xf numFmtId="49" fontId="4" fillId="21" borderId="5" xfId="1" applyNumberFormat="1" applyFont="1" applyFill="1">
      <alignment vertical="center"/>
    </xf>
    <xf numFmtId="306" fontId="32" fillId="4" borderId="5" xfId="0" applyFill="1"/>
    <xf fontId="28" fillId="0" borderId="0" xfId="0">
      <alignment vertical="center"/>
    </xf>
    <xf fontId="29" fillId="0" borderId="0" xfId="0">
      <alignment vertical="bottom"/>
    </xf>
    <xf numFmtId="0" fontId="32" fillId="4" borderId="5" xfId="0" applyNumberFormat="1" applyFill="1"/>
    <xf fontId="13" fillId="8" borderId="0" xfId="0"/>
    <xf numFmtId="306" fontId="13" fillId="8" borderId="5" xfId="0" applyFont="1" applyFill="1"/>
    <xf numFmtId="0" fontId="4" fillId="0" borderId="0" xfId="0"/>
    <xf numFmtId="306" fontId="30" fillId="4" borderId="5" xfId="0" applyFont="1" applyFill="1"/>
    <xf numFmtId="306" fontId="30" fillId="0" borderId="5" xfId="0" applyFont="1"/>
    <xf fontId="20" fillId="4" borderId="0" xfId="0"/>
    <xf fontId="31" fillId="8" borderId="0" xfId="0"/>
    <xf fontId="15" fillId="6" borderId="0" xfId="0"/>
    <xf numFmtId="304" fontId="0" fillId="0" borderId="0" xfId="0">
      <alignment horizontal="left"/>
    </xf>
    <xf numFmtId="305" fontId="0" fillId="0" borderId="0" xfId="0"/>
  </cellXfs>
  <cellStyles>
    <cellStyle name="常规" xfId="0" builtinId="0"/>
    <cellStyle name="常规 2" xfId="1"/>
  </cellStyles>
  <dxfs count="2">
    <dxf>
      <font>
        <color rgb="FFDE322C"/>
      </font>
      <fill>
        <patternFill patternType="solid">
          <fgColor rgb="FFFFE9E8"/>
          <bgColor rgb="FFFFE9E8"/>
        </patternFill>
      </fill>
    </dxf>
    <dxf>
      <font>
        <color rgb="FF9C0006"/>
      </font>
      <fill>
        <patternFill>
          <bgColor rgb="FFFFC7CE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6.xml" /><Relationship Id="rId7" Type="http://schemas.openxmlformats.org/officeDocument/2006/relationships/worksheet" Target="worksheets/sheet5.xml" /><Relationship Id="rId6" Type="http://schemas.openxmlformats.org/officeDocument/2006/relationships/worksheet" Target="worksheets/sheet4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Theme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6.xml.rels><?xml version="1.0" encoding="UTF-8" standalone="yes"?><Relationships xmlns="http://schemas.openxmlformats.org/package/2006/relationships"><Relationship Id="rId0" Type="http://schemas.openxmlformats.org/officeDocument/2006/relationships/hyperlink" Target="https://drive.weixin.qq.com/s?k=AOcAkwdvAG0Vvra1XdAcsANQZFABI" TargetMode="External"/></Relationships>
</file>

<file path=xl/worksheets/sheet1.xml><?xml version="1.0" encoding="utf-8"?>
<worksheet xmlns="http://schemas.openxmlformats.org/spreadsheetml/2006/main">
  <sheetPr codeName="项目名称list">
    <tabColor rgb="FF00B0F0"/>
  </sheetPr>
  <dimension ref="O253"/>
  <sheetViews>
    <sheetView showGridLines="1" workbookViewId="0">
      <pane ySplit="1" topLeftCell="A2" state="frozen"/>
    </sheetView>
  </sheetViews>
  <sheetFormatPr baseColWidth="13" defaultRowHeight="18" customHeight="1"/>
  <cols>
    <col min="1" max="1" width="44.8906" style="45" customWidth="1"/>
    <col min="2" max="2" width="9.32031" style="49" customWidth="1"/>
    <col min="3" max="3" width="13.6094" style="17"/>
    <col min="4" max="4" width="9.5625" customWidth="1"/>
    <col min="5" max="5" width="9.69141" customWidth="1"/>
    <col min="6" max="6" width="13.6094"/>
    <col min="7" max="7" width="11.1602" customWidth="1"/>
    <col min="8" max="8" width="17.6602" style="180" customWidth="1"/>
    <col min="9" max="9" width="15.8203" style="49" customWidth="1"/>
    <col min="10" max="10" width="11.043" customWidth="1"/>
    <col min="11" max="11" width="10.3008" style="181" customWidth="1"/>
    <col min="12" max="12" width="6.25" style="3" customWidth="1"/>
    <col min="13" max="13" width="13.7305" style="31" customWidth="1"/>
    <col min="14" max="14" width="13.3711" customWidth="1"/>
    <col min="15" max="15" width="19.7109" customWidth="1"/>
  </cols>
  <sheetData>
    <row r="1" spans="1:15" s="23" customFormat="1">
      <c r="A1" s="22" t="s">
        <v>6</v>
      </c>
      <c r="B1" s="23" t="s">
        <v>103</v>
      </c>
      <c r="C1" s="24" t="s">
        <v>104</v>
      </c>
      <c r="D1" s="23" t="s">
        <v>105</v>
      </c>
      <c r="E1" s="23" t="s">
        <v>106</v>
      </c>
      <c r="F1" s="23" t="s">
        <v>107</v>
      </c>
      <c r="G1" s="23" t="s">
        <v>108</v>
      </c>
      <c r="H1" s="25" t="s">
        <v>109</v>
      </c>
      <c r="I1" s="26" t="s">
        <v>110</v>
      </c>
      <c r="J1" s="26" t="s">
        <v>111</v>
      </c>
      <c r="K1" s="27" t="s">
        <v>112</v>
      </c>
      <c r="L1" s="26" t="s">
        <v>113</v>
      </c>
      <c r="M1" s="24" t="s">
        <v>114</v>
      </c>
      <c r="N1" s="23" t="s">
        <v>115</v>
      </c>
      <c r="O1" s="23" t="s"/>
    </row>
    <row r="2" spans="1:15">
      <c r="A2" s="28" t="s">
        <v>116</v>
      </c>
      <c r="B2" s="29">
        <v>2616</v>
      </c>
      <c r="C2" s="17">
        <v>999910000001</v>
      </c>
      <c r="D2" t="s">
        <v>117</v>
      </c>
      <c r="E2" t="s">
        <v>117</v>
      </c>
      <c r="F2" t="s">
        <v>118</v>
      </c>
      <c r="K2" s="30" t="s"/>
      <c r="L2" t="s">
        <v>119</v>
      </c>
      <c r="M2" s="31" t="s">
        <f>=IF(A2="",0,IF(RIGHT(A2,3)="ECN","NO","YES"))</f>
        <v>120</v>
      </c>
      <c r="O2" s="32" t="s">
        <v>118</v>
      </c>
    </row>
    <row r="3" spans="1:15">
      <c r="A3" s="33" t="s">
        <v>121</v>
      </c>
      <c r="B3" s="29">
        <v>3000</v>
      </c>
      <c r="C3" s="17">
        <v>999910000002</v>
      </c>
      <c r="D3" t="s">
        <v>117</v>
      </c>
      <c r="E3" t="s">
        <v>117</v>
      </c>
      <c r="F3" t="s">
        <v>118</v>
      </c>
      <c r="K3" s="30" t="s"/>
      <c r="L3" t="s">
        <v>122</v>
      </c>
      <c r="M3" s="31" t="s">
        <f>=IF(A3="",0,IF(RIGHT(A3,3)="ECN","NO","YES"))</f>
        <v>120</v>
      </c>
      <c r="O3" s="32" t="s">
        <v>118</v>
      </c>
    </row>
    <row r="4" spans="1:15">
      <c r="A4" s="34" t="s">
        <v>123</v>
      </c>
      <c r="B4" s="29">
        <v>2620</v>
      </c>
      <c r="C4" s="17">
        <v>999910000003</v>
      </c>
      <c r="D4" t="s">
        <v>117</v>
      </c>
      <c r="E4" t="s">
        <v>117</v>
      </c>
      <c r="F4" t="s">
        <v>118</v>
      </c>
      <c r="K4" s="30" t="s"/>
      <c r="L4" t="s">
        <v>124</v>
      </c>
      <c r="M4" s="31" t="s">
        <f>=IF(A4="",0,IF(RIGHT(A4,3)="ECN","NO","YES"))</f>
        <v>120</v>
      </c>
      <c r="O4" s="32" t="s">
        <v>118</v>
      </c>
    </row>
    <row r="5" spans="1:15" s="45" customFormat="1">
      <c r="A5" s="33" t="s">
        <v>125</v>
      </c>
      <c r="B5" s="35">
        <v>2601</v>
      </c>
      <c r="C5" s="36">
        <v>999910000004</v>
      </c>
      <c r="D5" s="33" t="s">
        <v>117</v>
      </c>
      <c r="E5" s="33" t="s">
        <v>117</v>
      </c>
      <c r="F5" s="37" t="s">
        <v>118</v>
      </c>
      <c r="H5" s="38" t="s"/>
      <c r="I5" s="39" t="s"/>
      <c r="K5" s="40" t="s"/>
      <c r="L5" s="33" t="s">
        <v>126</v>
      </c>
      <c r="M5" s="41" t="s">
        <f>=IF(A5="",0,IF(RIGHT(A5,3)="ECN","NO","YES"))</f>
        <v>120</v>
      </c>
      <c r="O5" s="42" t="s">
        <v>118</v>
      </c>
    </row>
    <row r="6" spans="1:15">
      <c r="A6" s="33" t="s">
        <v>127</v>
      </c>
      <c r="B6" s="29">
        <v>2606</v>
      </c>
      <c r="C6" s="17">
        <v>999910000005</v>
      </c>
      <c r="D6" t="s">
        <v>117</v>
      </c>
      <c r="E6" t="s">
        <v>117</v>
      </c>
      <c r="F6" t="s">
        <v>118</v>
      </c>
      <c r="K6" s="30" t="s"/>
      <c r="L6" t="s">
        <v>128</v>
      </c>
      <c r="M6" s="31" t="s">
        <f>=IF(A6="",0,IF(RIGHT(A6,3)="ECN","NO","YES"))</f>
        <v>120</v>
      </c>
      <c r="O6" s="32" t="s">
        <v>118</v>
      </c>
    </row>
    <row r="7" spans="1:15">
      <c r="A7" s="33" t="s">
        <v>93</v>
      </c>
      <c r="B7" s="29">
        <v>2606</v>
      </c>
      <c r="C7" s="17">
        <v>999910000006</v>
      </c>
      <c r="D7" t="s">
        <v>117</v>
      </c>
      <c r="E7" t="s">
        <v>117</v>
      </c>
      <c r="F7" t="s">
        <v>118</v>
      </c>
      <c r="K7" s="30" t="s"/>
      <c r="L7" t="s">
        <v>129</v>
      </c>
      <c r="M7" s="31" t="s">
        <f>=IF(A7="",0,IF(RIGHT(A7,3)="ECN","NO","YES"))</f>
        <v>120</v>
      </c>
      <c r="O7" s="32" t="s">
        <v>118</v>
      </c>
    </row>
    <row r="8" spans="1:15">
      <c r="A8" s="33" t="s">
        <v>90</v>
      </c>
      <c r="B8" s="29">
        <v>2606</v>
      </c>
      <c r="C8" s="17">
        <v>999910000007</v>
      </c>
      <c r="D8" t="s">
        <v>117</v>
      </c>
      <c r="E8" t="s">
        <v>117</v>
      </c>
      <c r="F8" t="s">
        <v>118</v>
      </c>
      <c r="K8" s="30" t="s"/>
      <c r="L8" t="s">
        <v>130</v>
      </c>
      <c r="M8" s="31" t="s">
        <f>=IF(A8="",0,IF(RIGHT(A8,3)="ECN","NO","YES"))</f>
        <v>120</v>
      </c>
      <c r="O8" s="32" t="s">
        <v>118</v>
      </c>
    </row>
    <row r="9" spans="1:15">
      <c r="A9" s="33" t="s">
        <v>131</v>
      </c>
      <c r="B9" s="29">
        <v>2606</v>
      </c>
      <c r="C9" s="17">
        <v>999910000008</v>
      </c>
      <c r="D9" t="s">
        <v>117</v>
      </c>
      <c r="E9" t="s">
        <v>117</v>
      </c>
      <c r="F9" s="43" t="s">
        <v>118</v>
      </c>
      <c r="K9" s="30" t="s"/>
      <c r="L9" t="s">
        <v>132</v>
      </c>
      <c r="M9" s="31" t="s">
        <f>=IF(A9="",0,IF(RIGHT(A9,3)="ECN","NO","YES"))</f>
        <v>120</v>
      </c>
      <c r="O9" s="32" t="s">
        <v>118</v>
      </c>
    </row>
    <row r="10" spans="1:15">
      <c r="A10" s="33" t="s">
        <v>83</v>
      </c>
      <c r="B10" s="29">
        <v>2602</v>
      </c>
      <c r="C10" s="17">
        <v>999910000009</v>
      </c>
      <c r="D10" t="s">
        <v>117</v>
      </c>
      <c r="E10" t="s">
        <v>117</v>
      </c>
      <c r="F10" t="s">
        <v>118</v>
      </c>
      <c r="K10" s="30" t="s"/>
      <c r="L10" t="s">
        <v>133</v>
      </c>
      <c r="M10" s="31" t="s">
        <f>=IF(A10="",0,IF(RIGHT(A10,3)="ECN","NO","YES"))</f>
        <v>120</v>
      </c>
      <c r="O10" s="32" t="s">
        <v>118</v>
      </c>
    </row>
    <row r="11" spans="1:15">
      <c r="A11" s="44" t="s">
        <v>95</v>
      </c>
      <c r="B11" s="29">
        <v>2606</v>
      </c>
      <c r="C11" s="17">
        <v>999910000010</v>
      </c>
      <c r="D11" t="s">
        <v>117</v>
      </c>
      <c r="E11" t="s">
        <v>117</v>
      </c>
      <c r="F11" t="s">
        <v>118</v>
      </c>
      <c r="K11" s="30" t="s"/>
      <c r="L11" t="s">
        <v>134</v>
      </c>
      <c r="M11" s="31" t="s">
        <f>=IF(A11="",0,IF(RIGHT(A11,3)="ECN","NO","YES"))</f>
        <v>120</v>
      </c>
      <c r="O11" s="32" t="s">
        <v>118</v>
      </c>
    </row>
    <row r="12" spans="1:15">
      <c r="A12" s="44" t="s">
        <v>97</v>
      </c>
      <c r="B12" s="29">
        <v>2606</v>
      </c>
      <c r="C12" s="17">
        <v>999910000011</v>
      </c>
      <c r="D12" t="s">
        <v>117</v>
      </c>
      <c r="E12" t="s">
        <v>117</v>
      </c>
      <c r="F12" t="s">
        <v>118</v>
      </c>
      <c r="J12" t="s">
        <v>135</v>
      </c>
      <c r="K12" s="30">
        <v>621760</v>
      </c>
      <c r="L12" t="s">
        <v>136</v>
      </c>
      <c r="M12" s="31" t="s">
        <f>=IF(A12="",0,IF(RIGHT(A12,3)="ECN","NO","YES"))</f>
        <v>120</v>
      </c>
      <c r="O12" s="32" t="s">
        <v>118</v>
      </c>
    </row>
    <row r="13" spans="1:15">
      <c r="A13" s="44" t="s">
        <v>99</v>
      </c>
      <c r="B13" s="29">
        <v>2606</v>
      </c>
      <c r="C13" s="17">
        <v>999910000012</v>
      </c>
      <c r="D13" t="s">
        <v>117</v>
      </c>
      <c r="E13" t="s">
        <v>117</v>
      </c>
      <c r="F13" t="s">
        <v>118</v>
      </c>
      <c r="K13" s="30" t="s"/>
      <c r="L13" t="s">
        <v>137</v>
      </c>
      <c r="M13" s="31" t="s">
        <f>=IF(A13="",0,IF(RIGHT(A13,3)="ECN","NO","YES"))</f>
        <v>120</v>
      </c>
      <c r="O13" s="32" t="s">
        <v>118</v>
      </c>
    </row>
    <row r="14" spans="1:15">
      <c r="A14" s="44" t="s">
        <v>100</v>
      </c>
      <c r="B14" s="29">
        <v>2606</v>
      </c>
      <c r="C14" s="17">
        <v>999910000013</v>
      </c>
      <c r="D14" t="s">
        <v>117</v>
      </c>
      <c r="E14" t="s">
        <v>117</v>
      </c>
      <c r="F14" t="s">
        <v>118</v>
      </c>
      <c r="K14" s="30" t="s"/>
      <c r="L14" t="s">
        <v>138</v>
      </c>
      <c r="M14" s="31" t="s">
        <f>=IF(A14="",0,IF(RIGHT(A14,3)="ECN","NO","YES"))</f>
        <v>120</v>
      </c>
      <c r="O14" s="32" t="s">
        <v>118</v>
      </c>
    </row>
    <row r="15" spans="1:15" s="45" customFormat="1">
      <c r="A15" s="33" t="s">
        <v>46</v>
      </c>
      <c r="B15" s="35">
        <v>2604</v>
      </c>
      <c r="C15" s="36">
        <v>999910000014</v>
      </c>
      <c r="D15" s="33" t="s">
        <v>117</v>
      </c>
      <c r="E15" s="33" t="s">
        <v>117</v>
      </c>
      <c r="F15" s="37" t="s">
        <v>118</v>
      </c>
      <c r="H15" s="38" t="s"/>
      <c r="I15" s="39" t="s"/>
      <c r="K15" s="40" t="s"/>
      <c r="L15" s="33" t="s">
        <v>139</v>
      </c>
      <c r="M15" s="41" t="s">
        <f>=IF(A15="",0,IF(RIGHT(A15,3)="ECN","NO","YES"))</f>
        <v>120</v>
      </c>
      <c r="N15" s="45" t="s">
        <v>140</v>
      </c>
      <c r="O15" s="42" t="s">
        <v>118</v>
      </c>
    </row>
    <row r="16" spans="1:15">
      <c r="A16" s="33" t="s">
        <v>141</v>
      </c>
      <c r="B16" s="29">
        <v>2631</v>
      </c>
      <c r="C16" s="17">
        <v>999910000015</v>
      </c>
      <c r="D16" t="s">
        <v>117</v>
      </c>
      <c r="E16" t="s">
        <v>117</v>
      </c>
      <c r="F16" t="s">
        <v>118</v>
      </c>
      <c r="K16" s="30" t="s"/>
      <c r="L16" t="s">
        <v>142</v>
      </c>
      <c r="M16" s="31" t="s">
        <f>=IF(A16="",0,IF(RIGHT(A16,3)="ECN","NO","YES"))</f>
        <v>120</v>
      </c>
      <c r="O16" s="32" t="s">
        <v>118</v>
      </c>
    </row>
    <row r="17" spans="1:15">
      <c r="A17" s="33" t="s">
        <v>143</v>
      </c>
      <c r="B17" s="29">
        <v>2606</v>
      </c>
      <c r="C17" s="17">
        <v>999910000016</v>
      </c>
      <c r="D17" t="s">
        <v>117</v>
      </c>
      <c r="E17" t="s">
        <v>117</v>
      </c>
      <c r="F17" t="s">
        <v>118</v>
      </c>
      <c r="K17" s="30" t="s"/>
      <c r="L17" t="s">
        <v>144</v>
      </c>
      <c r="M17" s="31" t="s">
        <f>=IF(A17="",0,IF(RIGHT(A17,3)="ECN","NO","YES"))</f>
        <v>120</v>
      </c>
      <c r="O17" s="32" t="s">
        <v>118</v>
      </c>
    </row>
    <row r="18" spans="1:15">
      <c r="A18" s="33" t="s">
        <v>145</v>
      </c>
      <c r="B18" s="29">
        <v>2606</v>
      </c>
      <c r="C18" s="17">
        <v>999910000017</v>
      </c>
      <c r="D18" t="s">
        <v>117</v>
      </c>
      <c r="E18" t="s">
        <v>117</v>
      </c>
      <c r="F18" t="s">
        <v>118</v>
      </c>
      <c r="K18" s="30" t="s"/>
      <c r="L18" t="s">
        <v>146</v>
      </c>
      <c r="M18" s="31" t="s">
        <f>=IF(A18="",0,IF(RIGHT(A18,3)="ECN","NO","YES"))</f>
        <v>120</v>
      </c>
      <c r="O18" s="32" t="s">
        <v>118</v>
      </c>
    </row>
    <row r="19" spans="1:15">
      <c r="A19" s="33" t="s">
        <v>147</v>
      </c>
      <c r="B19" s="29">
        <v>2606</v>
      </c>
      <c r="C19" s="17">
        <v>999910000018</v>
      </c>
      <c r="D19" t="s">
        <v>117</v>
      </c>
      <c r="E19" t="s">
        <v>117</v>
      </c>
      <c r="F19" t="s">
        <v>148</v>
      </c>
      <c r="K19" s="30" t="s"/>
      <c r="L19" t="s">
        <v>149</v>
      </c>
      <c r="M19" s="31" t="s">
        <f>=IF(A19="",0,IF(RIGHT(A19,3)="ECN","NO","YES"))</f>
        <v>120</v>
      </c>
      <c r="O19" s="32" t="s">
        <v>148</v>
      </c>
    </row>
    <row r="20" spans="1:15" s="45" customFormat="1">
      <c r="A20" s="28" t="s">
        <v>150</v>
      </c>
      <c r="B20" s="46">
        <v>2610</v>
      </c>
      <c r="C20" s="36">
        <v>999910000019</v>
      </c>
      <c r="D20" s="33" t="s">
        <v>117</v>
      </c>
      <c r="E20" s="33" t="s">
        <v>117</v>
      </c>
      <c r="F20" s="47" t="s">
        <v>118</v>
      </c>
      <c r="G20" s="33" t="s">
        <v>117</v>
      </c>
      <c r="H20" s="48">
        <v>46326</v>
      </c>
      <c r="I20" s="39" t="s"/>
      <c r="K20" s="40" t="s"/>
      <c r="L20" s="45" t="s"/>
      <c r="M20" s="41" t="s">
        <f>=IF(A20="",0,IF(RIGHT(A20,3)="ECN","NO","YES"))</f>
        <v>151</v>
      </c>
      <c r="N20" s="45" t="s">
        <v>152</v>
      </c>
      <c r="O20" s="42" t="s">
        <v>118</v>
      </c>
    </row>
    <row r="21" spans="1:15">
      <c r="A21" s="33" t="s">
        <v>153</v>
      </c>
      <c r="B21" s="49">
        <v>2605</v>
      </c>
      <c r="C21" s="17">
        <v>999910000020</v>
      </c>
      <c r="D21" t="s">
        <v>117</v>
      </c>
      <c r="E21" t="s">
        <v>117</v>
      </c>
      <c r="F21" t="s">
        <v>118</v>
      </c>
      <c r="H21" s="50">
        <v>46326</v>
      </c>
      <c r="I21" s="51" t="s">
        <v>154</v>
      </c>
      <c r="K21" s="30" t="s"/>
      <c r="M21" s="31" t="s">
        <f>=IF(A21="",0,IF(RIGHT(A21,3)="ECN","NO","YES"))</f>
        <v>151</v>
      </c>
      <c r="O21" s="32" t="s">
        <v>118</v>
      </c>
    </row>
    <row r="22" spans="1:15">
      <c r="A22" s="33" t="s">
        <v>155</v>
      </c>
      <c r="B22" s="49">
        <v>2605</v>
      </c>
      <c r="C22" s="52">
        <v>999910000021</v>
      </c>
      <c r="D22" t="s">
        <v>117</v>
      </c>
      <c r="E22" t="s">
        <v>117</v>
      </c>
      <c r="F22" t="s">
        <v>118</v>
      </c>
      <c r="H22" s="50">
        <v>46326</v>
      </c>
      <c r="I22" s="51" t="s">
        <v>156</v>
      </c>
      <c r="K22" s="30" t="s"/>
      <c r="M22" s="31" t="s">
        <f>=IF(A22="",0,IF(RIGHT(A22,3)="ECN","NO","YES"))</f>
        <v>151</v>
      </c>
      <c r="O22" s="32" t="s">
        <v>118</v>
      </c>
    </row>
    <row r="23" spans="1:15">
      <c r="A23" s="44" t="s">
        <v>157</v>
      </c>
      <c r="B23" s="49">
        <v>1400</v>
      </c>
      <c r="C23" s="53">
        <v>999910000022</v>
      </c>
      <c r="D23" t="s">
        <v>117</v>
      </c>
      <c r="E23" t="s">
        <v>117</v>
      </c>
      <c r="F23" s="54" t="s">
        <v>158</v>
      </c>
      <c r="K23" s="30" t="s"/>
      <c r="L23" t="s">
        <v>159</v>
      </c>
      <c r="M23" s="31" t="s">
        <f>=IF(A23="",0,IF(RIGHT(A23,3)="ECN","NO","YES"))</f>
        <v>120</v>
      </c>
      <c r="O23" s="32" t="s">
        <v>160</v>
      </c>
    </row>
    <row r="24" spans="1:15">
      <c r="A24" s="44" t="s">
        <v>161</v>
      </c>
      <c r="B24" s="49">
        <v>1800</v>
      </c>
      <c r="C24" s="53">
        <v>999910000023</v>
      </c>
      <c r="D24" t="s">
        <v>117</v>
      </c>
      <c r="E24" t="s">
        <v>117</v>
      </c>
      <c r="F24" t="s">
        <v>118</v>
      </c>
      <c r="K24" s="30" t="s"/>
      <c r="L24" t="s">
        <v>162</v>
      </c>
      <c r="M24" s="31" t="s">
        <f>=IF(A24="",0,IF(RIGHT(A24,3)="ECN","NO","YES"))</f>
        <v>120</v>
      </c>
      <c r="O24" s="32" t="s">
        <v>118</v>
      </c>
    </row>
    <row r="25" spans="1:15">
      <c r="A25" s="44" t="s">
        <v>163</v>
      </c>
      <c r="B25" s="49">
        <v>1800</v>
      </c>
      <c r="C25" s="53">
        <v>999910000024</v>
      </c>
      <c r="D25" t="s">
        <v>117</v>
      </c>
      <c r="E25" t="s">
        <v>117</v>
      </c>
      <c r="F25" t="s">
        <v>118</v>
      </c>
      <c r="K25" s="30" t="s"/>
      <c r="L25" t="s">
        <v>164</v>
      </c>
      <c r="M25" s="31" t="s">
        <f>=IF(A25="",0,IF(RIGHT(A25,3)="ECN","NO","YES"))</f>
        <v>120</v>
      </c>
      <c r="O25" s="32" t="s">
        <v>118</v>
      </c>
    </row>
    <row r="26" spans="1:15" s="57" customFormat="1">
      <c r="A26" s="55" t="s">
        <v>165</v>
      </c>
      <c r="B26" s="56">
        <v>2616</v>
      </c>
      <c r="C26" s="53">
        <v>999910000025</v>
      </c>
      <c r="D26" s="57" t="s">
        <v>117</v>
      </c>
      <c r="E26" s="57" t="s">
        <v>117</v>
      </c>
      <c r="F26" s="57" t="s">
        <v>118</v>
      </c>
      <c r="H26" s="58" t="s"/>
      <c r="K26" s="59">
        <v>1526240</v>
      </c>
      <c r="L26" t="s">
        <v>166</v>
      </c>
      <c r="M26" s="60" t="s">
        <f>=IF(A26="",0,IF(RIGHT(A26,3)="ECN","NO","YES"))</f>
        <v>120</v>
      </c>
      <c r="N26" s="57" t="s"/>
      <c r="O26" s="32" t="s">
        <v>118</v>
      </c>
    </row>
    <row r="27" spans="1:15">
      <c r="A27" s="44" t="s">
        <v>167</v>
      </c>
      <c r="B27" s="49">
        <v>1800</v>
      </c>
      <c r="C27" s="53">
        <v>999910000026</v>
      </c>
      <c r="D27" t="s">
        <v>117</v>
      </c>
      <c r="E27" t="s">
        <v>117</v>
      </c>
      <c r="F27" t="s">
        <v>118</v>
      </c>
      <c r="K27" s="30" t="s"/>
      <c r="L27" t="s">
        <v>168</v>
      </c>
      <c r="M27" s="31" t="s">
        <f>=IF(A27="",0,IF(RIGHT(A27,3)="ECN","NO","YES"))</f>
        <v>120</v>
      </c>
      <c r="O27" s="32" t="s">
        <v>118</v>
      </c>
    </row>
    <row r="28" spans="1:15">
      <c r="A28" s="44" t="s">
        <v>169</v>
      </c>
      <c r="B28" s="49">
        <v>1800</v>
      </c>
      <c r="C28" s="53">
        <v>999910000027</v>
      </c>
      <c r="D28" t="s">
        <v>117</v>
      </c>
      <c r="E28" t="s">
        <v>117</v>
      </c>
      <c r="F28" s="61" t="s">
        <v>160</v>
      </c>
      <c r="K28" s="30" t="s"/>
      <c r="L28" t="s">
        <v>170</v>
      </c>
      <c r="M28" s="31" t="s">
        <f>=IF(A28="",0,IF(RIGHT(A28,3)="ECN","NO","YES"))</f>
        <v>120</v>
      </c>
      <c r="O28" s="32" t="s">
        <v>148</v>
      </c>
    </row>
    <row r="29" spans="1:15">
      <c r="A29" s="44" t="s">
        <v>171</v>
      </c>
      <c r="B29" s="49">
        <v>1800</v>
      </c>
      <c r="C29" s="53">
        <v>999910000028</v>
      </c>
      <c r="D29" t="s">
        <v>117</v>
      </c>
      <c r="E29" t="s">
        <v>117</v>
      </c>
      <c r="F29" t="s">
        <v>118</v>
      </c>
      <c r="K29" s="30" t="s"/>
      <c r="L29" t="s">
        <v>172</v>
      </c>
      <c r="M29" s="31" t="s">
        <f>=IF(A29="",0,IF(RIGHT(A29,3)="ECN","NO","YES"))</f>
        <v>120</v>
      </c>
      <c r="O29" s="32" t="s">
        <v>118</v>
      </c>
    </row>
    <row r="30" spans="1:15">
      <c r="A30" s="44" t="s">
        <v>173</v>
      </c>
      <c r="B30" s="49">
        <v>1800</v>
      </c>
      <c r="C30" s="53">
        <v>999910000029</v>
      </c>
      <c r="D30" t="s">
        <v>117</v>
      </c>
      <c r="E30" t="s">
        <v>117</v>
      </c>
      <c r="F30" t="s">
        <v>118</v>
      </c>
      <c r="K30" s="30" t="s"/>
      <c r="L30" t="s">
        <v>174</v>
      </c>
      <c r="M30" s="31" t="s">
        <f>=IF(A30="",0,IF(RIGHT(A30,3)="ECN","NO","YES"))</f>
        <v>120</v>
      </c>
      <c r="O30" s="32" t="s">
        <v>118</v>
      </c>
    </row>
    <row r="31" spans="1:15" s="45" customFormat="1">
      <c r="A31" s="44" t="s">
        <v>175</v>
      </c>
      <c r="B31" s="46">
        <v>1800</v>
      </c>
      <c r="C31" s="62">
        <v>999910000030</v>
      </c>
      <c r="D31" s="33" t="s">
        <v>117</v>
      </c>
      <c r="E31" s="33" t="s">
        <v>117</v>
      </c>
      <c r="F31" s="61" t="s">
        <v>160</v>
      </c>
      <c r="H31" s="38" t="s"/>
      <c r="I31" s="39" t="s"/>
      <c r="K31" s="40" t="s"/>
      <c r="L31" s="33" t="s">
        <v>176</v>
      </c>
      <c r="M31" s="41" t="s">
        <f>=IF(A31="",0,IF(RIGHT(A31,3)="ECN","NO","YES"))</f>
        <v>120</v>
      </c>
      <c r="O31" s="42" t="s">
        <v>160</v>
      </c>
    </row>
    <row r="32" spans="1:15">
      <c r="A32" s="44" t="s">
        <v>177</v>
      </c>
      <c r="B32" s="49">
        <v>1800</v>
      </c>
      <c r="C32" s="53">
        <v>999910000031</v>
      </c>
      <c r="D32" t="s">
        <v>117</v>
      </c>
      <c r="E32" t="s">
        <v>117</v>
      </c>
      <c r="F32" t="s">
        <v>118</v>
      </c>
      <c r="K32" s="30" t="s"/>
      <c r="L32" t="s">
        <v>178</v>
      </c>
      <c r="M32" s="31" t="s">
        <f>=IF(A32="",0,IF(RIGHT(A32,3)="ECN","NO","YES"))</f>
        <v>120</v>
      </c>
      <c r="O32" s="32" t="s">
        <v>118</v>
      </c>
    </row>
    <row r="33" spans="1:15">
      <c r="A33" s="44" t="s">
        <v>179</v>
      </c>
      <c r="B33" s="49">
        <v>1800</v>
      </c>
      <c r="C33" s="53">
        <v>999910000032</v>
      </c>
      <c r="D33" t="s">
        <v>117</v>
      </c>
      <c r="E33" t="s">
        <v>117</v>
      </c>
      <c r="F33" t="s">
        <v>118</v>
      </c>
      <c r="K33" s="30" t="s"/>
      <c r="L33" t="s">
        <v>180</v>
      </c>
      <c r="M33" s="31" t="s">
        <f>=IF(A33="",0,IF(RIGHT(A33,3)="ECN","NO","YES"))</f>
        <v>120</v>
      </c>
      <c r="O33" s="32" t="s">
        <v>118</v>
      </c>
    </row>
    <row r="34" spans="1:15">
      <c r="A34" s="44" t="s">
        <v>181</v>
      </c>
      <c r="B34" s="49">
        <v>1800</v>
      </c>
      <c r="C34" s="53">
        <v>999910000033</v>
      </c>
      <c r="D34" t="s">
        <v>117</v>
      </c>
      <c r="E34" t="s">
        <v>117</v>
      </c>
      <c r="F34" t="s">
        <v>118</v>
      </c>
      <c r="K34" s="30" t="s"/>
      <c r="L34" t="s">
        <v>182</v>
      </c>
      <c r="M34" s="31" t="s">
        <f>=IF(A34="",0,IF(RIGHT(A34,3)="ECN","NO","YES"))</f>
        <v>120</v>
      </c>
      <c r="O34" s="32" t="s">
        <v>118</v>
      </c>
    </row>
    <row r="35" spans="1:15">
      <c r="A35" s="44" t="s">
        <v>183</v>
      </c>
      <c r="B35" s="49">
        <v>1800</v>
      </c>
      <c r="C35" s="53">
        <v>999910000034</v>
      </c>
      <c r="D35" t="s">
        <v>117</v>
      </c>
      <c r="E35" t="s">
        <v>117</v>
      </c>
      <c r="F35" t="s">
        <v>118</v>
      </c>
      <c r="K35" s="30" t="s"/>
      <c r="L35" t="s">
        <v>184</v>
      </c>
      <c r="M35" s="31" t="s">
        <f>=IF(A35="",0,IF(RIGHT(A35,3)="ECN","NO","YES"))</f>
        <v>120</v>
      </c>
      <c r="O35" s="32" t="s">
        <v>118</v>
      </c>
    </row>
    <row r="36" spans="1:15">
      <c r="A36" s="44" t="s">
        <v>185</v>
      </c>
      <c r="B36" s="49">
        <v>1800</v>
      </c>
      <c r="C36" s="53">
        <v>999910000035</v>
      </c>
      <c r="D36" t="s">
        <v>117</v>
      </c>
      <c r="E36" t="s">
        <v>117</v>
      </c>
      <c r="F36" t="s">
        <v>118</v>
      </c>
      <c r="K36" s="30" t="s"/>
      <c r="L36" t="s">
        <v>186</v>
      </c>
      <c r="M36" s="31" t="s">
        <f>=IF(A36="",0,IF(RIGHT(A36,3)="ECN","NO","YES"))</f>
        <v>120</v>
      </c>
      <c r="O36" s="32" t="s">
        <v>118</v>
      </c>
    </row>
    <row r="37" spans="1:15">
      <c r="A37" s="44" t="s">
        <v>187</v>
      </c>
      <c r="B37" s="49">
        <v>1800</v>
      </c>
      <c r="C37" s="53">
        <v>999910000036</v>
      </c>
      <c r="D37" t="s">
        <v>117</v>
      </c>
      <c r="E37" t="s">
        <v>117</v>
      </c>
      <c r="F37" t="s">
        <v>118</v>
      </c>
      <c r="K37" s="30" t="s"/>
      <c r="L37" t="s">
        <v>188</v>
      </c>
      <c r="M37" s="31" t="s">
        <f>=IF(A37="",0,IF(RIGHT(A37,3)="ECN","NO","YES"))</f>
        <v>120</v>
      </c>
      <c r="O37" s="32" t="s">
        <v>118</v>
      </c>
    </row>
    <row r="38" spans="1:15">
      <c r="A38" s="44" t="s">
        <v>189</v>
      </c>
      <c r="B38" s="49">
        <v>1800</v>
      </c>
      <c r="C38" s="53">
        <v>999910000037</v>
      </c>
      <c r="D38" t="s">
        <v>117</v>
      </c>
      <c r="E38" t="s">
        <v>117</v>
      </c>
      <c r="F38" t="s">
        <v>118</v>
      </c>
      <c r="K38" s="30" t="s"/>
      <c r="L38" t="s">
        <v>190</v>
      </c>
      <c r="M38" s="31" t="s">
        <f>=IF(A38="",0,IF(RIGHT(A38,3)="ECN","NO","YES"))</f>
        <v>120</v>
      </c>
      <c r="O38" s="32" t="s">
        <v>118</v>
      </c>
    </row>
    <row r="39" spans="1:15">
      <c r="A39" s="44" t="s">
        <v>191</v>
      </c>
      <c r="B39" s="49">
        <v>1800</v>
      </c>
      <c r="C39" s="53">
        <v>999910000038</v>
      </c>
      <c r="D39" t="s">
        <v>117</v>
      </c>
      <c r="E39" t="s">
        <v>117</v>
      </c>
      <c r="F39" t="s">
        <v>118</v>
      </c>
      <c r="K39" s="30" t="s"/>
      <c r="L39" t="s">
        <v>192</v>
      </c>
      <c r="M39" s="31" t="s">
        <f>=IF(A39="",0,IF(RIGHT(A39,3)="ECN","NO","YES"))</f>
        <v>120</v>
      </c>
      <c r="O39" s="32" t="s">
        <v>118</v>
      </c>
    </row>
    <row r="40" spans="1:15">
      <c r="A40" s="44" t="s">
        <v>193</v>
      </c>
      <c r="B40" s="49">
        <v>1800</v>
      </c>
      <c r="C40" s="53">
        <v>999910000039</v>
      </c>
      <c r="D40" t="s">
        <v>117</v>
      </c>
      <c r="E40" t="s">
        <v>117</v>
      </c>
      <c r="F40" t="s">
        <v>118</v>
      </c>
      <c r="K40" s="30" t="s"/>
      <c r="L40" t="s">
        <v>194</v>
      </c>
      <c r="M40" s="31" t="s">
        <f>=IF(A40="",0,IF(RIGHT(A40,3)="ECN","NO","YES"))</f>
        <v>120</v>
      </c>
      <c r="O40" s="32" t="s">
        <v>118</v>
      </c>
    </row>
    <row r="41" spans="1:15">
      <c r="A41" s="44" t="s">
        <v>195</v>
      </c>
      <c r="B41" s="49">
        <v>1800</v>
      </c>
      <c r="C41" s="53">
        <v>999910000040</v>
      </c>
      <c r="D41" t="s">
        <v>117</v>
      </c>
      <c r="E41" t="s">
        <v>117</v>
      </c>
      <c r="F41" t="s">
        <v>118</v>
      </c>
      <c r="K41" s="30" t="s"/>
      <c r="L41" t="s">
        <v>196</v>
      </c>
      <c r="M41" s="31" t="s">
        <f>=IF(A41="",0,IF(RIGHT(A41,3)="ECN","NO","YES"))</f>
        <v>120</v>
      </c>
      <c r="O41" s="32" t="s">
        <v>118</v>
      </c>
    </row>
    <row r="42" spans="1:15">
      <c r="A42" s="44" t="s">
        <v>197</v>
      </c>
      <c r="B42" s="49">
        <v>1800</v>
      </c>
      <c r="C42" s="53">
        <v>999910000041</v>
      </c>
      <c r="D42" t="s">
        <v>117</v>
      </c>
      <c r="E42" t="s">
        <v>117</v>
      </c>
      <c r="F42" t="s">
        <v>118</v>
      </c>
      <c r="K42" s="30" t="s"/>
      <c r="L42" t="s">
        <v>198</v>
      </c>
      <c r="M42" s="31" t="s">
        <f>=IF(A42="",0,IF(RIGHT(A42,3)="ECN","NO","YES"))</f>
        <v>120</v>
      </c>
      <c r="O42" s="32" t="s">
        <v>118</v>
      </c>
    </row>
    <row r="43" spans="1:15">
      <c r="A43" s="44" t="s">
        <v>199</v>
      </c>
      <c r="B43" s="49">
        <v>1800</v>
      </c>
      <c r="C43" s="53">
        <v>999910000042</v>
      </c>
      <c r="D43" t="s">
        <v>117</v>
      </c>
      <c r="E43" t="s">
        <v>117</v>
      </c>
      <c r="F43" s="63" t="s">
        <v>200</v>
      </c>
      <c r="K43" s="30" t="s"/>
      <c r="L43" t="s">
        <v>201</v>
      </c>
      <c r="M43" s="31" t="s">
        <f>=IF(A43="",0,IF(RIGHT(A43,3)="ECN","NO","YES"))</f>
        <v>120</v>
      </c>
      <c r="O43" s="32" t="s">
        <v>148</v>
      </c>
    </row>
    <row r="44" spans="1:15">
      <c r="A44" s="44" t="s">
        <v>202</v>
      </c>
      <c r="B44" s="49">
        <v>1800</v>
      </c>
      <c r="C44" s="53">
        <v>999910000043</v>
      </c>
      <c r="D44" t="s">
        <v>117</v>
      </c>
      <c r="E44" t="s">
        <v>117</v>
      </c>
      <c r="F44" t="s">
        <v>118</v>
      </c>
      <c r="K44" s="30" t="s"/>
      <c r="L44" t="s">
        <v>203</v>
      </c>
      <c r="M44" s="31" t="s">
        <f>=IF(A44="",0,IF(RIGHT(A44,3)="ECN","NO","YES"))</f>
        <v>120</v>
      </c>
      <c r="O44" s="32" t="s">
        <v>118</v>
      </c>
    </row>
    <row r="45" spans="1:15">
      <c r="A45" s="44" t="s">
        <v>204</v>
      </c>
      <c r="B45" s="49">
        <v>1800</v>
      </c>
      <c r="C45" s="53">
        <v>999910000044</v>
      </c>
      <c r="D45" t="s">
        <v>117</v>
      </c>
      <c r="E45" t="s">
        <v>117</v>
      </c>
      <c r="F45" t="s">
        <v>118</v>
      </c>
      <c r="K45" s="30" t="s"/>
      <c r="L45" t="s">
        <v>205</v>
      </c>
      <c r="M45" s="31" t="s">
        <f>=IF(A45="",0,IF(RIGHT(A45,3)="ECN","NO","YES"))</f>
        <v>120</v>
      </c>
      <c r="O45" s="32" t="s">
        <v>118</v>
      </c>
    </row>
    <row r="46" spans="1:15">
      <c r="A46" s="44" t="s">
        <v>206</v>
      </c>
      <c r="B46" s="49">
        <v>1800</v>
      </c>
      <c r="C46" s="53">
        <v>999910000045</v>
      </c>
      <c r="D46" t="s">
        <v>117</v>
      </c>
      <c r="E46" t="s">
        <v>117</v>
      </c>
      <c r="F46" t="s">
        <v>118</v>
      </c>
      <c r="K46" s="30" t="s"/>
      <c r="L46" t="s">
        <v>207</v>
      </c>
      <c r="M46" s="31" t="s">
        <f>=IF(A46="",0,IF(RIGHT(A46,3)="ECN","NO","YES"))</f>
        <v>120</v>
      </c>
      <c r="O46" s="32" t="s">
        <v>118</v>
      </c>
    </row>
    <row r="47" spans="1:15">
      <c r="A47" s="44" t="s">
        <v>208</v>
      </c>
      <c r="B47" s="49">
        <v>1800</v>
      </c>
      <c r="C47" s="53">
        <v>999910000046</v>
      </c>
      <c r="D47" t="s">
        <v>117</v>
      </c>
      <c r="E47" t="s">
        <v>117</v>
      </c>
      <c r="F47" t="s">
        <v>118</v>
      </c>
      <c r="K47" s="30" t="s"/>
      <c r="L47" t="s">
        <v>209</v>
      </c>
      <c r="M47" s="31" t="s">
        <f>=IF(A47="",0,IF(RIGHT(A47,3)="ECN","NO","YES"))</f>
        <v>120</v>
      </c>
      <c r="O47" s="32" t="s">
        <v>118</v>
      </c>
    </row>
    <row r="48" spans="1:15">
      <c r="A48" s="44" t="s">
        <v>210</v>
      </c>
      <c r="B48" s="49">
        <v>1800</v>
      </c>
      <c r="C48" s="53">
        <v>999910000047</v>
      </c>
      <c r="D48" t="s">
        <v>117</v>
      </c>
      <c r="E48" t="s">
        <v>117</v>
      </c>
      <c r="F48" t="s">
        <v>118</v>
      </c>
      <c r="K48" s="30" t="s"/>
      <c r="L48" t="s">
        <v>211</v>
      </c>
      <c r="M48" s="31" t="s">
        <f>=IF(A48="",0,IF(RIGHT(A48,3)="ECN","NO","YES"))</f>
        <v>120</v>
      </c>
      <c r="O48" s="32" t="s">
        <v>118</v>
      </c>
    </row>
    <row r="49" spans="1:15">
      <c r="A49" s="44" t="s">
        <v>212</v>
      </c>
      <c r="B49" s="49">
        <v>1800</v>
      </c>
      <c r="C49" s="53">
        <v>999910000048</v>
      </c>
      <c r="D49" t="s">
        <v>117</v>
      </c>
      <c r="E49" t="s">
        <v>117</v>
      </c>
      <c r="F49" t="s">
        <v>118</v>
      </c>
      <c r="K49" s="30" t="s"/>
      <c r="L49" t="s">
        <v>213</v>
      </c>
      <c r="M49" s="31" t="s">
        <f>=IF(A49="",0,IF(RIGHT(A49,3)="ECN","NO","YES"))</f>
        <v>120</v>
      </c>
      <c r="O49" s="32" t="s">
        <v>118</v>
      </c>
    </row>
    <row r="50" spans="1:15">
      <c r="A50" s="44" t="s">
        <v>214</v>
      </c>
      <c r="B50" s="49">
        <v>1800</v>
      </c>
      <c r="C50" s="53">
        <v>999910000049</v>
      </c>
      <c r="D50" t="s">
        <v>117</v>
      </c>
      <c r="E50" t="s">
        <v>117</v>
      </c>
      <c r="F50" t="s">
        <v>118</v>
      </c>
      <c r="K50" s="30" t="s"/>
      <c r="L50" t="s">
        <v>215</v>
      </c>
      <c r="M50" s="31" t="s">
        <f>=IF(A50="",0,IF(RIGHT(A50,3)="ECN","NO","YES"))</f>
        <v>120</v>
      </c>
      <c r="O50" s="32" t="s">
        <v>118</v>
      </c>
    </row>
    <row r="51" spans="1:15">
      <c r="A51" s="44" t="s">
        <v>216</v>
      </c>
      <c r="B51" s="49">
        <v>1800</v>
      </c>
      <c r="C51" s="53">
        <v>999910000050</v>
      </c>
      <c r="D51" t="s">
        <v>117</v>
      </c>
      <c r="E51" t="s">
        <v>117</v>
      </c>
      <c r="F51" t="s">
        <v>118</v>
      </c>
      <c r="K51" s="30" t="s"/>
      <c r="L51" t="s">
        <v>217</v>
      </c>
      <c r="M51" s="31" t="s">
        <f>=IF(A51="",0,IF(RIGHT(A51,3)="ECN","NO","YES"))</f>
        <v>120</v>
      </c>
      <c r="O51" s="32" t="s">
        <v>118</v>
      </c>
    </row>
    <row r="52" spans="1:15">
      <c r="A52" s="44" t="s">
        <v>218</v>
      </c>
      <c r="B52" s="49">
        <v>1800</v>
      </c>
      <c r="C52" s="53">
        <v>999910000051</v>
      </c>
      <c r="D52" t="s">
        <v>117</v>
      </c>
      <c r="E52" t="s">
        <v>117</v>
      </c>
      <c r="F52" t="s">
        <v>118</v>
      </c>
      <c r="K52" s="30" t="s"/>
      <c r="L52" t="s">
        <v>219</v>
      </c>
      <c r="M52" s="31" t="s">
        <f>=IF(A52="",0,IF(RIGHT(A52,3)="ECN","NO","YES"))</f>
        <v>120</v>
      </c>
      <c r="O52" s="32" t="s">
        <v>118</v>
      </c>
    </row>
    <row r="53" spans="1:15">
      <c r="A53" s="44" t="s">
        <v>220</v>
      </c>
      <c r="B53" s="49">
        <v>1800</v>
      </c>
      <c r="C53" s="53">
        <v>999910000052</v>
      </c>
      <c r="D53" t="s">
        <v>117</v>
      </c>
      <c r="E53" t="s">
        <v>117</v>
      </c>
      <c r="F53" t="s">
        <v>118</v>
      </c>
      <c r="K53" s="30" t="s"/>
      <c r="L53" t="s">
        <v>221</v>
      </c>
      <c r="M53" s="31" t="s">
        <f>=IF(A53="",0,IF(RIGHT(A53,3)="ECN","NO","YES"))</f>
        <v>120</v>
      </c>
      <c r="O53" s="32" t="s">
        <v>118</v>
      </c>
    </row>
    <row r="54" spans="1:15">
      <c r="A54" s="44" t="s">
        <v>222</v>
      </c>
      <c r="B54" s="49">
        <v>1800</v>
      </c>
      <c r="C54" s="53">
        <v>999910000053</v>
      </c>
      <c r="D54" t="s">
        <v>117</v>
      </c>
      <c r="E54" t="s">
        <v>117</v>
      </c>
      <c r="F54" t="s">
        <v>118</v>
      </c>
      <c r="K54" s="30" t="s"/>
      <c r="L54" t="s">
        <v>223</v>
      </c>
      <c r="M54" s="31" t="s">
        <f>=IF(A54="",0,IF(RIGHT(A54,3)="ECN","NO","YES"))</f>
        <v>120</v>
      </c>
      <c r="O54" s="32" t="s">
        <v>118</v>
      </c>
    </row>
    <row r="55" spans="1:15">
      <c r="A55" s="44" t="s">
        <v>224</v>
      </c>
      <c r="B55" s="49">
        <v>1800</v>
      </c>
      <c r="C55" s="53">
        <v>999910000054</v>
      </c>
      <c r="D55" t="s">
        <v>117</v>
      </c>
      <c r="E55" t="s">
        <v>117</v>
      </c>
      <c r="F55" t="s">
        <v>118</v>
      </c>
      <c r="K55" s="30" t="s"/>
      <c r="L55" t="s">
        <v>225</v>
      </c>
      <c r="M55" s="31" t="s">
        <f>=IF(A55="",0,IF(RIGHT(A55,3)="ECN","NO","YES"))</f>
        <v>120</v>
      </c>
      <c r="O55" s="32" t="s">
        <v>118</v>
      </c>
    </row>
    <row r="56" spans="1:15">
      <c r="A56" s="44" t="s">
        <v>226</v>
      </c>
      <c r="B56" s="49">
        <v>1800</v>
      </c>
      <c r="C56" s="53">
        <v>999910000055</v>
      </c>
      <c r="D56" t="s">
        <v>117</v>
      </c>
      <c r="E56" t="s">
        <v>117</v>
      </c>
      <c r="F56" t="s">
        <v>118</v>
      </c>
      <c r="K56" s="30" t="s"/>
      <c r="L56" t="s">
        <v>227</v>
      </c>
      <c r="M56" s="31" t="s">
        <f>=IF(A56="",0,IF(RIGHT(A56,3)="ECN","NO","YES"))</f>
        <v>120</v>
      </c>
      <c r="O56" s="32" t="s">
        <v>118</v>
      </c>
    </row>
    <row r="57" spans="1:15">
      <c r="A57" s="44" t="s">
        <v>228</v>
      </c>
      <c r="B57" s="49">
        <v>1800</v>
      </c>
      <c r="C57" s="53">
        <v>999910000056</v>
      </c>
      <c r="D57" t="s">
        <v>117</v>
      </c>
      <c r="E57" t="s">
        <v>117</v>
      </c>
      <c r="F57" t="s">
        <v>118</v>
      </c>
      <c r="K57" s="30" t="s"/>
      <c r="L57" t="s">
        <v>229</v>
      </c>
      <c r="M57" s="31" t="s">
        <f>=IF(A57="",0,IF(RIGHT(A57,3)="ECN","NO","YES"))</f>
        <v>120</v>
      </c>
      <c r="O57" s="32" t="s">
        <v>118</v>
      </c>
    </row>
    <row r="58" spans="1:15">
      <c r="A58" s="44" t="s">
        <v>230</v>
      </c>
      <c r="B58" s="49">
        <v>1800</v>
      </c>
      <c r="C58" s="53">
        <v>999910000057</v>
      </c>
      <c r="D58" t="s">
        <v>117</v>
      </c>
      <c r="E58" t="s">
        <v>117</v>
      </c>
      <c r="F58" t="s">
        <v>118</v>
      </c>
      <c r="K58" s="30" t="s"/>
      <c r="L58" t="s">
        <v>231</v>
      </c>
      <c r="M58" s="31" t="s">
        <f>=IF(A58="",0,IF(RIGHT(A58,3)="ECN","NO","YES"))</f>
        <v>120</v>
      </c>
      <c r="O58" s="32" t="s">
        <v>118</v>
      </c>
    </row>
    <row r="59" spans="1:15">
      <c r="A59" s="44" t="s">
        <v>232</v>
      </c>
      <c r="B59" s="49">
        <v>1800</v>
      </c>
      <c r="C59" s="53">
        <v>999910000058</v>
      </c>
      <c r="D59" t="s">
        <v>117</v>
      </c>
      <c r="E59" t="s">
        <v>117</v>
      </c>
      <c r="F59" t="s">
        <v>118</v>
      </c>
      <c r="K59" s="30" t="s"/>
      <c r="L59" t="s">
        <v>233</v>
      </c>
      <c r="M59" s="31" t="s">
        <f>=IF(A59="",0,IF(RIGHT(A59,3)="ECN","NO","YES"))</f>
        <v>120</v>
      </c>
      <c r="O59" s="32" t="s">
        <v>118</v>
      </c>
    </row>
    <row r="60" spans="1:15">
      <c r="A60" s="44" t="s">
        <v>234</v>
      </c>
      <c r="B60" s="49">
        <v>1800</v>
      </c>
      <c r="C60" s="53">
        <v>999910000059</v>
      </c>
      <c r="D60" t="s">
        <v>117</v>
      </c>
      <c r="E60" t="s">
        <v>117</v>
      </c>
      <c r="F60" t="s">
        <v>118</v>
      </c>
      <c r="K60" s="30" t="s"/>
      <c r="L60" t="s">
        <v>235</v>
      </c>
      <c r="M60" s="31" t="s">
        <f>=IF(A60="",0,IF(RIGHT(A60,3)="ECN","NO","YES"))</f>
        <v>120</v>
      </c>
      <c r="O60" s="32" t="s">
        <v>118</v>
      </c>
    </row>
    <row r="61" spans="1:15">
      <c r="A61" s="44" t="s">
        <v>236</v>
      </c>
      <c r="B61" s="49">
        <v>1800</v>
      </c>
      <c r="C61" s="53">
        <v>999910000060</v>
      </c>
      <c r="D61" t="s">
        <v>117</v>
      </c>
      <c r="E61" t="s">
        <v>117</v>
      </c>
      <c r="F61" t="s">
        <v>118</v>
      </c>
      <c r="K61" s="30" t="s"/>
      <c r="L61" t="s">
        <v>237</v>
      </c>
      <c r="M61" s="31" t="s">
        <f>=IF(A61="",0,IF(RIGHT(A61,3)="ECN","NO","YES"))</f>
        <v>120</v>
      </c>
      <c r="O61" s="32" t="s">
        <v>118</v>
      </c>
    </row>
    <row r="62" spans="1:15">
      <c r="A62" s="44" t="s">
        <v>238</v>
      </c>
      <c r="B62" s="49">
        <v>2600</v>
      </c>
      <c r="C62" s="53">
        <v>999910000061</v>
      </c>
      <c r="D62" t="s">
        <v>117</v>
      </c>
      <c r="E62" t="s">
        <v>117</v>
      </c>
      <c r="F62" t="s">
        <v>118</v>
      </c>
      <c r="K62" s="30" t="s"/>
      <c r="L62" t="s">
        <v>239</v>
      </c>
      <c r="M62" s="31" t="s">
        <f>=IF(A62="",0,IF(RIGHT(A62,3)="ECN","NO","YES"))</f>
        <v>120</v>
      </c>
      <c r="O62" s="32" t="s">
        <v>118</v>
      </c>
    </row>
    <row r="63" spans="1:15">
      <c r="A63" s="44" t="s">
        <v>240</v>
      </c>
      <c r="B63" s="49">
        <v>2616</v>
      </c>
      <c r="C63" s="53">
        <v>999910000062</v>
      </c>
      <c r="D63" t="s">
        <v>117</v>
      </c>
      <c r="E63" t="s">
        <v>117</v>
      </c>
      <c r="F63" t="s">
        <v>148</v>
      </c>
      <c r="K63" s="30" t="s"/>
      <c r="L63" t="s">
        <v>241</v>
      </c>
      <c r="M63" s="31" t="s">
        <f>=IF(A63="",0,IF(RIGHT(A63,3)="ECN","NO","YES"))</f>
        <v>120</v>
      </c>
      <c r="O63" s="32" t="s">
        <v>148</v>
      </c>
    </row>
    <row r="64" spans="1:15">
      <c r="A64" s="44" t="s">
        <v>242</v>
      </c>
      <c r="B64" s="49">
        <v>2616</v>
      </c>
      <c r="C64" s="53">
        <v>999910000063</v>
      </c>
      <c r="D64" t="s">
        <v>117</v>
      </c>
      <c r="E64" t="s">
        <v>117</v>
      </c>
      <c r="F64" t="s">
        <v>118</v>
      </c>
      <c r="K64" s="30" t="s"/>
      <c r="L64" t="s">
        <v>243</v>
      </c>
      <c r="M64" s="31" t="s">
        <f>=IF(A64="",0,IF(RIGHT(A64,3)="ECN","NO","YES"))</f>
        <v>120</v>
      </c>
      <c r="O64" s="32" t="s">
        <v>118</v>
      </c>
    </row>
    <row r="65" spans="1:15">
      <c r="A65" s="44" t="s">
        <v>244</v>
      </c>
      <c r="B65" s="49">
        <v>2624</v>
      </c>
      <c r="C65" s="53">
        <v>999910000064</v>
      </c>
      <c r="D65" t="s">
        <v>117</v>
      </c>
      <c r="E65" t="s">
        <v>117</v>
      </c>
      <c r="F65" t="s">
        <v>118</v>
      </c>
      <c r="K65" s="30" t="s"/>
      <c r="L65" t="s">
        <v>245</v>
      </c>
      <c r="M65" s="31" t="s">
        <f>=IF(A65="",0,IF(RIGHT(A65,3)="ECN","NO","YES"))</f>
        <v>120</v>
      </c>
      <c r="O65" s="32" t="s">
        <v>118</v>
      </c>
    </row>
    <row r="66" spans="1:15">
      <c r="A66" s="44" t="s">
        <v>246</v>
      </c>
      <c r="B66" s="49">
        <v>2616</v>
      </c>
      <c r="C66" s="53">
        <v>999910000065</v>
      </c>
      <c r="D66" t="s">
        <v>117</v>
      </c>
      <c r="E66" t="s">
        <v>117</v>
      </c>
      <c r="F66" t="s">
        <v>118</v>
      </c>
      <c r="K66" s="30" t="s"/>
      <c r="L66" t="s">
        <v>247</v>
      </c>
      <c r="M66" s="31" t="s">
        <f>=IF(A66="",0,IF(RIGHT(A66,3)="ECN","NO","YES"))</f>
        <v>120</v>
      </c>
      <c r="O66" s="32" t="s">
        <v>118</v>
      </c>
    </row>
    <row r="67" spans="1:15">
      <c r="A67" s="44" t="s">
        <v>248</v>
      </c>
      <c r="B67" s="49">
        <v>2600</v>
      </c>
      <c r="C67" s="53">
        <v>999910000066</v>
      </c>
      <c r="D67" t="s">
        <v>117</v>
      </c>
      <c r="E67" t="s">
        <v>117</v>
      </c>
      <c r="F67" t="s">
        <v>118</v>
      </c>
      <c r="K67" s="30" t="s"/>
      <c r="L67" t="s">
        <v>249</v>
      </c>
      <c r="M67" s="31" t="s">
        <f>=IF(A67="",0,IF(RIGHT(A67,3)="ECN","NO","YES"))</f>
        <v>120</v>
      </c>
      <c r="O67" s="32" t="s">
        <v>118</v>
      </c>
    </row>
    <row r="68" spans="1:15">
      <c r="A68" s="44" t="s">
        <v>250</v>
      </c>
      <c r="B68" s="49">
        <v>2600</v>
      </c>
      <c r="C68" s="53">
        <v>999910000067</v>
      </c>
      <c r="D68" t="s">
        <v>117</v>
      </c>
      <c r="E68" t="s">
        <v>117</v>
      </c>
      <c r="F68" t="s">
        <v>118</v>
      </c>
      <c r="K68" s="30" t="s"/>
      <c r="L68" s="64" t="s">
        <v>251</v>
      </c>
      <c r="M68" s="31" t="s">
        <f>=IF(A68="",0,IF(RIGHT(A68,3)="ECN","NO","YES"))</f>
        <v>120</v>
      </c>
      <c r="O68" s="32" t="s">
        <v>118</v>
      </c>
    </row>
    <row r="69" spans="1:15">
      <c r="A69" s="44" t="s">
        <v>252</v>
      </c>
      <c r="B69" s="49">
        <v>2600</v>
      </c>
      <c r="C69" s="53">
        <v>999910000068</v>
      </c>
      <c r="D69" t="s">
        <v>117</v>
      </c>
      <c r="E69" t="s">
        <v>117</v>
      </c>
      <c r="F69" t="s">
        <v>118</v>
      </c>
      <c r="K69" s="30" t="s"/>
      <c r="L69" t="s">
        <v>253</v>
      </c>
      <c r="M69" s="31" t="s">
        <f>=IF(A69="",0,IF(RIGHT(A69,3)="ECN","NO","YES"))</f>
        <v>120</v>
      </c>
      <c r="O69" s="32" t="s">
        <v>118</v>
      </c>
    </row>
    <row r="70" spans="1:15">
      <c r="A70" s="44" t="s">
        <v>254</v>
      </c>
      <c r="B70" s="49">
        <v>2600</v>
      </c>
      <c r="C70" s="53">
        <v>999910000069</v>
      </c>
      <c r="D70" t="s">
        <v>117</v>
      </c>
      <c r="E70" t="s">
        <v>117</v>
      </c>
      <c r="F70" t="s">
        <v>118</v>
      </c>
      <c r="K70" s="30" t="s"/>
      <c r="L70" t="s">
        <v>255</v>
      </c>
      <c r="M70" s="31" t="s">
        <f>=IF(A70="",0,IF(RIGHT(A70,3)="ECN","NO","YES"))</f>
        <v>120</v>
      </c>
      <c r="O70" s="32" t="s">
        <v>118</v>
      </c>
    </row>
    <row r="71" spans="1:15">
      <c r="A71" s="44" t="s">
        <v>256</v>
      </c>
      <c r="B71" s="49">
        <v>2600</v>
      </c>
      <c r="C71" s="53">
        <v>999910000070</v>
      </c>
      <c r="D71" t="s">
        <v>117</v>
      </c>
      <c r="E71" t="s">
        <v>117</v>
      </c>
      <c r="F71" t="s">
        <v>118</v>
      </c>
      <c r="K71" s="30" t="s"/>
      <c r="L71" t="s">
        <v>257</v>
      </c>
      <c r="M71" s="31" t="s">
        <f>=IF(A71="",0,IF(RIGHT(A71,3)="ECN","NO","YES"))</f>
        <v>120</v>
      </c>
      <c r="O71" s="32" t="s">
        <v>118</v>
      </c>
    </row>
    <row r="72" spans="1:15" s="45" customFormat="1">
      <c r="A72" s="44" t="s">
        <v>258</v>
      </c>
      <c r="B72" s="46">
        <v>2600</v>
      </c>
      <c r="C72" s="62">
        <v>999910000071</v>
      </c>
      <c r="D72" s="33" t="s">
        <v>117</v>
      </c>
      <c r="E72" s="33" t="s">
        <v>117</v>
      </c>
      <c r="F72" s="33" t="s">
        <v>118</v>
      </c>
      <c r="H72" s="38" t="s"/>
      <c r="I72" s="39" t="s"/>
      <c r="K72" s="40" t="s"/>
      <c r="L72" s="33" t="s">
        <v>259</v>
      </c>
      <c r="M72" s="65" t="s">
        <f>=IF(A72="",0,IF(RIGHT(A72,3)="ECN","NO","YES"))</f>
        <v>120</v>
      </c>
      <c r="O72" s="42" t="s">
        <v>118</v>
      </c>
    </row>
    <row r="73" spans="1:15">
      <c r="A73" s="44" t="s">
        <v>260</v>
      </c>
      <c r="B73" s="49">
        <v>2624</v>
      </c>
      <c r="C73" s="53">
        <v>999910000072</v>
      </c>
      <c r="D73" t="s">
        <v>117</v>
      </c>
      <c r="E73" t="s">
        <v>117</v>
      </c>
      <c r="F73" t="s">
        <v>118</v>
      </c>
      <c r="K73" s="30" t="s"/>
      <c r="L73" t="s">
        <v>261</v>
      </c>
      <c r="M73" s="31" t="s">
        <f>=IF(A73="",0,IF(RIGHT(A73,3)="ECN","NO","YES"))</f>
        <v>120</v>
      </c>
      <c r="O73" s="32" t="s">
        <v>118</v>
      </c>
    </row>
    <row r="74" spans="1:15">
      <c r="A74" s="44" t="s">
        <v>262</v>
      </c>
      <c r="B74" s="49">
        <v>2600</v>
      </c>
      <c r="C74" s="53">
        <v>999910000073</v>
      </c>
      <c r="D74" t="s">
        <v>117</v>
      </c>
      <c r="E74" t="s">
        <v>117</v>
      </c>
      <c r="F74" t="s">
        <v>118</v>
      </c>
      <c r="K74" s="30" t="s"/>
      <c r="L74" t="s">
        <v>263</v>
      </c>
      <c r="M74" s="31" t="s">
        <f>=IF(A74="",0,IF(RIGHT(A74,3)="ECN","NO","YES"))</f>
        <v>120</v>
      </c>
      <c r="O74" s="32" t="s">
        <v>118</v>
      </c>
    </row>
    <row r="75" spans="1:15">
      <c r="A75" s="44" t="s">
        <v>264</v>
      </c>
      <c r="B75" s="49">
        <v>2616</v>
      </c>
      <c r="C75" s="53">
        <v>999910000074</v>
      </c>
      <c r="D75" t="s">
        <v>117</v>
      </c>
      <c r="E75" t="s">
        <v>117</v>
      </c>
      <c r="F75" t="s">
        <v>118</v>
      </c>
      <c r="K75" s="30" t="s"/>
      <c r="L75" t="s">
        <v>265</v>
      </c>
      <c r="M75" s="31" t="s">
        <f>=IF(A75="",0,IF(RIGHT(A75,3)="ECN","NO","YES"))</f>
        <v>120</v>
      </c>
      <c r="O75" s="32" t="s">
        <v>118</v>
      </c>
    </row>
    <row r="76" spans="1:15">
      <c r="A76" s="44" t="s">
        <v>266</v>
      </c>
      <c r="B76" s="49">
        <v>2600</v>
      </c>
      <c r="C76" s="53">
        <v>999910000075</v>
      </c>
      <c r="D76" t="s">
        <v>117</v>
      </c>
      <c r="E76" t="s">
        <v>117</v>
      </c>
      <c r="F76" t="s">
        <v>118</v>
      </c>
      <c r="K76" s="30" t="s"/>
      <c r="L76" t="s">
        <v>267</v>
      </c>
      <c r="M76" s="31" t="s">
        <f>=IF(A76="",0,IF(RIGHT(A76,3)="ECN","NO","YES"))</f>
        <v>120</v>
      </c>
      <c r="O76" s="32" t="s">
        <v>118</v>
      </c>
    </row>
    <row r="77" spans="1:15">
      <c r="A77" s="44" t="s">
        <v>268</v>
      </c>
      <c r="B77" s="49">
        <v>2600</v>
      </c>
      <c r="C77" s="53">
        <v>999910000076</v>
      </c>
      <c r="D77" t="s">
        <v>117</v>
      </c>
      <c r="E77" t="s">
        <v>117</v>
      </c>
      <c r="F77" t="s">
        <v>118</v>
      </c>
      <c r="K77" s="30" t="s"/>
      <c r="L77" t="s">
        <v>269</v>
      </c>
      <c r="M77" s="31" t="s">
        <f>=IF(A77="",0,IF(RIGHT(A77,3)="ECN","NO","YES"))</f>
        <v>120</v>
      </c>
      <c r="O77" s="32" t="s">
        <v>118</v>
      </c>
    </row>
    <row r="78" spans="1:15">
      <c r="A78" s="44" t="s">
        <v>270</v>
      </c>
      <c r="B78" s="49">
        <v>2600</v>
      </c>
      <c r="C78" s="53">
        <v>999910000077</v>
      </c>
      <c r="D78" t="s">
        <v>117</v>
      </c>
      <c r="E78" t="s">
        <v>117</v>
      </c>
      <c r="F78" t="s">
        <v>118</v>
      </c>
      <c r="H78" s="50">
        <v>46326</v>
      </c>
      <c r="K78" s="30" t="s"/>
      <c r="M78" s="31" t="s">
        <f>=IF(A78="",0,IF(RIGHT(A78,3)="ECN","NO","YES"))</f>
        <v>151</v>
      </c>
      <c r="O78" s="32" t="s">
        <v>118</v>
      </c>
    </row>
    <row r="79" spans="1:15">
      <c r="A79" s="44" t="s">
        <v>271</v>
      </c>
      <c r="B79" s="49">
        <v>2600</v>
      </c>
      <c r="C79" s="53">
        <v>999910000078</v>
      </c>
      <c r="D79" t="s">
        <v>117</v>
      </c>
      <c r="E79" t="s">
        <v>117</v>
      </c>
      <c r="F79" t="s">
        <v>118</v>
      </c>
      <c r="H79" s="50">
        <v>46326</v>
      </c>
      <c r="K79" s="30" t="s"/>
      <c r="M79" s="31" t="s">
        <f>=IF(A79="",0,IF(RIGHT(A79,3)="ECN","NO","YES"))</f>
        <v>151</v>
      </c>
      <c r="O79" s="32" t="s">
        <v>118</v>
      </c>
    </row>
    <row r="80" spans="1:15">
      <c r="A80" s="44" t="s">
        <v>272</v>
      </c>
      <c r="B80" s="49">
        <v>2600</v>
      </c>
      <c r="C80" s="53">
        <v>999910000079</v>
      </c>
      <c r="D80" t="s">
        <v>117</v>
      </c>
      <c r="E80" t="s">
        <v>117</v>
      </c>
      <c r="F80" t="s">
        <v>118</v>
      </c>
      <c r="H80" s="50">
        <v>46326</v>
      </c>
      <c r="K80" s="30" t="s"/>
      <c r="M80" s="31" t="s">
        <f>=IF(A80="",0,IF(RIGHT(A80,3)="ECN","NO","YES"))</f>
        <v>151</v>
      </c>
      <c r="O80" s="32" t="s">
        <v>118</v>
      </c>
    </row>
    <row r="81" spans="1:15">
      <c r="A81" s="44" t="s">
        <v>273</v>
      </c>
      <c r="B81" s="49">
        <v>2600</v>
      </c>
      <c r="C81" s="53">
        <v>999910000080</v>
      </c>
      <c r="D81" t="s">
        <v>117</v>
      </c>
      <c r="E81" t="s">
        <v>117</v>
      </c>
      <c r="F81" t="s">
        <v>118</v>
      </c>
      <c r="H81" s="50">
        <v>46326</v>
      </c>
      <c r="K81" s="30" t="s"/>
      <c r="M81" s="31" t="s">
        <f>=IF(A81="",0,IF(RIGHT(A81,3)="ECN","NO","YES"))</f>
        <v>151</v>
      </c>
      <c r="O81" s="32" t="s">
        <v>118</v>
      </c>
    </row>
    <row r="82" spans="1:15">
      <c r="A82" s="44" t="s">
        <v>71</v>
      </c>
      <c r="B82" s="49">
        <v>2601</v>
      </c>
      <c r="C82" s="53">
        <v>999910000081</v>
      </c>
      <c r="D82" t="s">
        <v>117</v>
      </c>
      <c r="E82" t="s">
        <v>117</v>
      </c>
      <c r="F82" t="s">
        <v>118</v>
      </c>
      <c r="K82" s="30" t="s"/>
      <c r="L82" t="s">
        <v>274</v>
      </c>
      <c r="M82" s="31" t="s">
        <f>=IF(A82="",0,IF(RIGHT(A82,3)="ECN","NO","YES"))</f>
        <v>120</v>
      </c>
      <c r="O82" s="32" t="s">
        <v>118</v>
      </c>
    </row>
    <row r="83" spans="1:15" s="45" customFormat="1">
      <c r="A83" s="44" t="s">
        <v>78</v>
      </c>
      <c r="B83" s="46">
        <v>2601</v>
      </c>
      <c r="C83" s="62">
        <v>999910000082</v>
      </c>
      <c r="D83" s="33" t="s">
        <v>117</v>
      </c>
      <c r="E83" s="33" t="s">
        <v>117</v>
      </c>
      <c r="F83" s="61" t="s">
        <v>160</v>
      </c>
      <c r="H83" s="38" t="s"/>
      <c r="I83" s="39" t="s"/>
      <c r="K83" s="40" t="s"/>
      <c r="L83" s="33" t="s">
        <v>275</v>
      </c>
      <c r="M83" s="41" t="s">
        <f>=IF(A83="",0,IF(RIGHT(A83,3)="ECN","NO","YES"))</f>
        <v>120</v>
      </c>
      <c r="O83" s="42" t="s">
        <v>160</v>
      </c>
    </row>
    <row r="84" spans="1:15">
      <c r="A84" s="44" t="s">
        <v>276</v>
      </c>
      <c r="B84" s="49">
        <v>2601</v>
      </c>
      <c r="C84" s="53">
        <v>999910000083</v>
      </c>
      <c r="D84" t="s">
        <v>117</v>
      </c>
      <c r="E84" t="s">
        <v>117</v>
      </c>
      <c r="F84" s="66" t="s">
        <v>160</v>
      </c>
      <c r="K84" s="30" t="s"/>
      <c r="L84" t="s">
        <v>277</v>
      </c>
      <c r="M84" s="31" t="s">
        <f>=IF(A84="",0,IF(RIGHT(A84,3)="ECN","NO","YES"))</f>
        <v>120</v>
      </c>
      <c r="N84" s="67" t="s">
        <v>278</v>
      </c>
      <c r="O84" s="32" t="s">
        <v>160</v>
      </c>
    </row>
    <row r="85" spans="1:15" s="45" customFormat="1">
      <c r="A85" s="68" t="s">
        <v>279</v>
      </c>
      <c r="B85" s="69">
        <v>2621</v>
      </c>
      <c r="C85" s="62">
        <v>999910000084</v>
      </c>
      <c r="D85" s="33" t="s">
        <v>117</v>
      </c>
      <c r="E85" s="33" t="s">
        <v>117</v>
      </c>
      <c r="F85" s="37" t="s">
        <v>118</v>
      </c>
      <c r="H85" s="38" t="s"/>
      <c r="I85" s="39" t="s"/>
      <c r="K85" s="40" t="s"/>
      <c r="L85" s="33" t="s">
        <v>280</v>
      </c>
      <c r="M85" s="41" t="s">
        <f>=IF(A85="",0,IF(RIGHT(A85,3)="ECN","NO","YES"))</f>
        <v>120</v>
      </c>
      <c r="O85" s="42" t="s">
        <v>118</v>
      </c>
    </row>
    <row r="86" spans="1:15">
      <c r="A86" s="44" t="s">
        <v>281</v>
      </c>
      <c r="B86" s="49">
        <v>2604</v>
      </c>
      <c r="C86" s="53">
        <v>999910000085</v>
      </c>
      <c r="D86" t="s">
        <v>117</v>
      </c>
      <c r="E86" t="s">
        <v>117</v>
      </c>
      <c r="F86" t="s">
        <v>118</v>
      </c>
      <c r="K86" s="30" t="s"/>
      <c r="L86" t="s">
        <v>282</v>
      </c>
      <c r="M86" s="31" t="s">
        <f>=IF(A86="",0,IF(RIGHT(A86,3)="ECN","NO","YES"))</f>
        <v>120</v>
      </c>
      <c r="O86" s="32" t="s">
        <v>118</v>
      </c>
    </row>
    <row r="87" spans="1:15">
      <c r="A87" s="44" t="s">
        <v>283</v>
      </c>
      <c r="B87" s="49">
        <v>2601</v>
      </c>
      <c r="C87" s="53">
        <v>999910000086</v>
      </c>
      <c r="D87" t="s">
        <v>117</v>
      </c>
      <c r="E87" t="s">
        <v>117</v>
      </c>
      <c r="F87" t="s">
        <v>118</v>
      </c>
      <c r="K87" s="30" t="s"/>
      <c r="L87" t="s">
        <v>284</v>
      </c>
      <c r="M87" s="31" t="s">
        <f>=IF(A87="",0,IF(RIGHT(A87,3)="ECN","NO","YES"))</f>
        <v>120</v>
      </c>
      <c r="O87" s="32" t="s">
        <v>118</v>
      </c>
    </row>
    <row r="88" spans="1:15">
      <c r="A88" s="44" t="s">
        <v>285</v>
      </c>
      <c r="B88" s="49">
        <v>2617</v>
      </c>
      <c r="C88" s="53">
        <v>999910000087</v>
      </c>
      <c r="D88" t="s">
        <v>117</v>
      </c>
      <c r="E88" t="s">
        <v>117</v>
      </c>
      <c r="F88" t="s">
        <v>118</v>
      </c>
      <c r="K88" s="30" t="s"/>
      <c r="L88" t="s">
        <v>286</v>
      </c>
      <c r="M88" s="31" t="s">
        <f>=IF(A88="",0,IF(RIGHT(A88,3)="ECN","NO","YES"))</f>
        <v>120</v>
      </c>
      <c r="O88" s="32" t="s">
        <v>118</v>
      </c>
    </row>
    <row r="89" spans="1:15">
      <c r="A89" s="44" t="s">
        <v>287</v>
      </c>
      <c r="B89" s="49">
        <v>2617</v>
      </c>
      <c r="C89" s="53">
        <v>999910000088</v>
      </c>
      <c r="D89" t="s">
        <v>117</v>
      </c>
      <c r="E89" t="s">
        <v>117</v>
      </c>
      <c r="F89" s="61" t="s">
        <v>288</v>
      </c>
      <c r="K89" s="30" t="s"/>
      <c r="L89" t="s">
        <v>289</v>
      </c>
      <c r="M89" s="31" t="s">
        <f>=IF(A89="",0,IF(RIGHT(A89,3)="ECN","NO","YES"))</f>
        <v>120</v>
      </c>
      <c r="O89" s="32" t="s">
        <v>148</v>
      </c>
    </row>
    <row r="90" spans="1:15">
      <c r="A90" s="44" t="s">
        <v>290</v>
      </c>
      <c r="B90" s="49">
        <v>2617</v>
      </c>
      <c r="C90" s="53">
        <v>999910000089</v>
      </c>
      <c r="D90" t="s">
        <v>117</v>
      </c>
      <c r="E90" t="s">
        <v>117</v>
      </c>
      <c r="F90" t="s">
        <v>118</v>
      </c>
      <c r="K90" s="30" t="s"/>
      <c r="L90" t="s">
        <v>291</v>
      </c>
      <c r="M90" s="31" t="s">
        <f>=IF(A90="",0,IF(RIGHT(A90,3)="ECN","NO","YES"))</f>
        <v>120</v>
      </c>
      <c r="O90" s="32" t="s">
        <v>118</v>
      </c>
    </row>
    <row r="91" spans="1:15">
      <c r="A91" s="44" t="s">
        <v>292</v>
      </c>
      <c r="B91" s="49">
        <v>2617</v>
      </c>
      <c r="C91" s="53">
        <v>999910000090</v>
      </c>
      <c r="D91" t="s">
        <v>117</v>
      </c>
      <c r="E91" t="s">
        <v>117</v>
      </c>
      <c r="F91" t="s">
        <v>118</v>
      </c>
      <c r="K91" s="30" t="s"/>
      <c r="L91" t="s">
        <v>293</v>
      </c>
      <c r="M91" s="31" t="s">
        <f>=IF(A91="",0,IF(RIGHT(A91,3)="ECN","NO","YES"))</f>
        <v>120</v>
      </c>
      <c r="O91" s="32" t="s">
        <v>118</v>
      </c>
    </row>
    <row r="92" spans="1:15">
      <c r="A92" s="44" t="s">
        <v>294</v>
      </c>
      <c r="B92" s="70">
        <v>2624</v>
      </c>
      <c r="C92" s="53">
        <v>999910000091</v>
      </c>
      <c r="D92" t="s">
        <v>117</v>
      </c>
      <c r="E92" t="s">
        <v>117</v>
      </c>
      <c r="F92" t="s">
        <v>118</v>
      </c>
      <c r="K92" s="30" t="s"/>
      <c r="L92" t="s">
        <v>295</v>
      </c>
      <c r="M92" s="31" t="s">
        <f>=IF(A92="",0,IF(RIGHT(A92,3)="ECN","NO","YES"))</f>
        <v>120</v>
      </c>
      <c r="O92" s="32" t="s">
        <v>118</v>
      </c>
    </row>
    <row r="93" spans="1:15">
      <c r="A93" s="44" t="s">
        <v>296</v>
      </c>
      <c r="B93" s="70">
        <v>2624</v>
      </c>
      <c r="C93" s="53">
        <v>999910000092</v>
      </c>
      <c r="D93" t="s">
        <v>117</v>
      </c>
      <c r="E93" t="s">
        <v>117</v>
      </c>
      <c r="F93" t="s">
        <v>118</v>
      </c>
      <c r="K93" s="30" t="s"/>
      <c r="L93" t="s">
        <v>297</v>
      </c>
      <c r="M93" s="31" t="s">
        <f>=IF(A93="",0,IF(RIGHT(A93,3)="ECN","NO","YES"))</f>
        <v>120</v>
      </c>
      <c r="O93" s="32" t="s">
        <v>118</v>
      </c>
    </row>
    <row r="94" spans="1:15">
      <c r="A94" s="44" t="s">
        <v>298</v>
      </c>
      <c r="B94" s="49">
        <v>3000</v>
      </c>
      <c r="C94" s="53">
        <v>999910000093</v>
      </c>
      <c r="D94" t="s">
        <v>117</v>
      </c>
      <c r="E94" t="s">
        <v>117</v>
      </c>
      <c r="F94" t="s">
        <v>118</v>
      </c>
      <c r="K94" s="30" t="s"/>
      <c r="L94" t="s">
        <v>299</v>
      </c>
      <c r="M94" s="31" t="s">
        <f>=IF(A94="",0,IF(RIGHT(A94,3)="ECN","NO","YES"))</f>
        <v>120</v>
      </c>
      <c r="O94" s="32" t="s">
        <v>118</v>
      </c>
    </row>
    <row r="95" spans="1:15" s="57" customFormat="1">
      <c r="A95" s="71" t="s">
        <v>300</v>
      </c>
      <c r="B95" s="56">
        <v>3000</v>
      </c>
      <c r="C95" s="53">
        <v>999910000094</v>
      </c>
      <c r="D95" s="57" t="s">
        <v>117</v>
      </c>
      <c r="E95" s="57" t="s">
        <v>117</v>
      </c>
      <c r="F95" s="72" t="s">
        <v>160</v>
      </c>
      <c r="H95" s="58" t="s"/>
      <c r="I95" s="56" t="s"/>
      <c r="K95" s="59" t="s"/>
      <c r="L95" s="57" t="s">
        <v>301</v>
      </c>
      <c r="M95" s="73" t="s">
        <f>=IF(A95="",0,IF(RIGHT(A95,3)="ECN","NO","YES"))</f>
        <v>120</v>
      </c>
      <c r="O95" s="74" t="s">
        <v>160</v>
      </c>
    </row>
    <row r="96" spans="1:15">
      <c r="A96" s="44" t="s">
        <v>302</v>
      </c>
      <c r="B96" s="49">
        <v>3000</v>
      </c>
      <c r="C96" s="53">
        <v>999910000095</v>
      </c>
      <c r="D96" t="s">
        <v>117</v>
      </c>
      <c r="E96" t="s">
        <v>117</v>
      </c>
      <c r="F96" t="s">
        <v>118</v>
      </c>
      <c r="K96" s="30" t="s"/>
      <c r="L96" t="s">
        <v>303</v>
      </c>
      <c r="M96" s="31" t="s">
        <f>=IF(A96="",0,IF(RIGHT(A96,3)="ECN","NO","YES"))</f>
        <v>120</v>
      </c>
      <c r="O96" s="32" t="s">
        <v>118</v>
      </c>
    </row>
    <row r="97" spans="1:15">
      <c r="A97" s="44" t="s">
        <v>304</v>
      </c>
      <c r="B97" s="49">
        <v>3000</v>
      </c>
      <c r="C97" s="53">
        <v>999910000096</v>
      </c>
      <c r="D97" t="s">
        <v>117</v>
      </c>
      <c r="E97" t="s">
        <v>117</v>
      </c>
      <c r="F97" t="s">
        <v>118</v>
      </c>
      <c r="K97" s="30" t="s"/>
      <c r="L97" t="s">
        <v>305</v>
      </c>
      <c r="M97" s="31" t="s">
        <f>=IF(A97="",0,IF(RIGHT(A97,3)="ECN","NO","YES"))</f>
        <v>120</v>
      </c>
      <c r="O97" s="32" t="s">
        <v>118</v>
      </c>
    </row>
    <row r="98" spans="1:15">
      <c r="A98" s="44" t="s">
        <v>306</v>
      </c>
      <c r="B98" s="49">
        <v>3000</v>
      </c>
      <c r="C98" s="53">
        <v>999910000097</v>
      </c>
      <c r="D98" t="s">
        <v>117</v>
      </c>
      <c r="E98" t="s">
        <v>117</v>
      </c>
      <c r="F98" t="s">
        <v>118</v>
      </c>
      <c r="K98" s="30" t="s"/>
      <c r="L98" t="s">
        <v>307</v>
      </c>
      <c r="M98" s="31" t="s">
        <f>=IF(A98="",0,IF(RIGHT(A98,3)="ECN","NO","YES"))</f>
        <v>120</v>
      </c>
      <c r="O98" s="32" t="s">
        <v>118</v>
      </c>
    </row>
    <row r="99" spans="1:15">
      <c r="A99" s="44" t="s">
        <v>308</v>
      </c>
      <c r="B99" s="49">
        <v>3000</v>
      </c>
      <c r="C99" s="53">
        <v>999910000098</v>
      </c>
      <c r="D99" t="s">
        <v>117</v>
      </c>
      <c r="E99" t="s">
        <v>117</v>
      </c>
      <c r="F99" t="s">
        <v>118</v>
      </c>
      <c r="K99" s="30" t="s"/>
      <c r="L99" t="s">
        <v>309</v>
      </c>
      <c r="M99" s="31" t="s">
        <f>=IF(A99="",0,IF(RIGHT(A99,3)="ECN","NO","YES"))</f>
        <v>120</v>
      </c>
      <c r="O99" s="32" t="s">
        <v>118</v>
      </c>
    </row>
    <row r="100" spans="1:15">
      <c r="A100" s="44" t="s">
        <v>310</v>
      </c>
      <c r="B100" s="49">
        <v>3000</v>
      </c>
      <c r="C100" s="53">
        <v>999910000099</v>
      </c>
      <c r="D100" t="s">
        <v>117</v>
      </c>
      <c r="E100" t="s">
        <v>117</v>
      </c>
      <c r="F100" t="s">
        <v>118</v>
      </c>
      <c r="K100" s="30" t="s"/>
      <c r="L100" t="s">
        <v>311</v>
      </c>
      <c r="M100" s="31" t="s">
        <f>=IF(A100="",0,IF(RIGHT(A100,3)="ECN","NO","YES"))</f>
        <v>120</v>
      </c>
      <c r="O100" s="32" t="s">
        <v>118</v>
      </c>
    </row>
    <row r="101" spans="1:15">
      <c r="A101" s="44" t="s">
        <v>312</v>
      </c>
      <c r="B101" s="49">
        <v>3000</v>
      </c>
      <c r="C101" s="53">
        <v>999910000100</v>
      </c>
      <c r="D101" t="s">
        <v>117</v>
      </c>
      <c r="E101" t="s">
        <v>117</v>
      </c>
      <c r="F101" t="s">
        <v>118</v>
      </c>
      <c r="K101" s="30" t="s"/>
      <c r="L101" t="s">
        <v>313</v>
      </c>
      <c r="M101" s="31" t="s">
        <f>=IF(A101="",0,IF(RIGHT(A101,3)="ECN","NO","YES"))</f>
        <v>120</v>
      </c>
      <c r="O101" s="32" t="s">
        <v>118</v>
      </c>
    </row>
    <row r="102" spans="1:15">
      <c r="A102" s="44" t="s">
        <v>314</v>
      </c>
      <c r="B102" s="49">
        <v>3000</v>
      </c>
      <c r="C102" s="53">
        <v>999910000101</v>
      </c>
      <c r="D102" t="s">
        <v>117</v>
      </c>
      <c r="E102" t="s">
        <v>117</v>
      </c>
      <c r="F102" s="72" t="s">
        <v>160</v>
      </c>
      <c r="K102" s="30" t="s"/>
      <c r="L102" t="s">
        <v>315</v>
      </c>
      <c r="M102" s="31" t="s">
        <f>=IF(A102="",0,IF(RIGHT(A102,3)="ECN","NO","YES"))</f>
        <v>120</v>
      </c>
      <c r="O102" s="32" t="s">
        <v>160</v>
      </c>
    </row>
    <row r="103" spans="1:15" s="57" customFormat="1">
      <c r="A103" s="71" t="s">
        <v>316</v>
      </c>
      <c r="B103" s="56">
        <v>3000</v>
      </c>
      <c r="C103" s="53">
        <v>999910000102</v>
      </c>
      <c r="D103" s="57" t="s">
        <v>117</v>
      </c>
      <c r="E103" s="57" t="s">
        <v>117</v>
      </c>
      <c r="F103" s="72" t="s">
        <v>160</v>
      </c>
      <c r="H103" s="58" t="s"/>
      <c r="I103" s="56" t="s"/>
      <c r="K103" s="59" t="s"/>
      <c r="L103" s="57" t="s">
        <v>317</v>
      </c>
      <c r="M103" s="73" t="s">
        <f>=IF(A103="",0,IF(RIGHT(A103,3)="ECN","NO","YES"))</f>
        <v>120</v>
      </c>
      <c r="O103" s="74" t="s">
        <v>160</v>
      </c>
    </row>
    <row r="104" spans="1:15" s="45" customFormat="1">
      <c r="A104" s="44" t="s">
        <v>318</v>
      </c>
      <c r="B104" s="46">
        <v>3000</v>
      </c>
      <c r="C104" s="62">
        <v>999910000103</v>
      </c>
      <c r="D104" s="33" t="s">
        <v>117</v>
      </c>
      <c r="E104" s="33" t="s">
        <v>117</v>
      </c>
      <c r="F104" s="33" t="s">
        <v>118</v>
      </c>
      <c r="H104" s="38" t="s"/>
      <c r="I104" s="39" t="s"/>
      <c r="K104" s="40" t="s"/>
      <c r="L104" s="33" t="s">
        <v>319</v>
      </c>
      <c r="M104" s="65" t="s">
        <f>=IF(A104="",0,IF(RIGHT(A104,3)="ECN","NO","YES"))</f>
        <v>120</v>
      </c>
      <c r="O104" s="42" t="s">
        <v>118</v>
      </c>
    </row>
    <row r="105" spans="1:15">
      <c r="A105" s="44" t="s">
        <v>320</v>
      </c>
      <c r="B105" s="49">
        <v>3000</v>
      </c>
      <c r="C105" s="53">
        <v>999910000104</v>
      </c>
      <c r="D105" t="s">
        <v>117</v>
      </c>
      <c r="E105" t="s">
        <v>117</v>
      </c>
      <c r="F105" t="s">
        <v>118</v>
      </c>
      <c r="K105" s="30" t="s"/>
      <c r="L105" t="s">
        <v>321</v>
      </c>
      <c r="M105" s="31" t="s">
        <f>=IF(A105="",0,IF(RIGHT(A105,3)="ECN","NO","YES"))</f>
        <v>120</v>
      </c>
      <c r="O105" s="32" t="s">
        <v>118</v>
      </c>
    </row>
    <row r="106" spans="1:15">
      <c r="A106" s="44" t="s">
        <v>322</v>
      </c>
      <c r="B106" s="49">
        <v>3000</v>
      </c>
      <c r="C106" s="53">
        <v>999910000105</v>
      </c>
      <c r="D106" t="s">
        <v>117</v>
      </c>
      <c r="E106" t="s">
        <v>117</v>
      </c>
      <c r="F106" t="s">
        <v>118</v>
      </c>
      <c r="K106" s="30" t="s"/>
      <c r="L106" t="s">
        <v>323</v>
      </c>
      <c r="M106" s="31" t="s">
        <f>=IF(A106="",0,IF(RIGHT(A106,3)="ECN","NO","YES"))</f>
        <v>120</v>
      </c>
      <c r="O106" s="32" t="s">
        <v>118</v>
      </c>
    </row>
    <row r="107" spans="1:15">
      <c r="A107" s="44" t="s">
        <v>324</v>
      </c>
      <c r="B107" s="49">
        <v>3000</v>
      </c>
      <c r="C107" s="53">
        <v>999910000106</v>
      </c>
      <c r="D107" t="s">
        <v>117</v>
      </c>
      <c r="E107" t="s">
        <v>117</v>
      </c>
      <c r="F107" t="s">
        <v>118</v>
      </c>
      <c r="K107" s="30" t="s"/>
      <c r="L107" t="s">
        <v>325</v>
      </c>
      <c r="M107" s="31" t="s">
        <f>=IF(A107="",0,IF(RIGHT(A107,3)="ECN","NO","YES"))</f>
        <v>120</v>
      </c>
      <c r="O107" s="32" t="s">
        <v>118</v>
      </c>
    </row>
    <row r="108" spans="1:15">
      <c r="A108" s="44" t="s">
        <v>326</v>
      </c>
      <c r="B108" s="49">
        <v>3000</v>
      </c>
      <c r="C108" s="53">
        <v>999910000107</v>
      </c>
      <c r="D108" t="s">
        <v>117</v>
      </c>
      <c r="E108" t="s">
        <v>117</v>
      </c>
      <c r="F108" t="s">
        <v>118</v>
      </c>
      <c r="K108" s="30" t="s"/>
      <c r="L108" t="s">
        <v>327</v>
      </c>
      <c r="M108" s="31" t="s">
        <f>=IF(A108="",0,IF(RIGHT(A108,3)="ECN","NO","YES"))</f>
        <v>120</v>
      </c>
      <c r="O108" s="32" t="s">
        <v>118</v>
      </c>
    </row>
    <row r="109" spans="1:15" s="45" customFormat="1">
      <c r="A109" s="44" t="s">
        <v>147</v>
      </c>
      <c r="B109" s="46">
        <v>3000</v>
      </c>
      <c r="C109" s="62">
        <v>999910000108</v>
      </c>
      <c r="D109" s="33" t="s">
        <v>117</v>
      </c>
      <c r="E109" s="33" t="s">
        <v>117</v>
      </c>
      <c r="F109" s="75" t="s">
        <v>148</v>
      </c>
      <c r="H109" s="38" t="s"/>
      <c r="I109" s="39" t="s"/>
      <c r="K109" s="40" t="s"/>
      <c r="L109" s="33" t="s">
        <v>328</v>
      </c>
      <c r="M109" s="65" t="s">
        <f>=IF(A109="",0,IF(RIGHT(A109,3)="ECN","NO","YES"))</f>
        <v>120</v>
      </c>
      <c r="O109" s="42" t="s">
        <v>148</v>
      </c>
    </row>
    <row r="110" spans="1:15">
      <c r="A110" s="44" t="s">
        <v>329</v>
      </c>
      <c r="B110" s="49">
        <v>3000</v>
      </c>
      <c r="C110" s="53">
        <v>999910000109</v>
      </c>
      <c r="D110" t="s">
        <v>117</v>
      </c>
      <c r="E110" t="s">
        <v>117</v>
      </c>
      <c r="F110" t="s">
        <v>118</v>
      </c>
      <c r="K110" s="30" t="s"/>
      <c r="L110" t="s">
        <v>330</v>
      </c>
      <c r="M110" s="31" t="s">
        <f>=IF(A110="",0,IF(RIGHT(A110,3)="ECN","NO","YES"))</f>
        <v>120</v>
      </c>
      <c r="O110" s="32" t="s">
        <v>118</v>
      </c>
    </row>
    <row r="111" spans="1:15">
      <c r="A111" s="44" t="s">
        <v>331</v>
      </c>
      <c r="B111" s="49">
        <v>3000</v>
      </c>
      <c r="C111" s="53">
        <v>999910000110</v>
      </c>
      <c r="D111" t="s">
        <v>117</v>
      </c>
      <c r="E111" t="s">
        <v>117</v>
      </c>
      <c r="F111" t="s">
        <v>118</v>
      </c>
      <c r="K111" s="30" t="s"/>
      <c r="L111" t="s">
        <v>332</v>
      </c>
      <c r="M111" s="31" t="s">
        <f>=IF(A111="",0,IF(RIGHT(A111,3)="ECN","NO","YES"))</f>
        <v>120</v>
      </c>
      <c r="O111" s="32" t="s">
        <v>118</v>
      </c>
    </row>
    <row r="112" spans="1:15">
      <c r="A112" s="44" t="s">
        <v>333</v>
      </c>
      <c r="B112" s="49">
        <v>3000</v>
      </c>
      <c r="C112" s="53">
        <v>999910000111</v>
      </c>
      <c r="D112" t="s">
        <v>117</v>
      </c>
      <c r="E112" t="s">
        <v>117</v>
      </c>
      <c r="F112" t="s">
        <v>118</v>
      </c>
      <c r="K112" s="30" t="s"/>
      <c r="L112" t="s">
        <v>334</v>
      </c>
      <c r="M112" s="31" t="s">
        <f>=IF(A112="",0,IF(RIGHT(A112,3)="ECN","NO","YES"))</f>
        <v>120</v>
      </c>
      <c r="O112" s="32" t="s">
        <v>118</v>
      </c>
    </row>
    <row r="113" spans="1:15">
      <c r="A113" s="44" t="s">
        <v>335</v>
      </c>
      <c r="B113" s="49">
        <v>3000</v>
      </c>
      <c r="C113" s="53">
        <v>999910000112</v>
      </c>
      <c r="D113" t="s">
        <v>117</v>
      </c>
      <c r="E113" t="s">
        <v>117</v>
      </c>
      <c r="F113" t="s">
        <v>118</v>
      </c>
      <c r="K113" s="30" t="s"/>
      <c r="L113" t="s">
        <v>336</v>
      </c>
      <c r="M113" s="31" t="s">
        <f>=IF(A113="",0,IF(RIGHT(A113,3)="ECN","NO","YES"))</f>
        <v>120</v>
      </c>
      <c r="O113" s="32" t="s">
        <v>118</v>
      </c>
    </row>
    <row r="114" spans="1:15">
      <c r="A114" s="44" t="s">
        <v>337</v>
      </c>
      <c r="B114" s="49">
        <v>3000</v>
      </c>
      <c r="C114" s="53">
        <v>999910000113</v>
      </c>
      <c r="D114" t="s">
        <v>117</v>
      </c>
      <c r="E114" t="s">
        <v>117</v>
      </c>
      <c r="F114" t="s">
        <v>118</v>
      </c>
      <c r="K114" s="30" t="s"/>
      <c r="L114" t="s">
        <v>338</v>
      </c>
      <c r="M114" s="31" t="s">
        <f>=IF(A114="",0,IF(RIGHT(A114,3)="ECN","NO","YES"))</f>
        <v>120</v>
      </c>
      <c r="O114" s="32" t="s">
        <v>118</v>
      </c>
    </row>
    <row r="115" spans="1:15">
      <c r="A115" s="44" t="s">
        <v>339</v>
      </c>
      <c r="B115" s="49">
        <v>2616</v>
      </c>
      <c r="C115" s="53">
        <v>999910000114</v>
      </c>
      <c r="D115" t="s">
        <v>117</v>
      </c>
      <c r="E115" t="s">
        <v>117</v>
      </c>
      <c r="F115" t="s">
        <v>148</v>
      </c>
      <c r="K115" s="30" t="s"/>
      <c r="L115" s="76" t="s">
        <v>340</v>
      </c>
      <c r="M115" s="31" t="s">
        <f>=IF(A115="",0,IF(RIGHT(A115,3)="ECN","NO","YES"))</f>
        <v>120</v>
      </c>
      <c r="O115" s="32" t="s">
        <v>148</v>
      </c>
    </row>
    <row r="116" spans="1:15" s="45" customFormat="1">
      <c r="A116" s="44" t="s">
        <v>341</v>
      </c>
      <c r="B116" s="46">
        <v>2616</v>
      </c>
      <c r="C116" s="62">
        <v>999910000115</v>
      </c>
      <c r="D116" s="33" t="s">
        <v>117</v>
      </c>
      <c r="E116" s="33" t="s">
        <v>117</v>
      </c>
      <c r="F116" s="33" t="s">
        <v>118</v>
      </c>
      <c r="H116" s="38" t="s"/>
      <c r="I116" s="39" t="s"/>
      <c r="K116" s="40" t="s"/>
      <c r="L116" s="77" t="s">
        <v>342</v>
      </c>
      <c r="M116" s="65" t="s">
        <f>=IF(A116="",0,IF(RIGHT(A116,3)="ECN","NO","YES"))</f>
        <v>120</v>
      </c>
      <c r="O116" s="42" t="s">
        <v>118</v>
      </c>
    </row>
    <row r="117" spans="1:15">
      <c r="A117" s="44" t="s">
        <v>343</v>
      </c>
      <c r="B117" s="49">
        <v>2616</v>
      </c>
      <c r="C117" s="53">
        <v>999910000116</v>
      </c>
      <c r="D117" t="s">
        <v>117</v>
      </c>
      <c r="E117" t="s">
        <v>117</v>
      </c>
      <c r="F117" t="s">
        <v>118</v>
      </c>
      <c r="K117" s="30" t="s"/>
      <c r="L117" s="76" t="s">
        <v>344</v>
      </c>
      <c r="M117" s="31" t="s">
        <f>=IF(A117="",0,IF(RIGHT(A117,3)="ECN","NO","YES"))</f>
        <v>120</v>
      </c>
      <c r="O117" s="32" t="s">
        <v>118</v>
      </c>
    </row>
    <row r="118" spans="1:15">
      <c r="A118" s="44" t="s">
        <v>345</v>
      </c>
      <c r="B118" s="49">
        <v>2615</v>
      </c>
      <c r="C118" s="53">
        <v>999910000117</v>
      </c>
      <c r="D118" t="s">
        <v>117</v>
      </c>
      <c r="E118" t="s">
        <v>117</v>
      </c>
      <c r="F118" t="s">
        <v>118</v>
      </c>
      <c r="K118" s="30" t="s"/>
      <c r="L118" s="76" t="s">
        <v>346</v>
      </c>
      <c r="M118" s="31" t="s">
        <f>=IF(A118="",0,IF(RIGHT(A118,3)="ECN","NO","YES"))</f>
        <v>120</v>
      </c>
      <c r="O118" s="32" t="s">
        <v>118</v>
      </c>
    </row>
    <row r="119" spans="1:15">
      <c r="A119" s="44" t="s">
        <v>347</v>
      </c>
      <c r="B119" s="49">
        <v>2615</v>
      </c>
      <c r="C119" s="53">
        <v>999910000118</v>
      </c>
      <c r="D119" t="s">
        <v>117</v>
      </c>
      <c r="E119" t="s">
        <v>117</v>
      </c>
      <c r="F119" t="s">
        <v>118</v>
      </c>
      <c r="K119" s="30" t="s"/>
      <c r="L119" s="76" t="s">
        <v>348</v>
      </c>
      <c r="M119" s="31" t="s">
        <f>=IF(A119="",0,IF(RIGHT(A119,3)="ECN","NO","YES"))</f>
        <v>120</v>
      </c>
      <c r="O119" s="32" t="s">
        <v>118</v>
      </c>
    </row>
    <row r="120" spans="1:15">
      <c r="A120" s="44" t="s">
        <v>349</v>
      </c>
      <c r="B120" s="49">
        <v>2615</v>
      </c>
      <c r="C120" s="53">
        <v>999910000119</v>
      </c>
      <c r="D120" t="s">
        <v>117</v>
      </c>
      <c r="E120" t="s">
        <v>117</v>
      </c>
      <c r="F120" t="s">
        <v>118</v>
      </c>
      <c r="K120" s="30" t="s"/>
      <c r="L120" t="s">
        <v>350</v>
      </c>
      <c r="M120" s="31" t="s">
        <f>=IF(A120="",0,IF(RIGHT(A120,3)="ECN","NO","YES"))</f>
        <v>120</v>
      </c>
      <c r="O120" s="32" t="s">
        <v>118</v>
      </c>
    </row>
    <row r="121" spans="1:15">
      <c r="A121" s="33" t="s">
        <v>351</v>
      </c>
      <c r="B121" s="49">
        <v>2620</v>
      </c>
      <c r="C121" s="53">
        <v>999910000120</v>
      </c>
      <c r="D121" t="s">
        <v>117</v>
      </c>
      <c r="E121" t="s">
        <v>117</v>
      </c>
      <c r="F121" t="s">
        <v>118</v>
      </c>
      <c r="H121" s="50">
        <v>46356</v>
      </c>
      <c r="I121" s="51" t="s">
        <v>352</v>
      </c>
      <c r="K121" s="30" t="s"/>
      <c r="M121" s="31" t="s">
        <f>=IF(A121="",0,IF(RIGHT(A121,3)="ECN","NO","YES"))</f>
        <v>151</v>
      </c>
      <c r="O121" s="32" t="s">
        <v>118</v>
      </c>
    </row>
    <row r="122" spans="1:15">
      <c r="A122" s="33" t="s">
        <v>353</v>
      </c>
      <c r="B122" s="49">
        <v>2600</v>
      </c>
      <c r="C122" s="53">
        <v>999910000121</v>
      </c>
      <c r="D122" t="s">
        <v>117</v>
      </c>
      <c r="E122" t="s">
        <v>117</v>
      </c>
      <c r="F122" t="s">
        <v>118</v>
      </c>
      <c r="K122" s="30" t="s"/>
      <c r="L122" t="s">
        <v>354</v>
      </c>
      <c r="M122" s="31" t="s">
        <f>=IF(A122="",0,IF(RIGHT(A122,3)="ECN","NO","YES"))</f>
        <v>120</v>
      </c>
      <c r="O122" s="32" t="s">
        <v>118</v>
      </c>
    </row>
    <row r="123" spans="1:15" s="57" customFormat="1">
      <c r="A123" s="71" t="s">
        <v>355</v>
      </c>
      <c r="B123" s="56">
        <v>2631</v>
      </c>
      <c r="C123" s="53">
        <v>999910000122</v>
      </c>
      <c r="D123" s="57" t="s">
        <v>117</v>
      </c>
      <c r="E123" s="57" t="s">
        <v>117</v>
      </c>
      <c r="F123" s="78" t="s">
        <v>148</v>
      </c>
      <c r="G123" s="57" t="s"/>
      <c r="H123" s="58" t="s"/>
      <c r="K123" s="59" t="s"/>
      <c r="L123" t="s">
        <v>356</v>
      </c>
      <c r="M123" s="60" t="s">
        <f>=IF(A123="",0,IF(RIGHT(A123,3)="ECN","NO","YES"))</f>
        <v>120</v>
      </c>
      <c r="N123" s="57" t="s"/>
      <c r="O123" s="32" t="s">
        <v>160</v>
      </c>
    </row>
    <row r="124" spans="1:15" s="57" customFormat="1">
      <c r="A124" s="71" t="s">
        <v>357</v>
      </c>
      <c r="B124" s="56">
        <v>2616</v>
      </c>
      <c r="C124" s="53">
        <v>999910000123</v>
      </c>
      <c r="D124" s="57" t="s">
        <v>117</v>
      </c>
      <c r="E124" s="57" t="s">
        <v>117</v>
      </c>
      <c r="F124" s="57" t="s">
        <v>118</v>
      </c>
      <c r="H124" s="58" t="s"/>
      <c r="K124" s="59" t="s"/>
      <c r="L124" t="s">
        <v>358</v>
      </c>
      <c r="M124" s="60" t="s">
        <f>=IF(A124="",0,IF(RIGHT(A124,3)="ECN","NO","YES"))</f>
        <v>120</v>
      </c>
      <c r="N124" s="57" t="s"/>
      <c r="O124" s="32" t="s">
        <v>118</v>
      </c>
    </row>
    <row r="125" spans="1:15" s="57" customFormat="1">
      <c r="A125" s="71" t="s">
        <v>359</v>
      </c>
      <c r="B125" s="56">
        <v>2615</v>
      </c>
      <c r="C125" s="53">
        <v>999910000124</v>
      </c>
      <c r="D125" s="57" t="s">
        <v>117</v>
      </c>
      <c r="E125" s="57" t="s">
        <v>117</v>
      </c>
      <c r="F125" s="57" t="s">
        <v>118</v>
      </c>
      <c r="H125" s="58" t="s"/>
      <c r="K125" s="59" t="s"/>
      <c r="L125" t="s">
        <v>360</v>
      </c>
      <c r="M125" s="60" t="s">
        <f>=IF(A125="",0,IF(RIGHT(A125,3)="ECN","NO","YES"))</f>
        <v>120</v>
      </c>
      <c r="N125" s="57" t="s"/>
      <c r="O125" s="32" t="s">
        <v>118</v>
      </c>
    </row>
    <row r="126" spans="1:15" s="57" customFormat="1">
      <c r="A126" s="71" t="s">
        <v>361</v>
      </c>
      <c r="B126" s="56">
        <v>2615</v>
      </c>
      <c r="C126" s="53">
        <v>999910000125</v>
      </c>
      <c r="D126" s="57" t="s">
        <v>117</v>
      </c>
      <c r="E126" s="57" t="s">
        <v>117</v>
      </c>
      <c r="F126" s="57" t="s">
        <v>118</v>
      </c>
      <c r="H126" s="58" t="s"/>
      <c r="K126" s="59" t="s"/>
      <c r="L126" t="s">
        <v>362</v>
      </c>
      <c r="M126" s="60" t="s">
        <f>=IF(A126="",0,IF(RIGHT(A126,3)="ECN","NO","YES"))</f>
        <v>120</v>
      </c>
      <c r="N126" s="57" t="s"/>
      <c r="O126" s="32" t="s">
        <v>118</v>
      </c>
    </row>
    <row r="127" spans="1:15" s="57" customFormat="1">
      <c r="A127" s="71" t="s">
        <v>363</v>
      </c>
      <c r="B127" s="56">
        <v>2615</v>
      </c>
      <c r="C127" s="53">
        <v>999910000126</v>
      </c>
      <c r="D127" s="57" t="s">
        <v>117</v>
      </c>
      <c r="E127" s="57" t="s">
        <v>117</v>
      </c>
      <c r="F127" s="57" t="s">
        <v>118</v>
      </c>
      <c r="H127" s="58" t="s"/>
      <c r="K127" s="59" t="s"/>
      <c r="L127" t="s">
        <v>364</v>
      </c>
      <c r="M127" s="60" t="s">
        <f>=IF(A127="",0,IF(RIGHT(A127,3)="ECN","NO","YES"))</f>
        <v>120</v>
      </c>
      <c r="N127" s="57" t="s"/>
      <c r="O127" s="32" t="s">
        <v>118</v>
      </c>
    </row>
    <row r="128" spans="1:15" s="57" customFormat="1">
      <c r="A128" s="71" t="s">
        <v>365</v>
      </c>
      <c r="B128" s="56">
        <v>2615</v>
      </c>
      <c r="C128" s="53">
        <v>999910000127</v>
      </c>
      <c r="D128" s="57" t="s">
        <v>117</v>
      </c>
      <c r="E128" s="57" t="s">
        <v>117</v>
      </c>
      <c r="F128" s="57" t="s">
        <v>118</v>
      </c>
      <c r="H128" s="58" t="s"/>
      <c r="K128" s="59" t="s"/>
      <c r="L128" t="s">
        <v>366</v>
      </c>
      <c r="M128" s="60" t="s">
        <f>=IF(A128="",0,IF(RIGHT(A128,3)="ECN","NO","YES"))</f>
        <v>120</v>
      </c>
      <c r="N128" s="57" t="s"/>
      <c r="O128" s="32" t="s">
        <v>118</v>
      </c>
    </row>
    <row r="129" spans="1:15" s="179" customFormat="1">
      <c r="A129" s="71" t="s">
        <v>367</v>
      </c>
      <c r="B129" s="79">
        <v>2615</v>
      </c>
      <c r="C129" s="62">
        <v>999910000128</v>
      </c>
      <c r="D129" s="80" t="s">
        <v>117</v>
      </c>
      <c r="E129" s="80" t="s">
        <v>117</v>
      </c>
      <c r="F129" s="66" t="s">
        <v>368</v>
      </c>
      <c r="H129" s="81" t="s"/>
      <c r="I129" s="39" t="s"/>
      <c r="K129" s="82" t="s"/>
      <c r="L129" s="33" t="s">
        <v>369</v>
      </c>
      <c r="M129" s="83" t="s">
        <f>=IF(A129="",0,IF(RIGHT(A129,3)="ECN","NO","YES"))</f>
        <v>120</v>
      </c>
      <c r="N129" s="80" t="s"/>
      <c r="O129" s="84" t="s">
        <v>118</v>
      </c>
    </row>
    <row r="130" spans="1:15" s="57" customFormat="1">
      <c r="A130" s="71" t="s">
        <v>370</v>
      </c>
      <c r="B130" s="56">
        <v>2631</v>
      </c>
      <c r="C130" s="53">
        <v>999910000129</v>
      </c>
      <c r="D130" s="57" t="s">
        <v>117</v>
      </c>
      <c r="E130" s="57" t="s">
        <v>117</v>
      </c>
      <c r="F130" s="57" t="s">
        <v>118</v>
      </c>
      <c r="H130" s="58" t="s"/>
      <c r="K130" s="59" t="s"/>
      <c r="L130" t="s">
        <v>371</v>
      </c>
      <c r="M130" s="60" t="s">
        <f>=IF(A130="",0,IF(RIGHT(A130,3)="ECN","NO","YES"))</f>
        <v>120</v>
      </c>
      <c r="N130" s="57" t="s"/>
      <c r="O130" s="32" t="s">
        <v>118</v>
      </c>
    </row>
    <row r="131" spans="1:15" s="57" customFormat="1">
      <c r="A131" s="71" t="s">
        <v>372</v>
      </c>
      <c r="B131" s="56">
        <v>2615</v>
      </c>
      <c r="C131" s="53">
        <v>999910000130</v>
      </c>
      <c r="D131" s="57" t="s">
        <v>117</v>
      </c>
      <c r="E131" s="57" t="s">
        <v>117</v>
      </c>
      <c r="F131" s="66" t="s">
        <v>373</v>
      </c>
      <c r="H131" s="58" t="s"/>
      <c r="K131" s="59" t="s"/>
      <c r="L131" t="s">
        <v>374</v>
      </c>
      <c r="M131" s="60" t="s">
        <f>=IF(A131="",0,IF(RIGHT(A131,3)="ECN","NO","YES"))</f>
        <v>120</v>
      </c>
      <c r="N131" s="57" t="s">
        <v>375</v>
      </c>
      <c r="O131" s="32" t="s">
        <v>160</v>
      </c>
    </row>
    <row r="132" spans="1:15" s="179" customFormat="1">
      <c r="A132" s="71" t="s">
        <v>376</v>
      </c>
      <c r="B132" s="79">
        <v>2617</v>
      </c>
      <c r="C132" s="62">
        <v>999910000131</v>
      </c>
      <c r="D132" s="80" t="s">
        <v>117</v>
      </c>
      <c r="E132" s="80" t="s">
        <v>117</v>
      </c>
      <c r="F132" s="85" t="s">
        <v>118</v>
      </c>
      <c r="H132" s="81" t="s"/>
      <c r="I132" s="39" t="s"/>
      <c r="J132" s="80" t="s"/>
      <c r="K132" s="82" t="s"/>
      <c r="L132" s="33" t="s">
        <v>377</v>
      </c>
      <c r="M132" s="83" t="s">
        <f>=IF(A132="",0,IF(RIGHT(A132,3)="ECN","NO","YES"))</f>
        <v>120</v>
      </c>
      <c r="N132" s="80" t="s">
        <v>378</v>
      </c>
      <c r="O132" s="86" t="s">
        <v>118</v>
      </c>
    </row>
    <row r="133" spans="1:15" s="57" customFormat="1">
      <c r="A133" s="71" t="s">
        <v>379</v>
      </c>
      <c r="B133" s="56">
        <v>2611</v>
      </c>
      <c r="C133" s="53">
        <v>999910000132</v>
      </c>
      <c r="D133" s="57" t="s">
        <v>117</v>
      </c>
      <c r="E133" s="57" t="s">
        <v>117</v>
      </c>
      <c r="F133" s="57" t="s">
        <v>118</v>
      </c>
      <c r="H133" s="58" t="s"/>
      <c r="K133" s="59" t="s"/>
      <c r="L133" t="s">
        <v>380</v>
      </c>
      <c r="M133" s="60" t="s">
        <f>=IF(A133="",0,IF(RIGHT(A133,3)="ECN","NO","YES"))</f>
        <v>120</v>
      </c>
      <c r="N133" s="57" t="s"/>
      <c r="O133" s="32" t="s">
        <v>118</v>
      </c>
    </row>
    <row r="134" spans="1:15">
      <c r="A134" s="33" t="s">
        <v>381</v>
      </c>
      <c r="B134" s="49">
        <v>2601</v>
      </c>
      <c r="C134" s="53">
        <v>999910000133</v>
      </c>
      <c r="D134" s="57" t="s">
        <v>117</v>
      </c>
      <c r="E134" s="57" t="s">
        <v>117</v>
      </c>
      <c r="F134" s="57" t="s">
        <v>118</v>
      </c>
      <c r="H134" s="50">
        <v>46326</v>
      </c>
      <c r="I134" s="87" t="s">
        <v>382</v>
      </c>
      <c r="K134" s="30" t="s"/>
      <c r="M134" s="31" t="s">
        <f>=IF(A134="",0,IF(RIGHT(A134,3)="ECN","NO","YES"))</f>
        <v>151</v>
      </c>
      <c r="O134" s="32" t="s">
        <v>118</v>
      </c>
    </row>
    <row r="135" spans="1:15">
      <c r="A135" s="33" t="s">
        <v>383</v>
      </c>
      <c r="B135" s="49">
        <v>2600</v>
      </c>
      <c r="C135" s="53">
        <v>999910000134</v>
      </c>
      <c r="D135" s="57" t="s">
        <v>117</v>
      </c>
      <c r="E135" s="57" t="s">
        <v>117</v>
      </c>
      <c r="F135" s="57" t="s">
        <v>118</v>
      </c>
      <c r="K135" s="30" t="s"/>
      <c r="L135" t="s">
        <v>384</v>
      </c>
      <c r="M135" s="31" t="s">
        <f>=IF(A135="",0,IF(RIGHT(A135,3)="ECN","NO","YES"))</f>
        <v>120</v>
      </c>
      <c r="O135" s="32" t="s">
        <v>118</v>
      </c>
    </row>
    <row r="136" spans="1:15" s="57" customFormat="1">
      <c r="A136" s="71" t="s">
        <v>385</v>
      </c>
      <c r="B136" s="56">
        <v>2631</v>
      </c>
      <c r="C136" s="53">
        <v>999910000135</v>
      </c>
      <c r="D136" s="57" t="s">
        <v>117</v>
      </c>
      <c r="E136" s="57" t="s">
        <v>117</v>
      </c>
      <c r="F136" s="57" t="s">
        <v>118</v>
      </c>
      <c r="H136" s="58" t="s"/>
      <c r="K136" s="59" t="s"/>
      <c r="L136" t="s">
        <v>386</v>
      </c>
      <c r="M136" s="60" t="s">
        <f>=IF(A136="",0,IF(RIGHT(A136,3)="ECN","NO","YES"))</f>
        <v>120</v>
      </c>
      <c r="N136" s="57" t="s"/>
      <c r="O136" s="32" t="s">
        <v>118</v>
      </c>
    </row>
    <row r="137" spans="1:15" s="57" customFormat="1">
      <c r="A137" s="71" t="s">
        <v>387</v>
      </c>
      <c r="B137" s="56">
        <v>2631</v>
      </c>
      <c r="C137" s="53">
        <v>999910000136</v>
      </c>
      <c r="D137" s="57" t="s">
        <v>117</v>
      </c>
      <c r="E137" s="57" t="s">
        <v>117</v>
      </c>
      <c r="F137" s="57" t="s">
        <v>118</v>
      </c>
      <c r="H137" s="58" t="s"/>
      <c r="K137" s="59" t="s"/>
      <c r="L137" t="s">
        <v>388</v>
      </c>
      <c r="M137" s="60" t="s">
        <f>=IF(A137="",0,IF(RIGHT(A137,3)="ECN","NO","YES"))</f>
        <v>120</v>
      </c>
      <c r="N137" s="57" t="s"/>
      <c r="O137" s="32" t="s">
        <v>118</v>
      </c>
    </row>
    <row r="138" spans="1:15" s="57" customFormat="1">
      <c r="A138" s="71" t="s">
        <v>389</v>
      </c>
      <c r="B138" s="56">
        <v>2631</v>
      </c>
      <c r="C138" s="53">
        <v>999910000137</v>
      </c>
      <c r="D138" s="57" t="s">
        <v>117</v>
      </c>
      <c r="E138" s="57" t="s">
        <v>117</v>
      </c>
      <c r="F138" s="57" t="s">
        <v>118</v>
      </c>
      <c r="H138" s="58" t="s"/>
      <c r="K138" s="59" t="s"/>
      <c r="L138" t="s">
        <v>390</v>
      </c>
      <c r="M138" s="60" t="s">
        <f>=IF(A138="",0,IF(RIGHT(A138,3)="ECN","NO","YES"))</f>
        <v>120</v>
      </c>
      <c r="N138" s="57" t="s"/>
      <c r="O138" s="32" t="s">
        <v>118</v>
      </c>
    </row>
    <row r="139" spans="1:15" s="57" customFormat="1">
      <c r="A139" s="71" t="s">
        <v>391</v>
      </c>
      <c r="B139" s="56">
        <v>2631</v>
      </c>
      <c r="C139" s="53">
        <v>999910000138</v>
      </c>
      <c r="D139" s="57" t="s">
        <v>117</v>
      </c>
      <c r="E139" s="57" t="s">
        <v>117</v>
      </c>
      <c r="F139" s="57" t="s">
        <v>118</v>
      </c>
      <c r="H139" s="58" t="s"/>
      <c r="K139" s="59" t="s"/>
      <c r="L139" t="s">
        <v>392</v>
      </c>
      <c r="M139" s="60" t="s">
        <f>=IF(A139="",0,IF(RIGHT(A139,3)="ECN","NO","YES"))</f>
        <v>120</v>
      </c>
      <c r="N139" s="57" t="s"/>
      <c r="O139" s="32" t="s">
        <v>118</v>
      </c>
    </row>
    <row r="140" spans="1:15">
      <c r="A140" s="71" t="s">
        <v>393</v>
      </c>
      <c r="B140" s="49">
        <v>2610</v>
      </c>
      <c r="C140" s="53">
        <v>999910000139</v>
      </c>
      <c r="D140" s="57" t="s">
        <v>117</v>
      </c>
      <c r="E140" s="57" t="s">
        <v>117</v>
      </c>
      <c r="F140" s="57" t="s">
        <v>118</v>
      </c>
      <c r="H140" s="50">
        <v>46295</v>
      </c>
      <c r="K140" s="30" t="s"/>
      <c r="M140" s="31" t="s">
        <f>=IF(A140="",0,IF(RIGHT(A140,3)="ECN","NO","YES"))</f>
        <v>151</v>
      </c>
      <c r="O140" s="32" t="s">
        <v>118</v>
      </c>
    </row>
    <row r="141" spans="1:15">
      <c r="A141" s="33" t="s">
        <v>394</v>
      </c>
      <c r="B141" s="49">
        <v>2606</v>
      </c>
      <c r="C141" s="53">
        <v>999910000140</v>
      </c>
      <c r="D141" s="57" t="s">
        <v>117</v>
      </c>
      <c r="E141" s="57" t="s">
        <v>117</v>
      </c>
      <c r="F141" s="57" t="s">
        <v>118</v>
      </c>
      <c r="H141" s="50">
        <v>46302</v>
      </c>
      <c r="I141" s="87" t="s">
        <v>395</v>
      </c>
      <c r="K141" s="30" t="s"/>
      <c r="M141" s="31" t="s">
        <f>=IF(A141="",0,IF(RIGHT(A141,3)="ECN","NO","YES"))</f>
        <v>151</v>
      </c>
      <c r="O141" s="32" t="s">
        <v>118</v>
      </c>
    </row>
    <row r="142" spans="1:15">
      <c r="A142" s="33" t="s">
        <v>396</v>
      </c>
      <c r="B142" s="49">
        <v>2609</v>
      </c>
      <c r="C142" s="53">
        <v>999910000141</v>
      </c>
      <c r="D142" s="57" t="s">
        <v>117</v>
      </c>
      <c r="E142" s="57" t="s">
        <v>117</v>
      </c>
      <c r="F142" s="57" t="s">
        <v>118</v>
      </c>
      <c r="H142" s="50">
        <v>46264</v>
      </c>
      <c r="K142" s="30" t="s"/>
      <c r="M142" s="31" t="s">
        <f>=IF(A142="",0,IF(RIGHT(A142,3)="ECN","NO","YES"))</f>
        <v>151</v>
      </c>
      <c r="O142" s="32" t="s">
        <v>118</v>
      </c>
    </row>
    <row r="143" spans="1:15">
      <c r="A143" s="33" t="s">
        <v>397</v>
      </c>
      <c r="B143" s="49">
        <v>3000</v>
      </c>
      <c r="C143" s="53">
        <v>999910000142</v>
      </c>
      <c r="D143" s="57" t="s">
        <v>117</v>
      </c>
      <c r="E143" s="57" t="s">
        <v>117</v>
      </c>
      <c r="F143" s="57" t="s">
        <v>118</v>
      </c>
      <c r="H143" s="50">
        <v>46387</v>
      </c>
      <c r="I143" s="49" t="s">
        <v>398</v>
      </c>
      <c r="K143" s="30" t="s"/>
      <c r="M143" s="31" t="s">
        <f>=IF(A143="",0,IF(RIGHT(A143,3)="ECN","NO","YES"))</f>
        <v>151</v>
      </c>
      <c r="O143" s="32" t="s">
        <v>118</v>
      </c>
    </row>
    <row r="144" spans="1:15">
      <c r="A144" s="33" t="s">
        <v>399</v>
      </c>
      <c r="B144" s="49">
        <v>3000</v>
      </c>
      <c r="C144" s="53">
        <v>999910000143</v>
      </c>
      <c r="D144" s="57" t="s">
        <v>117</v>
      </c>
      <c r="E144" s="57" t="s">
        <v>117</v>
      </c>
      <c r="F144" s="57" t="s">
        <v>118</v>
      </c>
      <c r="H144" s="50">
        <v>46752</v>
      </c>
      <c r="K144" s="30" t="s"/>
      <c r="M144" s="31" t="s">
        <f>=IF(A144="",0,IF(RIGHT(A144,3)="ECN","NO","YES"))</f>
        <v>151</v>
      </c>
      <c r="O144" s="32" t="s">
        <v>118</v>
      </c>
    </row>
    <row r="145" spans="1:15">
      <c r="A145" s="33" t="s">
        <v>400</v>
      </c>
      <c r="B145" s="49">
        <v>1800</v>
      </c>
      <c r="C145" s="53">
        <v>999910000144</v>
      </c>
      <c r="D145" s="57" t="s">
        <v>117</v>
      </c>
      <c r="E145" s="57" t="s">
        <v>117</v>
      </c>
      <c r="F145" s="57" t="s">
        <v>118</v>
      </c>
      <c r="H145" s="88" t="s"/>
      <c r="J145" t="s">
        <v>401</v>
      </c>
      <c r="K145" s="89">
        <v>18000</v>
      </c>
      <c r="L145" t="s">
        <v>402</v>
      </c>
      <c r="M145" s="31" t="s">
        <f>=IF(A145="",0,IF(RIGHT(A145,3)="ECN","NO","YES"))</f>
        <v>120</v>
      </c>
      <c r="O145" s="32" t="s">
        <v>118</v>
      </c>
    </row>
    <row r="146" spans="1:15">
      <c r="A146" s="33" t="s">
        <v>403</v>
      </c>
      <c r="B146" s="49">
        <v>2616</v>
      </c>
      <c r="C146" s="53">
        <v>999910000145</v>
      </c>
      <c r="D146" s="57" t="s">
        <v>117</v>
      </c>
      <c r="E146" s="57" t="s">
        <v>117</v>
      </c>
      <c r="F146" s="57" t="s">
        <v>118</v>
      </c>
      <c r="J146" t="s">
        <v>404</v>
      </c>
      <c r="K146" s="89">
        <v>170000</v>
      </c>
      <c r="L146" t="s">
        <v>405</v>
      </c>
      <c r="M146" s="31" t="s">
        <f>=IF(A146="",0,IF(RIGHT(A146,3)="ECN","NO","YES"))</f>
        <v>120</v>
      </c>
      <c r="O146" s="32" t="s">
        <v>118</v>
      </c>
    </row>
    <row r="147" spans="1:15">
      <c r="A147" s="45" t="s">
        <v>406</v>
      </c>
      <c r="B147" s="49">
        <v>2616</v>
      </c>
      <c r="C147" s="53">
        <v>999910000146</v>
      </c>
      <c r="D147" s="57" t="s">
        <v>117</v>
      </c>
      <c r="E147" s="57" t="s">
        <v>117</v>
      </c>
      <c r="F147" s="57" t="s">
        <v>118</v>
      </c>
      <c r="H147" s="88" t="s"/>
      <c r="J147" t="s">
        <v>404</v>
      </c>
      <c r="K147" s="90">
        <v>132600</v>
      </c>
      <c r="L147" t="s">
        <v>407</v>
      </c>
      <c r="M147" s="31" t="s">
        <f>=IF(A147="",0,IF(RIGHT(A147,3)="ECN","NO","YES"))</f>
        <v>120</v>
      </c>
      <c r="O147" s="32" t="s">
        <v>118</v>
      </c>
    </row>
    <row r="148" spans="1:15">
      <c r="A148" s="33" t="s">
        <v>408</v>
      </c>
      <c r="B148" s="49">
        <v>2616</v>
      </c>
      <c r="C148" s="53">
        <v>999910000147</v>
      </c>
      <c r="D148" s="57" t="s">
        <v>117</v>
      </c>
      <c r="E148" s="57" t="s">
        <v>117</v>
      </c>
      <c r="F148" s="57" t="s">
        <v>118</v>
      </c>
      <c r="J148" t="s">
        <v>404</v>
      </c>
      <c r="K148" s="91">
        <v>87500</v>
      </c>
      <c r="L148" t="s">
        <v>409</v>
      </c>
      <c r="M148" s="31" t="s">
        <f>=IF(A148="",0,IF(RIGHT(A148,3)="ECN","NO","YES"))</f>
        <v>120</v>
      </c>
      <c r="O148" s="32" t="s">
        <v>118</v>
      </c>
    </row>
    <row r="149" spans="1:15">
      <c r="A149" s="33" t="s">
        <v>410</v>
      </c>
      <c r="B149" s="49">
        <v>2616</v>
      </c>
      <c r="C149" s="53">
        <v>999910000148</v>
      </c>
      <c r="D149" s="57" t="s">
        <v>117</v>
      </c>
      <c r="E149" s="57" t="s">
        <v>117</v>
      </c>
      <c r="F149" s="57" t="s">
        <v>118</v>
      </c>
      <c r="J149" t="s">
        <v>404</v>
      </c>
      <c r="K149" s="30">
        <v>386700</v>
      </c>
      <c r="L149" t="s">
        <v>411</v>
      </c>
      <c r="M149" s="31" t="s">
        <f>=IF(A149="",0,IF(RIGHT(A149,3)="ECN","NO","YES"))</f>
        <v>120</v>
      </c>
      <c r="O149" s="32" t="s">
        <v>118</v>
      </c>
    </row>
    <row r="150" spans="1:15">
      <c r="A150" s="33" t="s">
        <v>412</v>
      </c>
      <c r="B150" s="49">
        <v>2616</v>
      </c>
      <c r="C150" s="53">
        <v>999910000149</v>
      </c>
      <c r="D150" s="57" t="s">
        <v>117</v>
      </c>
      <c r="E150" s="57" t="s">
        <v>117</v>
      </c>
      <c r="F150" s="57" t="s">
        <v>118</v>
      </c>
      <c r="J150" t="s">
        <v>413</v>
      </c>
      <c r="K150" s="30">
        <v>380800</v>
      </c>
      <c r="L150" t="s">
        <v>414</v>
      </c>
      <c r="M150" s="31" t="s">
        <f>=IF(A150="",0,IF(RIGHT(A150,3)="ECN","NO","YES"))</f>
        <v>120</v>
      </c>
      <c r="O150" s="32" t="s">
        <v>118</v>
      </c>
    </row>
    <row r="151" spans="1:15">
      <c r="A151" s="33" t="s">
        <v>415</v>
      </c>
      <c r="B151" s="49">
        <v>2616</v>
      </c>
      <c r="C151" s="53">
        <v>999910000150</v>
      </c>
      <c r="D151" s="57" t="s">
        <v>117</v>
      </c>
      <c r="E151" s="57" t="s">
        <v>117</v>
      </c>
      <c r="F151" s="57" t="s">
        <v>118</v>
      </c>
      <c r="J151" t="s">
        <v>413</v>
      </c>
      <c r="K151" s="30">
        <v>274500</v>
      </c>
      <c r="L151" t="s">
        <v>416</v>
      </c>
      <c r="M151" s="31" t="s">
        <f>=IF(A151="",0,IF(RIGHT(A151,3)="ECN","NO","YES"))</f>
        <v>120</v>
      </c>
      <c r="O151" s="32" t="s">
        <v>118</v>
      </c>
    </row>
    <row r="152" spans="1:15" s="45" customFormat="1">
      <c r="A152" s="33" t="s">
        <v>417</v>
      </c>
      <c r="B152" s="46">
        <v>2615</v>
      </c>
      <c r="C152" s="62">
        <v>999910000151</v>
      </c>
      <c r="D152" s="80" t="s">
        <v>117</v>
      </c>
      <c r="E152" s="80" t="s">
        <v>117</v>
      </c>
      <c r="F152" s="92" t="s">
        <v>118</v>
      </c>
      <c r="H152" s="38" t="s"/>
      <c r="I152" s="39" t="s"/>
      <c r="K152" s="40" t="s"/>
      <c r="L152" s="33" t="s">
        <v>418</v>
      </c>
      <c r="M152" s="41" t="s">
        <f>=IF(A152="",0,IF(RIGHT(A152,3)="ECN","NO","YES"))</f>
        <v>120</v>
      </c>
      <c r="N152" s="45" t="s">
        <v>419</v>
      </c>
      <c r="O152" s="42" t="s">
        <v>118</v>
      </c>
    </row>
    <row r="153" spans="1:15">
      <c r="A153" s="33" t="s">
        <v>420</v>
      </c>
      <c r="B153" s="49">
        <v>2616</v>
      </c>
      <c r="C153" s="53">
        <v>999910000152</v>
      </c>
      <c r="D153" s="57" t="s">
        <v>117</v>
      </c>
      <c r="E153" s="57" t="s">
        <v>117</v>
      </c>
      <c r="F153" s="57" t="s">
        <v>118</v>
      </c>
      <c r="H153" s="50">
        <v>46338</v>
      </c>
      <c r="I153" s="49" t="s">
        <v>421</v>
      </c>
      <c r="K153" s="30" t="s"/>
      <c r="M153" s="31" t="s">
        <f>=IF(A153="",0,IF(RIGHT(A153,3)="ECN","NO","YES"))</f>
        <v>151</v>
      </c>
      <c r="O153" s="32" t="s">
        <v>118</v>
      </c>
    </row>
    <row r="154" spans="1:15">
      <c r="A154" s="33" t="s">
        <v>422</v>
      </c>
      <c r="B154" s="49">
        <v>1800</v>
      </c>
      <c r="C154" s="53">
        <v>999910000153</v>
      </c>
      <c r="D154" s="57" t="s">
        <v>117</v>
      </c>
      <c r="E154" s="57" t="s">
        <v>117</v>
      </c>
      <c r="F154" s="57" t="s">
        <v>118</v>
      </c>
      <c r="H154" s="50">
        <v>46307</v>
      </c>
      <c r="I154" s="49" t="s">
        <v>423</v>
      </c>
      <c r="K154" s="30" t="s"/>
      <c r="M154" s="31" t="s">
        <f>=IF(A154="",0,IF(RIGHT(A154,3)="ECN","NO","YES"))</f>
        <v>151</v>
      </c>
      <c r="O154" s="32" t="s">
        <v>118</v>
      </c>
    </row>
    <row r="155" spans="1:15">
      <c r="A155" s="33" t="s">
        <v>424</v>
      </c>
      <c r="B155" s="46">
        <v>2616</v>
      </c>
      <c r="C155" s="62">
        <v>999910000154</v>
      </c>
      <c r="D155" s="57" t="s">
        <v>117</v>
      </c>
      <c r="E155" s="57" t="s">
        <v>117</v>
      </c>
      <c r="F155" s="57" t="s">
        <v>118</v>
      </c>
      <c r="H155" s="50">
        <v>46752</v>
      </c>
      <c r="J155" t="s">
        <v>425</v>
      </c>
      <c r="K155" s="30">
        <v>277000</v>
      </c>
      <c r="L155" t="s">
        <v>426</v>
      </c>
      <c r="M155" s="31" t="s">
        <f>=IF(A155="",0,IF(RIGHT(A155,3)="ECN","NO","YES"))</f>
        <v>120</v>
      </c>
      <c r="O155" s="32" t="s">
        <v>118</v>
      </c>
    </row>
    <row r="156" spans="1:15" s="57" customFormat="1">
      <c r="A156" s="80" t="s">
        <v>427</v>
      </c>
      <c r="B156" s="56">
        <v>2600</v>
      </c>
      <c r="C156" s="53">
        <v>999910000155</v>
      </c>
      <c r="D156" s="57" t="s">
        <v>117</v>
      </c>
      <c r="E156" s="57" t="s">
        <v>117</v>
      </c>
      <c r="F156" s="72" t="s">
        <v>160</v>
      </c>
      <c r="H156" s="58" t="s"/>
      <c r="I156" s="56" t="s"/>
      <c r="K156" s="59" t="s"/>
      <c r="L156" s="57" t="s">
        <v>428</v>
      </c>
      <c r="M156" s="73" t="s">
        <f>=IF(A156="",0,IF(RIGHT(A156,3)="ECN","NO","YES"))</f>
        <v>120</v>
      </c>
      <c r="O156" s="74" t="s">
        <v>160</v>
      </c>
    </row>
    <row r="157" spans="1:15" s="57" customFormat="1">
      <c r="A157" s="80" t="s">
        <v>429</v>
      </c>
      <c r="B157" s="56">
        <v>2617</v>
      </c>
      <c r="C157" s="53">
        <v>999910000156</v>
      </c>
      <c r="D157" s="57" t="s">
        <v>117</v>
      </c>
      <c r="E157" s="57" t="s">
        <v>117</v>
      </c>
      <c r="F157" s="57" t="s">
        <v>118</v>
      </c>
      <c r="H157" s="93">
        <v>46386</v>
      </c>
      <c r="I157" s="56" t="s">
        <v>430</v>
      </c>
      <c r="K157" s="59" t="s"/>
      <c r="L157" s="57" t="s"/>
      <c r="M157" s="60" t="s">
        <f>=IF(A157="",0,IF(RIGHT(A157,3)="ECN","NO","YES"))</f>
        <v>151</v>
      </c>
      <c r="O157" s="74" t="s">
        <v>118</v>
      </c>
    </row>
    <row r="158" spans="1:15" s="57" customFormat="1">
      <c r="A158" s="94" t="s">
        <v>431</v>
      </c>
      <c r="B158" s="56">
        <v>2610</v>
      </c>
      <c r="C158" s="53">
        <v>999910000157</v>
      </c>
      <c r="D158" s="57" t="s">
        <v>117</v>
      </c>
      <c r="E158" s="57" t="s">
        <v>117</v>
      </c>
      <c r="F158" s="57" t="s">
        <v>118</v>
      </c>
      <c r="H158" s="93">
        <v>46386</v>
      </c>
      <c r="I158" s="56" t="s">
        <v>432</v>
      </c>
      <c r="K158" s="59" t="s"/>
      <c r="L158" s="57" t="s"/>
      <c r="M158" s="60" t="s">
        <f>=IF(A158="",0,IF(RIGHT(A158,3)="ECN","NO","YES"))</f>
        <v>151</v>
      </c>
      <c r="O158" s="74" t="s">
        <v>118</v>
      </c>
    </row>
    <row r="159" spans="1:15" s="57" customFormat="1">
      <c r="A159" s="95" t="s">
        <v>433</v>
      </c>
      <c r="B159" s="56">
        <v>2617</v>
      </c>
      <c r="C159" s="53">
        <v>999910000158</v>
      </c>
      <c r="D159" s="57" t="s">
        <v>117</v>
      </c>
      <c r="E159" s="57" t="s">
        <v>117</v>
      </c>
      <c r="F159" s="57" t="s">
        <v>118</v>
      </c>
      <c r="H159" s="93">
        <v>46386</v>
      </c>
      <c r="I159" s="56" t="s"/>
      <c r="K159" s="59" t="s"/>
      <c r="L159" s="57" t="s"/>
      <c r="M159" s="60" t="s">
        <f>=IF(A159="",0,IF(RIGHT(A159,3)="ECN","NO","YES"))</f>
        <v>151</v>
      </c>
      <c r="O159" s="74" t="s">
        <v>118</v>
      </c>
    </row>
    <row r="160" spans="1:15" s="179" customFormat="1">
      <c r="A160" s="96" t="s">
        <v>1303</v>
      </c>
      <c r="B160" s="79">
        <v>2617</v>
      </c>
      <c r="C160" s="62">
        <v>999910000159</v>
      </c>
      <c r="D160" s="80" t="s">
        <v>117</v>
      </c>
      <c r="E160" s="80" t="s">
        <v>117</v>
      </c>
      <c r="F160" s="66" t="s">
        <v>288</v>
      </c>
      <c r="H160" s="97">
        <v>46386</v>
      </c>
      <c r="I160" s="79" t="s"/>
      <c r="K160" s="82" t="s"/>
      <c r="L160" s="80" t="s"/>
      <c r="M160" s="83" t="s">
        <f>=IF(A160="",0,IF(RIGHT(A160,3)="ECN","NO","YES"))</f>
        <v>151</v>
      </c>
      <c r="O160" s="98" t="s">
        <v>160</v>
      </c>
    </row>
    <row r="161" spans="1:15" s="179" customFormat="1">
      <c r="A161" s="95" t="s">
        <v>434</v>
      </c>
      <c r="B161" s="79">
        <v>2615</v>
      </c>
      <c r="C161" s="62">
        <v>999910000160</v>
      </c>
      <c r="D161" s="80" t="s">
        <v>117</v>
      </c>
      <c r="E161" s="80" t="s">
        <v>117</v>
      </c>
      <c r="F161" s="66" t="s">
        <v>435</v>
      </c>
      <c r="H161" s="97">
        <v>46386</v>
      </c>
      <c r="I161" s="79" t="s"/>
      <c r="K161" s="82" t="s"/>
      <c r="L161" s="80" t="s"/>
      <c r="M161" s="83" t="s">
        <f>=IF(A161="",0,IF(RIGHT(A161,3)="ECN","NO","YES"))</f>
        <v>151</v>
      </c>
      <c r="O161" s="98" t="s">
        <v>160</v>
      </c>
    </row>
    <row r="162" spans="1:15" s="57" customFormat="1">
      <c r="A162" s="80" t="s">
        <v>436</v>
      </c>
      <c r="B162" s="56">
        <v>3000</v>
      </c>
      <c r="C162" s="53">
        <v>999910000161</v>
      </c>
      <c r="D162" s="57" t="s">
        <v>117</v>
      </c>
      <c r="E162" s="57" t="s">
        <v>117</v>
      </c>
      <c r="F162" s="57" t="s">
        <v>118</v>
      </c>
      <c r="H162" s="58" t="s"/>
      <c r="K162" s="59" t="s"/>
      <c r="L162" t="s">
        <v>437</v>
      </c>
      <c r="M162" s="60" t="s">
        <f>=IF(A162="",0,IF(RIGHT(A162,3)="ECN","NO","YES"))</f>
        <v>120</v>
      </c>
      <c r="O162" s="74" t="s">
        <v>118</v>
      </c>
    </row>
    <row r="163" spans="1:15" s="57" customFormat="1">
      <c r="A163" s="80" t="s">
        <v>438</v>
      </c>
      <c r="B163" s="56">
        <v>2616</v>
      </c>
      <c r="C163" s="53">
        <v>999910000162</v>
      </c>
      <c r="D163" s="57" t="s">
        <v>117</v>
      </c>
      <c r="E163" s="57" t="s">
        <v>117</v>
      </c>
      <c r="F163" s="57" t="s">
        <v>118</v>
      </c>
      <c r="H163" s="58" t="s"/>
      <c r="J163" s="57" t="s">
        <v>439</v>
      </c>
      <c r="K163" s="59" t="s"/>
      <c r="L163" t="s">
        <v>440</v>
      </c>
      <c r="M163" s="60" t="s">
        <f>=IF(A163="",0,IF(RIGHT(A163,3)="ECN","NO","YES"))</f>
        <v>120</v>
      </c>
      <c r="O163" s="74" t="s">
        <v>118</v>
      </c>
    </row>
    <row r="164" spans="1:15">
      <c r="A164" s="33" t="s">
        <v>441</v>
      </c>
      <c r="B164" s="49">
        <v>2616</v>
      </c>
      <c r="C164" s="53">
        <v>999910000163</v>
      </c>
      <c r="D164" s="57" t="s">
        <v>117</v>
      </c>
      <c r="E164" s="57" t="s">
        <v>117</v>
      </c>
      <c r="F164" s="57" t="s">
        <v>118</v>
      </c>
      <c r="K164" s="30" t="s"/>
      <c r="L164" t="s">
        <v>442</v>
      </c>
      <c r="M164" s="31" t="s">
        <f>=IF(A164="",0,IF(RIGHT(A164,3)="ECN","NO","YES"))</f>
        <v>120</v>
      </c>
      <c r="O164" s="32" t="s">
        <v>118</v>
      </c>
    </row>
    <row r="165" spans="1:15">
      <c r="A165" s="33" t="s">
        <v>443</v>
      </c>
      <c r="B165" s="49">
        <v>1400</v>
      </c>
      <c r="C165" s="53">
        <v>999910000164</v>
      </c>
      <c r="D165" s="57" t="s">
        <v>117</v>
      </c>
      <c r="E165" s="57" t="s">
        <v>117</v>
      </c>
      <c r="F165" s="57" t="s">
        <v>118</v>
      </c>
      <c r="K165" s="30" t="s"/>
      <c r="L165" t="s">
        <v>444</v>
      </c>
      <c r="M165" s="31" t="s">
        <f>=IF(A165="",0,IF(RIGHT(A165,3)="ECN","NO","YES"))</f>
        <v>120</v>
      </c>
      <c r="O165" s="32" t="s">
        <v>118</v>
      </c>
    </row>
    <row r="166" spans="1:15">
      <c r="A166" s="33" t="s">
        <v>445</v>
      </c>
      <c r="B166" s="49">
        <v>2900</v>
      </c>
      <c r="C166" s="53">
        <v>999910000165</v>
      </c>
      <c r="D166" s="57" t="s">
        <v>117</v>
      </c>
      <c r="E166" s="57" t="s">
        <v>117</v>
      </c>
      <c r="F166" s="57" t="s">
        <v>118</v>
      </c>
      <c r="K166" s="30" t="s"/>
      <c r="L166" t="s">
        <v>446</v>
      </c>
      <c r="M166" s="31" t="s">
        <f>=IF(A166="",0,IF(RIGHT(A166,3)="ECN","NO","YES"))</f>
        <v>120</v>
      </c>
      <c r="O166" s="32" t="s">
        <v>118</v>
      </c>
    </row>
    <row r="167" spans="1:15">
      <c r="A167" s="33" t="s">
        <v>447</v>
      </c>
      <c r="B167" s="49">
        <v>1800</v>
      </c>
      <c r="C167" s="53">
        <v>999910000166</v>
      </c>
      <c r="D167" s="57" t="s">
        <v>117</v>
      </c>
      <c r="E167" s="57" t="s">
        <v>117</v>
      </c>
      <c r="F167" s="57" t="s">
        <v>118</v>
      </c>
      <c r="J167" t="s">
        <v>448</v>
      </c>
      <c r="K167" s="30" t="s"/>
      <c r="L167" t="s">
        <v>449</v>
      </c>
      <c r="M167" s="31" t="s">
        <f>=IF(A167="",0,IF(RIGHT(A167,3)="ECN","NO","YES"))</f>
        <v>120</v>
      </c>
      <c r="O167" s="32" t="s">
        <v>118</v>
      </c>
    </row>
    <row r="168" spans="1:15" s="57" customFormat="1">
      <c r="A168" s="80" t="s">
        <v>450</v>
      </c>
      <c r="B168" s="56">
        <v>1800</v>
      </c>
      <c r="C168" s="53">
        <v>999910000167</v>
      </c>
      <c r="D168" s="57" t="s">
        <v>117</v>
      </c>
      <c r="E168" s="57" t="s">
        <v>117</v>
      </c>
      <c r="F168" s="57" t="s">
        <v>118</v>
      </c>
      <c r="H168" s="58" t="s"/>
      <c r="J168" s="57" t="s">
        <v>451</v>
      </c>
      <c r="K168" s="59" t="s"/>
      <c r="L168" t="s">
        <v>452</v>
      </c>
      <c r="M168" s="60" t="s">
        <f>=IF(A168="",0,IF(RIGHT(A168,3)="ECN","NO","YES"))</f>
        <v>120</v>
      </c>
      <c r="O168" s="74" t="s">
        <v>118</v>
      </c>
    </row>
    <row r="169" spans="1:15" s="57" customFormat="1">
      <c r="A169" s="80" t="s">
        <v>453</v>
      </c>
      <c r="B169" s="56">
        <v>1800</v>
      </c>
      <c r="C169" s="53">
        <v>999910000168</v>
      </c>
      <c r="D169" s="57" t="s">
        <v>117</v>
      </c>
      <c r="E169" s="57" t="s">
        <v>117</v>
      </c>
      <c r="F169" s="57" t="s">
        <v>118</v>
      </c>
      <c r="H169" s="58" t="s"/>
      <c r="J169" s="57" t="s">
        <v>454</v>
      </c>
      <c r="K169" s="59" t="s"/>
      <c r="L169" t="s">
        <v>455</v>
      </c>
      <c r="M169" s="60" t="s">
        <f>=IF(A169="",0,IF(RIGHT(A169,3)="ECN","NO","YES"))</f>
        <v>120</v>
      </c>
      <c r="O169" s="74" t="s">
        <v>118</v>
      </c>
    </row>
    <row r="170" spans="1:15" s="57" customFormat="1">
      <c r="A170" s="80" t="s">
        <v>456</v>
      </c>
      <c r="B170" s="56">
        <v>1800</v>
      </c>
      <c r="C170" s="53">
        <v>999910000169</v>
      </c>
      <c r="D170" s="57" t="s">
        <v>117</v>
      </c>
      <c r="E170" s="57" t="s">
        <v>117</v>
      </c>
      <c r="F170" s="57" t="s">
        <v>118</v>
      </c>
      <c r="H170" s="58" t="s"/>
      <c r="J170" s="57" t="s">
        <v>457</v>
      </c>
      <c r="K170" s="59" t="s"/>
      <c r="L170" t="s">
        <v>458</v>
      </c>
      <c r="M170" s="60" t="s">
        <f>=IF(A170="",0,IF(RIGHT(A170,3)="ECN","NO","YES"))</f>
        <v>120</v>
      </c>
      <c r="O170" s="74" t="s">
        <v>118</v>
      </c>
    </row>
    <row r="171" spans="1:15" s="57" customFormat="1">
      <c r="A171" s="80" t="s">
        <v>459</v>
      </c>
      <c r="B171" s="56">
        <v>1800</v>
      </c>
      <c r="C171" s="53">
        <v>999910000170</v>
      </c>
      <c r="D171" s="57" t="s">
        <v>117</v>
      </c>
      <c r="E171" s="57" t="s">
        <v>117</v>
      </c>
      <c r="F171" s="57" t="s">
        <v>118</v>
      </c>
      <c r="H171" s="58" t="s"/>
      <c r="K171" s="59" t="s"/>
      <c r="L171" t="s">
        <v>460</v>
      </c>
      <c r="M171" s="60" t="s">
        <f>=IF(A171="",0,IF(RIGHT(A171,3)="ECN","NO","YES"))</f>
        <v>120</v>
      </c>
      <c r="O171" s="74" t="s">
        <v>118</v>
      </c>
    </row>
    <row r="172" spans="1:15">
      <c r="A172" s="33" t="s">
        <v>461</v>
      </c>
      <c r="B172" s="49">
        <v>2617</v>
      </c>
      <c r="C172" s="53">
        <v>999910000171</v>
      </c>
      <c r="D172" s="57" t="s">
        <v>117</v>
      </c>
      <c r="E172" s="57" t="s">
        <v>117</v>
      </c>
      <c r="F172" s="57" t="s">
        <v>118</v>
      </c>
      <c r="H172" s="50">
        <v>46356</v>
      </c>
      <c r="K172" s="30" t="s"/>
      <c r="M172" s="31" t="s">
        <f>=IF(A172="",0,IF(RIGHT(A172,3)="ECN","NO","YES"))</f>
        <v>151</v>
      </c>
      <c r="O172" s="32" t="s">
        <v>118</v>
      </c>
    </row>
    <row r="173" spans="1:15">
      <c r="A173" s="33" t="s">
        <v>462</v>
      </c>
      <c r="B173" s="49">
        <v>2617</v>
      </c>
      <c r="C173" s="53">
        <v>999910000172</v>
      </c>
      <c r="D173" s="57" t="s">
        <v>117</v>
      </c>
      <c r="E173" s="57" t="s">
        <v>117</v>
      </c>
      <c r="F173" s="57" t="s">
        <v>118</v>
      </c>
      <c r="H173" s="50">
        <v>46356</v>
      </c>
      <c r="K173" s="30" t="s"/>
      <c r="M173" s="31" t="s">
        <f>=IF(A173="",0,IF(RIGHT(A173,3)="ECN","NO","YES"))</f>
        <v>151</v>
      </c>
      <c r="O173" s="32" t="s">
        <v>118</v>
      </c>
    </row>
    <row r="174" spans="1:15">
      <c r="A174" s="33" t="s">
        <v>463</v>
      </c>
      <c r="B174" s="49">
        <v>2601</v>
      </c>
      <c r="C174" s="53">
        <v>999910000173</v>
      </c>
      <c r="D174" s="57" t="s">
        <v>117</v>
      </c>
      <c r="E174" s="57" t="s">
        <v>117</v>
      </c>
      <c r="F174" s="57" t="s">
        <v>118</v>
      </c>
      <c r="H174" s="50">
        <v>46356</v>
      </c>
      <c r="I174" s="51" t="s">
        <v>464</v>
      </c>
      <c r="K174" s="30" t="s"/>
      <c r="M174" s="31" t="s">
        <f>=IF(A174="",0,IF(RIGHT(A174,3)="ECN","NO","YES"))</f>
        <v>151</v>
      </c>
      <c r="O174" s="32" t="s">
        <v>118</v>
      </c>
    </row>
    <row r="175" spans="1:15">
      <c r="A175" s="33" t="s">
        <v>465</v>
      </c>
      <c r="B175" s="49">
        <v>1800</v>
      </c>
      <c r="C175" s="53">
        <v>999910000174</v>
      </c>
      <c r="D175" s="57" t="s">
        <v>117</v>
      </c>
      <c r="E175" s="57" t="s">
        <v>117</v>
      </c>
      <c r="F175" s="57" t="s">
        <v>118</v>
      </c>
      <c r="H175" s="50">
        <v>46346</v>
      </c>
      <c r="I175" s="49" t="s">
        <v>466</v>
      </c>
      <c r="K175" s="30" t="s"/>
      <c r="M175" s="31" t="s">
        <f>=IF(A175="",0,IF(RIGHT(A175,3)="ECN","NO","YES"))</f>
        <v>151</v>
      </c>
      <c r="O175" s="32" t="s">
        <v>118</v>
      </c>
    </row>
    <row r="176" spans="1:15">
      <c r="A176" s="80" t="s">
        <v>467</v>
      </c>
      <c r="B176" s="49">
        <v>1800</v>
      </c>
      <c r="C176" s="53">
        <v>999910000175</v>
      </c>
      <c r="D176" s="57" t="s">
        <v>117</v>
      </c>
      <c r="E176" s="57" t="s">
        <v>117</v>
      </c>
      <c r="F176" s="57" t="s">
        <v>118</v>
      </c>
      <c r="H176" s="50">
        <v>46356</v>
      </c>
      <c r="K176" s="30" t="s"/>
      <c r="M176" s="31" t="s">
        <f>=IF(A176="",0,IF(RIGHT(A176,3)="ECN","NO","YES"))</f>
        <v>151</v>
      </c>
      <c r="O176" s="32" t="s">
        <v>118</v>
      </c>
    </row>
    <row r="177" spans="1:15" s="101" customFormat="1">
      <c r="A177" s="80" t="s">
        <v>468</v>
      </c>
      <c r="B177" s="49">
        <v>1800</v>
      </c>
      <c r="C177" s="53">
        <v>999910000176</v>
      </c>
      <c r="D177" s="57" t="s">
        <v>117</v>
      </c>
      <c r="E177" s="57" t="s">
        <v>117</v>
      </c>
      <c r="F177" s="57" t="s">
        <v>118</v>
      </c>
      <c r="H177" s="50">
        <v>46346</v>
      </c>
      <c r="I177" s="99" t="s"/>
      <c r="K177" s="100" t="s"/>
      <c r="L177" s="101" t="s"/>
      <c r="M177" s="60" t="s">
        <f>=IF(A177="",0,IF(RIGHT(A177,3)="ECN","NO","YES"))</f>
        <v>151</v>
      </c>
      <c r="O177" s="74" t="s">
        <v>118</v>
      </c>
    </row>
    <row r="178" spans="1:15">
      <c r="A178" s="33" t="s">
        <v>469</v>
      </c>
      <c r="B178" s="49">
        <v>2617</v>
      </c>
      <c r="C178" s="53">
        <v>999910000177</v>
      </c>
      <c r="D178" s="57" t="s">
        <v>117</v>
      </c>
      <c r="E178" s="57" t="s">
        <v>117</v>
      </c>
      <c r="F178" s="57" t="s">
        <v>118</v>
      </c>
      <c r="K178" s="30" t="s"/>
      <c r="L178" t="s">
        <v>470</v>
      </c>
      <c r="M178" s="31" t="s">
        <f>=IF(A178="",0,IF(RIGHT(A178,3)="ECN","NO","YES"))</f>
        <v>120</v>
      </c>
      <c r="O178" s="32" t="s">
        <v>118</v>
      </c>
    </row>
    <row r="179" spans="1:15">
      <c r="A179" s="33" t="s">
        <v>471</v>
      </c>
      <c r="B179" s="49">
        <v>2617</v>
      </c>
      <c r="C179" s="53">
        <v>999910000178</v>
      </c>
      <c r="D179" s="57" t="s">
        <v>117</v>
      </c>
      <c r="E179" s="57" t="s">
        <v>117</v>
      </c>
      <c r="F179" s="57" t="s">
        <v>118</v>
      </c>
      <c r="J179" t="s">
        <v>472</v>
      </c>
      <c r="K179" s="30" t="s"/>
      <c r="L179" s="102" t="s">
        <v>473</v>
      </c>
      <c r="M179" s="31" t="s">
        <f>=IF(A179="",0,IF(RIGHT(A179,3)="ECN","NO","YES"))</f>
        <v>120</v>
      </c>
      <c r="O179" s="32" t="s">
        <v>118</v>
      </c>
    </row>
    <row r="180" spans="1:15">
      <c r="A180" s="103" t="s">
        <v>474</v>
      </c>
      <c r="B180" s="49">
        <v>2617</v>
      </c>
      <c r="C180" s="53">
        <v>999910000179</v>
      </c>
      <c r="D180" s="57" t="s">
        <v>117</v>
      </c>
      <c r="E180" s="57" t="s">
        <v>117</v>
      </c>
      <c r="F180" s="57" t="s">
        <v>118</v>
      </c>
      <c r="J180" t="s">
        <v>472</v>
      </c>
      <c r="K180" s="30" t="s"/>
      <c r="L180" s="104" t="s">
        <v>475</v>
      </c>
      <c r="M180" s="31" t="s">
        <f>=IF(A180="",0,IF(RIGHT(A180,3)="ECN","NO","YES"))</f>
        <v>120</v>
      </c>
      <c r="O180" s="32" t="s">
        <v>118</v>
      </c>
    </row>
    <row r="181" spans="1:15">
      <c r="A181" s="33" t="s">
        <v>476</v>
      </c>
      <c r="B181" s="49">
        <v>2601</v>
      </c>
      <c r="C181" s="53">
        <v>999910000180</v>
      </c>
      <c r="D181" s="57" t="s">
        <v>117</v>
      </c>
      <c r="E181" s="57" t="s">
        <v>117</v>
      </c>
      <c r="F181" s="57" t="s">
        <v>118</v>
      </c>
      <c r="H181" s="50">
        <v>46356</v>
      </c>
      <c r="K181" s="30" t="s"/>
      <c r="M181" s="31" t="s">
        <f>=IF(A181="",0,IF(RIGHT(A181,3)="ECN","NO","YES"))</f>
        <v>151</v>
      </c>
      <c r="O181" s="32" t="s">
        <v>118</v>
      </c>
    </row>
    <row r="182" spans="1:15">
      <c r="A182" s="33" t="s">
        <v>477</v>
      </c>
      <c r="B182" s="49">
        <v>2615</v>
      </c>
      <c r="C182" s="53">
        <v>999910000181</v>
      </c>
      <c r="D182" s="57" t="s">
        <v>117</v>
      </c>
      <c r="E182" s="57" t="s">
        <v>117</v>
      </c>
      <c r="F182" s="57" t="s">
        <v>118</v>
      </c>
      <c r="J182" t="s">
        <v>478</v>
      </c>
      <c r="K182" s="30" t="s"/>
      <c r="L182" t="s">
        <v>479</v>
      </c>
      <c r="M182" s="31" t="s">
        <f>=IF(A182="",0,IF(RIGHT(A182,3)="ECN","NO","YES"))</f>
        <v>120</v>
      </c>
      <c r="O182" s="32" t="s">
        <v>118</v>
      </c>
    </row>
    <row r="183" spans="1:15">
      <c r="A183" s="33" t="s">
        <v>480</v>
      </c>
      <c r="B183" s="49">
        <v>2615</v>
      </c>
      <c r="C183" s="53">
        <v>999910000182</v>
      </c>
      <c r="D183" s="57" t="s">
        <v>117</v>
      </c>
      <c r="E183" s="57" t="s">
        <v>117</v>
      </c>
      <c r="F183" s="57" t="s">
        <v>118</v>
      </c>
      <c r="J183" t="s">
        <v>478</v>
      </c>
      <c r="K183" s="30" t="s"/>
      <c r="L183" t="s">
        <v>481</v>
      </c>
      <c r="M183" s="31" t="s">
        <f>=IF(A183="",0,IF(RIGHT(A183,3)="ECN","NO","YES"))</f>
        <v>120</v>
      </c>
      <c r="O183" s="32" t="s">
        <v>118</v>
      </c>
    </row>
    <row r="184" spans="1:15">
      <c r="A184" s="33" t="s">
        <v>482</v>
      </c>
      <c r="B184" s="49">
        <v>2615</v>
      </c>
      <c r="C184" s="53">
        <v>999910000183</v>
      </c>
      <c r="D184" s="57" t="s">
        <v>117</v>
      </c>
      <c r="E184" s="57" t="s">
        <v>117</v>
      </c>
      <c r="F184" s="57" t="s">
        <v>118</v>
      </c>
      <c r="J184" t="s">
        <v>483</v>
      </c>
      <c r="K184" s="30" t="s"/>
      <c r="L184" t="s">
        <v>484</v>
      </c>
      <c r="M184" s="31" t="s">
        <f>=IF(A184="",0,IF(RIGHT(A184,3)="ECN","NO","YES"))</f>
        <v>120</v>
      </c>
      <c r="O184" s="32" t="s">
        <v>118</v>
      </c>
    </row>
    <row r="185" spans="1:15">
      <c r="A185" s="33" t="s">
        <v>485</v>
      </c>
      <c r="B185" s="49">
        <v>2604</v>
      </c>
      <c r="C185" s="53">
        <v>999910000184</v>
      </c>
      <c r="D185" s="57" t="s">
        <v>117</v>
      </c>
      <c r="E185" s="57" t="s">
        <v>117</v>
      </c>
      <c r="F185" s="57" t="s">
        <v>118</v>
      </c>
      <c r="J185" t="s">
        <v>486</v>
      </c>
      <c r="K185" s="30" t="s"/>
      <c r="L185" s="102" t="s">
        <v>487</v>
      </c>
      <c r="M185" s="31" t="s">
        <f>=IF(A185="",0,IF(RIGHT(A185,3)="ECN","NO","YES"))</f>
        <v>120</v>
      </c>
      <c r="O185" s="32" t="s">
        <v>118</v>
      </c>
    </row>
    <row r="186" spans="1:15">
      <c r="A186" s="33" t="s">
        <v>488</v>
      </c>
      <c r="B186" s="49">
        <v>2601</v>
      </c>
      <c r="C186" s="53">
        <v>999910000185</v>
      </c>
      <c r="D186" s="57" t="s">
        <v>117</v>
      </c>
      <c r="E186" s="57" t="s">
        <v>117</v>
      </c>
      <c r="F186" s="57" t="s">
        <v>118</v>
      </c>
      <c r="H186" s="50">
        <v>46387</v>
      </c>
      <c r="K186" s="30" t="s"/>
      <c r="M186" s="31" t="s">
        <f>=IF(A186="",0,IF(RIGHT(A186,3)="ECN","NO","YES"))</f>
        <v>151</v>
      </c>
      <c r="O186" s="32" t="s">
        <v>118</v>
      </c>
    </row>
    <row r="187" spans="1:15">
      <c r="A187" s="33" t="s">
        <v>489</v>
      </c>
      <c r="B187" s="49">
        <v>2600</v>
      </c>
      <c r="C187" s="53">
        <v>999910000186</v>
      </c>
      <c r="D187" s="57" t="s">
        <v>117</v>
      </c>
      <c r="E187" s="57" t="s">
        <v>117</v>
      </c>
      <c r="F187" s="57" t="s">
        <v>118</v>
      </c>
      <c r="K187" s="30" t="s"/>
      <c r="L187" s="76" t="s">
        <v>490</v>
      </c>
      <c r="M187" s="31" t="s">
        <f>=IF(A187="",0,IF(RIGHT(A187,3)="ECN","NO","YES"))</f>
        <v>120</v>
      </c>
      <c r="O187" s="32" t="s">
        <v>118</v>
      </c>
    </row>
    <row r="188" spans="1:15">
      <c r="A188" s="33" t="s">
        <v>491</v>
      </c>
      <c r="B188" s="49">
        <v>2611</v>
      </c>
      <c r="C188" s="17">
        <v>999910000187</v>
      </c>
      <c r="D188" s="57" t="s">
        <v>117</v>
      </c>
      <c r="E188" s="57" t="s">
        <v>117</v>
      </c>
      <c r="F188" s="57" t="s">
        <v>118</v>
      </c>
      <c r="K188" s="30" t="s"/>
      <c r="L188" s="76" t="s">
        <v>492</v>
      </c>
      <c r="M188" s="31" t="s">
        <f>=IF(A188="",0,IF(RIGHT(A188,3)="ECN","NO","YES"))</f>
        <v>120</v>
      </c>
      <c r="O188" s="32" t="s">
        <v>118</v>
      </c>
    </row>
    <row r="189" spans="1:15">
      <c r="A189" s="105" t="s">
        <v>493</v>
      </c>
      <c r="B189" s="49">
        <v>2600</v>
      </c>
      <c r="C189" s="17">
        <v>999910000188</v>
      </c>
      <c r="D189" s="57" t="s">
        <v>117</v>
      </c>
      <c r="E189" s="57" t="s">
        <v>117</v>
      </c>
      <c r="F189" s="57" t="s">
        <v>118</v>
      </c>
      <c r="K189" s="30" t="s"/>
      <c r="L189" s="76" t="s">
        <v>494</v>
      </c>
      <c r="M189" s="31" t="s">
        <f>=IF(A189="",0,IF(RIGHT(A189,3)="ECN","NO","YES"))</f>
        <v>120</v>
      </c>
      <c r="O189" s="32" t="s">
        <v>118</v>
      </c>
    </row>
    <row r="190" spans="1:15">
      <c r="A190" s="105" t="s">
        <v>495</v>
      </c>
      <c r="B190" s="106">
        <v>2600</v>
      </c>
      <c r="C190" s="107">
        <v>999910000189</v>
      </c>
      <c r="D190" s="57" t="s">
        <v>117</v>
      </c>
      <c r="E190" s="57" t="s">
        <v>117</v>
      </c>
      <c r="F190" s="57" t="s">
        <v>118</v>
      </c>
      <c r="K190" s="30" t="s"/>
      <c r="L190" s="76" t="s">
        <v>496</v>
      </c>
      <c r="M190" s="31" t="s">
        <f>=IF(A190="",0,IF(RIGHT(A190,3)="ECN","NO","YES"))</f>
        <v>120</v>
      </c>
      <c r="O190" s="32" t="s">
        <v>118</v>
      </c>
    </row>
    <row r="191" spans="1:15">
      <c r="A191" s="105" t="s">
        <v>497</v>
      </c>
      <c r="B191" s="108">
        <v>2601</v>
      </c>
      <c r="C191" s="107">
        <v>999910000190</v>
      </c>
      <c r="D191" s="57" t="s">
        <v>117</v>
      </c>
      <c r="E191" s="57" t="s">
        <v>117</v>
      </c>
      <c r="F191" s="57" t="s">
        <v>118</v>
      </c>
      <c r="H191" s="50">
        <v>46265</v>
      </c>
      <c r="K191" s="30" t="s"/>
      <c r="M191" s="31" t="s">
        <f>=IF(A191="",0,IF(RIGHT(A191,3)="ECN","NO","YES"))</f>
        <v>151</v>
      </c>
      <c r="O191" s="32" t="s">
        <v>118</v>
      </c>
    </row>
    <row r="192" spans="1:22" s="45" customFormat="1">
      <c r="A192" s="109" t="s">
        <v>498</v>
      </c>
      <c r="B192" s="110">
        <v>2615</v>
      </c>
      <c r="C192" s="111">
        <v>999910000191</v>
      </c>
      <c r="D192" s="112" t="s">
        <v>117</v>
      </c>
      <c r="E192" s="112" t="s">
        <v>117</v>
      </c>
      <c r="F192" s="112" t="s">
        <v>118</v>
      </c>
      <c r="G192" s="33" t="s"/>
      <c r="H192" s="113" t="s"/>
      <c r="I192" s="46" t="s"/>
      <c r="J192" s="114" t="s"/>
      <c r="K192" s="115" t="s"/>
      <c r="L192" s="116" t="s">
        <v>499</v>
      </c>
      <c r="M192" s="65" t="s">
        <f>=IF(A192="",0,IF(RIGHT(A192,3)="ECN","NO","YES"))</f>
        <v>120</v>
      </c>
      <c r="N192" s="33" t="s"/>
      <c r="O192" s="86" t="s">
        <v>118</v>
      </c>
      <c r="P192" s="33" t="s"/>
      <c r="Q192" s="33" t="s"/>
      <c r="R192" s="33" t="s"/>
      <c r="S192" s="33" t="s"/>
      <c r="T192" s="33" t="s"/>
      <c r="U192" s="33" t="s"/>
      <c r="V192" s="33" t="s"/>
    </row>
    <row r="193" spans="1:15">
      <c r="A193" s="33" t="s">
        <v>500</v>
      </c>
      <c r="B193" s="117">
        <v>2601</v>
      </c>
      <c r="C193" s="17">
        <v>999910000192</v>
      </c>
      <c r="D193" s="57" t="s">
        <v>117</v>
      </c>
      <c r="E193" s="57" t="s">
        <v>117</v>
      </c>
      <c r="F193" s="57" t="s">
        <v>118</v>
      </c>
      <c r="H193" s="50">
        <v>46388</v>
      </c>
      <c r="J193" t="s">
        <v>501</v>
      </c>
      <c r="K193" s="30" t="s"/>
      <c r="L193" s="102" t="s">
        <v>502</v>
      </c>
      <c r="M193" s="31" t="s">
        <f>=IF(A193="",0,IF(RIGHT(A193,3)="ECN","NO","YES"))</f>
        <v>120</v>
      </c>
      <c r="O193" s="32" t="s">
        <v>118</v>
      </c>
    </row>
    <row r="194" spans="1:15">
      <c r="A194" s="33" t="s">
        <v>503</v>
      </c>
      <c r="B194" s="49">
        <v>2900</v>
      </c>
      <c r="C194" s="17">
        <v>999910000193</v>
      </c>
      <c r="D194" s="57" t="s">
        <v>117</v>
      </c>
      <c r="E194" s="57" t="s">
        <v>117</v>
      </c>
      <c r="F194" s="57" t="s">
        <v>118</v>
      </c>
      <c r="H194" s="50">
        <v>46388</v>
      </c>
      <c r="K194" s="30" t="s"/>
      <c r="L194" s="102" t="s">
        <v>504</v>
      </c>
      <c r="M194" s="31" t="s">
        <f>=IF(A194="",0,IF(RIGHT(A194,3)="ECN","NO","YES"))</f>
        <v>120</v>
      </c>
      <c r="O194" s="32" t="s">
        <v>118</v>
      </c>
    </row>
    <row r="195" spans="1:15">
      <c r="A195" s="45" t="s">
        <v>505</v>
      </c>
      <c r="B195" s="49">
        <v>2612</v>
      </c>
      <c r="C195" s="52">
        <v>999910000194</v>
      </c>
      <c r="D195" s="57" t="s">
        <v>117</v>
      </c>
      <c r="E195" s="57" t="s">
        <v>117</v>
      </c>
      <c r="F195" s="57" t="s">
        <v>118</v>
      </c>
      <c r="H195" s="50">
        <v>46326</v>
      </c>
      <c r="K195" s="30" t="s"/>
      <c r="M195" s="31" t="s">
        <f>=IF(A195="",0,IF(RIGHT(A195,3)="ECN","NO","YES"))</f>
        <v>151</v>
      </c>
      <c r="O195" s="32" t="s">
        <v>118</v>
      </c>
    </row>
    <row r="196" spans="1:15">
      <c r="A196" s="45" t="s">
        <v>506</v>
      </c>
      <c r="B196" s="49">
        <v>2615</v>
      </c>
      <c r="C196" s="17">
        <v>999910000195</v>
      </c>
      <c r="D196" s="57" t="s">
        <v>117</v>
      </c>
      <c r="E196" s="57" t="s">
        <v>117</v>
      </c>
      <c r="F196" s="57" t="s">
        <v>118</v>
      </c>
      <c r="H196" s="50">
        <v>46843</v>
      </c>
      <c r="J196" t="s">
        <v>507</v>
      </c>
      <c r="K196" s="30" t="s"/>
      <c r="L196" s="102" t="s">
        <v>508</v>
      </c>
      <c r="M196" s="31" t="s">
        <f>=IF(A196="",0,IF(RIGHT(A196,3)="ECN","NO","YES"))</f>
        <v>120</v>
      </c>
      <c r="O196" s="32" t="s">
        <v>118</v>
      </c>
    </row>
    <row r="197" spans="1:15">
      <c r="A197" s="33" t="s">
        <v>509</v>
      </c>
      <c r="B197" s="49">
        <v>1400</v>
      </c>
      <c r="C197" s="17">
        <v>999910000196</v>
      </c>
      <c r="D197" s="57" t="s">
        <v>117</v>
      </c>
      <c r="E197" s="57" t="s">
        <v>117</v>
      </c>
      <c r="F197" s="57" t="s">
        <v>118</v>
      </c>
      <c r="H197" s="50">
        <v>46713</v>
      </c>
      <c r="J197" t="s">
        <v>510</v>
      </c>
      <c r="K197" s="30" t="s"/>
      <c r="L197" s="118" t="s">
        <v>511</v>
      </c>
      <c r="M197" s="31" t="s">
        <f>=IF(A197="",0,IF(RIGHT(A197,3)="ECN","NO","YES"))</f>
        <v>120</v>
      </c>
      <c r="O197" s="32" t="s">
        <v>118</v>
      </c>
    </row>
    <row r="198" spans="1:15">
      <c r="A198" s="44" t="s">
        <v>512</v>
      </c>
      <c r="B198" s="49">
        <v>2616</v>
      </c>
      <c r="C198" s="17">
        <v>999910000197</v>
      </c>
      <c r="D198" s="57" t="s">
        <v>117</v>
      </c>
      <c r="E198" s="57" t="s">
        <v>117</v>
      </c>
      <c r="F198" s="57" t="s">
        <v>118</v>
      </c>
      <c r="H198" s="50">
        <v>46476</v>
      </c>
      <c r="J198" t="s">
        <v>513</v>
      </c>
      <c r="K198" s="30" t="s"/>
      <c r="L198" s="102" t="s">
        <v>514</v>
      </c>
      <c r="M198" s="31" t="s">
        <f>=IF(A198="",0,IF(RIGHT(A198,3)="ECN","NO","YES"))</f>
        <v>120</v>
      </c>
      <c r="O198" s="32" t="s">
        <v>118</v>
      </c>
    </row>
    <row r="199" spans="1:15">
      <c r="A199" s="45" t="s">
        <v>515</v>
      </c>
      <c r="B199" s="49">
        <v>2600</v>
      </c>
      <c r="C199" s="17">
        <v>999910000198</v>
      </c>
      <c r="D199" s="57" t="s">
        <v>117</v>
      </c>
      <c r="E199" s="57" t="s">
        <v>117</v>
      </c>
      <c r="F199" s="57" t="s">
        <v>118</v>
      </c>
      <c r="H199" s="50">
        <v>46476</v>
      </c>
      <c r="K199" s="30" t="s"/>
      <c r="L199" s="102" t="s">
        <v>516</v>
      </c>
      <c r="M199" s="31" t="s">
        <f>=IF(A199="",0,IF(RIGHT(A199,3)="ECN","NO","YES"))</f>
        <v>120</v>
      </c>
      <c r="O199" s="32" t="s">
        <v>118</v>
      </c>
    </row>
    <row r="200" spans="1:15">
      <c r="A200" s="45" t="s">
        <v>517</v>
      </c>
      <c r="B200" s="49">
        <v>2601</v>
      </c>
      <c r="C200" s="17">
        <v>999910000199</v>
      </c>
      <c r="D200" s="57" t="s">
        <v>117</v>
      </c>
      <c r="E200" s="57" t="s">
        <v>117</v>
      </c>
      <c r="F200" s="57" t="s">
        <v>118</v>
      </c>
      <c r="H200" s="50">
        <v>46660</v>
      </c>
      <c r="J200" t="s">
        <v>518</v>
      </c>
      <c r="K200" s="30">
        <v>1916800</v>
      </c>
      <c r="L200" s="77" t="s">
        <v>519</v>
      </c>
      <c r="M200" s="31" t="s">
        <f>=IF(A200="",0,IF(RIGHT(A200,3)="ECN","NO","YES"))</f>
        <v>120</v>
      </c>
      <c r="O200" s="32" t="s">
        <v>118</v>
      </c>
    </row>
    <row r="201" spans="1:15">
      <c r="A201" s="45" t="s">
        <v>520</v>
      </c>
      <c r="B201" s="49">
        <v>2616</v>
      </c>
      <c r="C201" s="17">
        <v>999910000200</v>
      </c>
      <c r="D201" s="57" t="s">
        <v>117</v>
      </c>
      <c r="E201" s="57" t="s">
        <v>117</v>
      </c>
      <c r="F201" s="57" t="s">
        <v>118</v>
      </c>
      <c r="H201" s="50">
        <v>46295</v>
      </c>
      <c r="J201" t="s">
        <v>521</v>
      </c>
      <c r="K201" s="30">
        <v>1885350</v>
      </c>
      <c r="L201" s="77" t="s">
        <v>522</v>
      </c>
      <c r="M201" s="31" t="s">
        <f>=IF(A201="",0,IF(RIGHT(A201,3)="ECN","NO","YES"))</f>
        <v>120</v>
      </c>
      <c r="O201" s="32" t="s">
        <v>118</v>
      </c>
    </row>
    <row r="202" spans="1:15">
      <c r="A202" s="119" t="s">
        <v>523</v>
      </c>
      <c r="B202" s="49">
        <v>2610</v>
      </c>
      <c r="C202" s="17">
        <v>999910000201</v>
      </c>
      <c r="D202" s="57" t="s">
        <v>117</v>
      </c>
      <c r="E202" s="57" t="s">
        <v>117</v>
      </c>
      <c r="F202" s="57" t="s">
        <v>118</v>
      </c>
      <c r="H202" s="50">
        <v>46189</v>
      </c>
      <c r="J202" t="s">
        <v>524</v>
      </c>
      <c r="K202" s="30">
        <v>606640</v>
      </c>
      <c r="L202" s="77" t="s">
        <v>525</v>
      </c>
      <c r="M202" s="31" t="s">
        <f>=IF(A202="",0,IF(RIGHT(A202,3)="ECN","NO","YES"))</f>
        <v>120</v>
      </c>
      <c r="O202" s="32" t="s">
        <v>118</v>
      </c>
    </row>
    <row r="203" spans="1:15">
      <c r="A203" s="33" t="s">
        <v>526</v>
      </c>
      <c r="B203" s="49">
        <v>2601</v>
      </c>
      <c r="C203" s="17">
        <v>999910000202</v>
      </c>
      <c r="D203" s="57" t="s">
        <v>117</v>
      </c>
      <c r="E203" s="57" t="s">
        <v>117</v>
      </c>
      <c r="F203" s="57" t="s">
        <v>118</v>
      </c>
      <c r="H203" s="50">
        <v>46660</v>
      </c>
      <c r="J203" t="s">
        <v>518</v>
      </c>
      <c r="K203" s="90">
        <f>=1843600</f>
        <v>1843600</v>
      </c>
      <c r="L203" s="77" t="s">
        <v>527</v>
      </c>
      <c r="M203" s="31" t="s">
        <f>=IF(A203="",0,IF(RIGHT(A203,3)="ECN","NO","YES"))</f>
        <v>120</v>
      </c>
      <c r="O203" s="32" t="s">
        <v>118</v>
      </c>
    </row>
    <row r="204" spans="1:15">
      <c r="A204" s="45" t="s">
        <v>528</v>
      </c>
      <c r="B204" s="49">
        <v>1800</v>
      </c>
      <c r="C204" s="17">
        <v>999910000203</v>
      </c>
      <c r="D204" s="57" t="s">
        <v>117</v>
      </c>
      <c r="E204" s="57" t="s">
        <v>117</v>
      </c>
      <c r="F204" s="57" t="s">
        <v>118</v>
      </c>
      <c r="H204" s="50">
        <v>46295</v>
      </c>
      <c r="J204" t="s">
        <v>529</v>
      </c>
      <c r="K204" s="30">
        <v>149963</v>
      </c>
      <c r="L204" s="77" t="s">
        <v>530</v>
      </c>
      <c r="M204" s="31" t="s">
        <f>=IF(A204="",0,IF(RIGHT(A204,3)="ECN","NO","YES"))</f>
        <v>120</v>
      </c>
      <c r="O204" s="32" t="s">
        <v>118</v>
      </c>
    </row>
    <row r="205" spans="1:15">
      <c r="A205" s="45" t="s">
        <v>531</v>
      </c>
      <c r="B205" s="49">
        <v>1400</v>
      </c>
      <c r="C205" s="17">
        <v>999910000204</v>
      </c>
      <c r="D205" s="57" t="s">
        <v>117</v>
      </c>
      <c r="E205" s="57" t="s">
        <v>117</v>
      </c>
      <c r="F205" s="57" t="s">
        <v>118</v>
      </c>
      <c r="H205" s="50">
        <v>46660</v>
      </c>
      <c r="J205" t="s">
        <v>532</v>
      </c>
      <c r="K205" s="30">
        <v>1557600</v>
      </c>
      <c r="L205" s="77" t="s">
        <v>533</v>
      </c>
      <c r="M205" s="31" t="s">
        <f>=IF(A205="",0,IF(RIGHT(A205,3)="ECN","NO","YES"))</f>
        <v>120</v>
      </c>
      <c r="O205" s="32" t="s">
        <v>118</v>
      </c>
    </row>
    <row r="206" spans="1:15">
      <c r="A206" s="45" t="s">
        <v>534</v>
      </c>
      <c r="B206" s="49">
        <v>2621</v>
      </c>
      <c r="C206" s="17">
        <v>999910000205</v>
      </c>
      <c r="D206" s="57" t="s">
        <v>117</v>
      </c>
      <c r="E206" s="57" t="s">
        <v>117</v>
      </c>
      <c r="F206" s="57" t="s">
        <v>118</v>
      </c>
      <c r="H206" s="50">
        <v>46660</v>
      </c>
      <c r="J206" t="s">
        <v>518</v>
      </c>
      <c r="K206" s="30">
        <v>1344400</v>
      </c>
      <c r="L206" s="77" t="s">
        <v>535</v>
      </c>
      <c r="M206" s="31" t="s">
        <f>=IF(A206="",0,IF(RIGHT(A206,3)="ECN","NO","YES"))</f>
        <v>120</v>
      </c>
      <c r="O206" s="32" t="s">
        <v>118</v>
      </c>
    </row>
    <row r="207" spans="1:15">
      <c r="A207" s="45" t="s">
        <v>536</v>
      </c>
      <c r="B207" s="49">
        <v>2601</v>
      </c>
      <c r="C207" s="17">
        <v>999910000206</v>
      </c>
      <c r="D207" s="57" t="s">
        <v>117</v>
      </c>
      <c r="E207" s="57" t="s">
        <v>117</v>
      </c>
      <c r="F207" s="57" t="s">
        <v>118</v>
      </c>
      <c r="H207" s="50">
        <v>46325</v>
      </c>
      <c r="K207" s="30" t="s"/>
      <c r="L207" s="118" t="s"/>
      <c r="M207" s="31" t="s">
        <f>=IF(A207="",0,IF(RIGHT(A207,3)="ECN","NO","YES"))</f>
        <v>151</v>
      </c>
      <c r="O207" s="32" t="s">
        <v>118</v>
      </c>
    </row>
    <row r="208" spans="1:15">
      <c r="A208" s="45" t="s">
        <v>537</v>
      </c>
      <c r="B208" s="49">
        <v>3000</v>
      </c>
      <c r="C208" s="17">
        <v>999910000207</v>
      </c>
      <c r="D208" s="57" t="s">
        <v>117</v>
      </c>
      <c r="E208" s="57" t="s">
        <v>117</v>
      </c>
      <c r="F208" s="57" t="s">
        <v>118</v>
      </c>
      <c r="H208" s="50">
        <v>46386</v>
      </c>
      <c r="K208" s="30" t="s"/>
      <c r="L208" s="76" t="s"/>
      <c r="M208" s="31" t="s">
        <f>=IF(A208="",0,IF(RIGHT(A208,3)="ECN","NO","YES"))</f>
        <v>151</v>
      </c>
      <c r="O208" s="32" t="s">
        <v>118</v>
      </c>
    </row>
    <row r="209" spans="1:15">
      <c r="A209" s="45" t="s">
        <v>538</v>
      </c>
      <c r="B209" s="49">
        <v>2621</v>
      </c>
      <c r="C209" s="17">
        <v>999910000208</v>
      </c>
      <c r="D209" s="57" t="s">
        <v>117</v>
      </c>
      <c r="E209" s="57" t="s">
        <v>117</v>
      </c>
      <c r="F209" s="57" t="s">
        <v>118</v>
      </c>
      <c r="H209" s="50">
        <v>46568</v>
      </c>
      <c r="J209" t="s">
        <v>539</v>
      </c>
      <c r="K209" s="30">
        <v>418000</v>
      </c>
      <c r="L209" s="77" t="s">
        <v>540</v>
      </c>
      <c r="M209" s="31" t="s">
        <f>=IF(A209="",0,IF(RIGHT(A209,3)="ECN","NO","YES"))</f>
        <v>120</v>
      </c>
      <c r="O209" s="32" t="s">
        <v>118</v>
      </c>
    </row>
    <row r="210" spans="1:15">
      <c r="A210" s="33" t="s">
        <v>541</v>
      </c>
      <c r="B210" s="49">
        <v>2621</v>
      </c>
      <c r="C210" s="17">
        <v>999910000209</v>
      </c>
      <c r="D210" s="57" t="s">
        <v>117</v>
      </c>
      <c r="E210" s="57" t="s">
        <v>117</v>
      </c>
      <c r="F210" s="57" t="s">
        <v>118</v>
      </c>
      <c r="H210" s="50">
        <v>46690</v>
      </c>
      <c r="J210" t="s">
        <v>518</v>
      </c>
      <c r="K210" s="30">
        <v>105480</v>
      </c>
      <c r="L210" s="77" t="s">
        <v>542</v>
      </c>
      <c r="M210" s="31" t="s">
        <f>=IF(A210="",0,IF(RIGHT(A210,3)="ECN","NO","YES"))</f>
        <v>120</v>
      </c>
      <c r="O210" s="32" t="s">
        <v>118</v>
      </c>
    </row>
    <row r="211" spans="1:15">
      <c r="A211" s="45" t="s">
        <v>543</v>
      </c>
      <c r="B211" s="46">
        <v>2616</v>
      </c>
      <c r="C211" s="36">
        <v>999910000210</v>
      </c>
      <c r="D211" s="57" t="s">
        <v>117</v>
      </c>
      <c r="E211" s="57" t="s">
        <v>117</v>
      </c>
      <c r="F211" s="57" t="s">
        <v>118</v>
      </c>
      <c r="H211" s="50">
        <v>46295</v>
      </c>
      <c r="J211" t="s">
        <v>521</v>
      </c>
      <c r="K211" s="30">
        <v>1765680</v>
      </c>
      <c r="L211" s="77" t="s">
        <v>544</v>
      </c>
      <c r="M211" s="31" t="s">
        <f>=IF(A211="",0,IF(RIGHT(A211,3)="ECN","NO","YES"))</f>
        <v>120</v>
      </c>
      <c r="N211" s="120" t="s">
        <v>545</v>
      </c>
      <c r="O211" s="32" t="s">
        <v>118</v>
      </c>
    </row>
    <row r="212" spans="1:15">
      <c r="A212" s="45" t="s">
        <v>546</v>
      </c>
      <c r="B212" s="46">
        <v>2616</v>
      </c>
      <c r="C212" s="36">
        <v>999910000211</v>
      </c>
      <c r="D212" s="57" t="s">
        <v>117</v>
      </c>
      <c r="E212" s="57" t="s">
        <v>117</v>
      </c>
      <c r="F212" s="57" t="s">
        <v>118</v>
      </c>
      <c r="H212" s="50">
        <v>46721</v>
      </c>
      <c r="J212" t="s">
        <v>521</v>
      </c>
      <c r="K212" s="115">
        <v>1502780</v>
      </c>
      <c r="L212" s="121" t="s">
        <v>547</v>
      </c>
      <c r="M212" s="31" t="s">
        <f>=IF(A212="",0,IF(RIGHT(A212,3)="ECN","NO","YES"))</f>
        <v>120</v>
      </c>
      <c r="O212" s="32" t="s">
        <v>118</v>
      </c>
    </row>
    <row r="213" spans="1:15">
      <c r="A213" s="45" t="s">
        <v>548</v>
      </c>
      <c r="B213" s="46">
        <v>1400</v>
      </c>
      <c r="C213" s="36">
        <v>999910000212</v>
      </c>
      <c r="D213" s="57" t="s">
        <v>117</v>
      </c>
      <c r="E213" s="57" t="s">
        <v>117</v>
      </c>
      <c r="F213" s="57" t="s">
        <v>118</v>
      </c>
      <c r="H213" s="50">
        <v>46280</v>
      </c>
      <c r="K213" s="30" t="s"/>
      <c r="L213" s="76" t="s"/>
      <c r="M213" s="31" t="s">
        <f>=IF(A213="",0,IF(RIGHT(A213,3)="ECN","NO","YES"))</f>
        <v>151</v>
      </c>
      <c r="N213" s="120" t="s">
        <v>545</v>
      </c>
      <c r="O213" s="32" t="s">
        <v>118</v>
      </c>
    </row>
    <row r="214" spans="1:15">
      <c r="A214" s="45" t="s">
        <v>549</v>
      </c>
      <c r="B214" s="49">
        <v>2615</v>
      </c>
      <c r="C214" s="17">
        <v>999910000213</v>
      </c>
      <c r="D214" s="57" t="s">
        <v>117</v>
      </c>
      <c r="E214" s="57" t="s">
        <v>117</v>
      </c>
      <c r="F214" s="57" t="s">
        <v>118</v>
      </c>
      <c r="H214" s="50">
        <v>46477</v>
      </c>
      <c r="J214" t="s">
        <v>550</v>
      </c>
      <c r="K214" s="30">
        <v>50000</v>
      </c>
      <c r="L214" s="77" t="s">
        <v>551</v>
      </c>
      <c r="M214" s="31" t="s">
        <f>=IF(A214="",0,IF(RIGHT(A214,3)="ECN","NO","YES"))</f>
        <v>120</v>
      </c>
      <c r="O214" s="32" t="s">
        <v>118</v>
      </c>
    </row>
    <row r="215" spans="1:15">
      <c r="A215" s="45" t="s">
        <v>552</v>
      </c>
      <c r="B215" s="49">
        <v>2616</v>
      </c>
      <c r="C215" s="17">
        <v>999910000214</v>
      </c>
      <c r="D215" s="57" t="s">
        <v>117</v>
      </c>
      <c r="E215" s="57" t="s">
        <v>117</v>
      </c>
      <c r="F215" s="57" t="s">
        <v>118</v>
      </c>
      <c r="H215" s="50">
        <v>46721</v>
      </c>
      <c r="J215" t="s">
        <v>532</v>
      </c>
      <c r="K215" s="30">
        <v>189300</v>
      </c>
      <c r="L215" s="77" t="s">
        <v>553</v>
      </c>
      <c r="M215" s="31" t="s">
        <f>=IF(A215="",0,IF(RIGHT(A215,3)="ECN","NO","YES"))</f>
        <v>120</v>
      </c>
      <c r="O215" s="32" t="s">
        <v>118</v>
      </c>
    </row>
    <row r="216" spans="1:15">
      <c r="A216" s="119" t="s">
        <v>554</v>
      </c>
      <c r="B216" s="49">
        <v>2610</v>
      </c>
      <c r="C216" s="17">
        <v>999910000215</v>
      </c>
      <c r="D216" s="57" t="s">
        <v>117</v>
      </c>
      <c r="E216" s="57" t="s">
        <v>117</v>
      </c>
      <c r="F216" s="57" t="s">
        <v>118</v>
      </c>
      <c r="H216" s="50">
        <v>46617</v>
      </c>
      <c r="J216" t="s">
        <v>524</v>
      </c>
      <c r="K216" s="30">
        <v>212400</v>
      </c>
      <c r="L216" s="77" t="s">
        <v>555</v>
      </c>
      <c r="M216" s="31" t="s">
        <f>=IF(A216="",0,IF(RIGHT(A216,3)="ECN","NO","YES"))</f>
        <v>120</v>
      </c>
      <c r="O216" s="32" t="s">
        <v>118</v>
      </c>
    </row>
    <row r="217" spans="1:15">
      <c r="A217" s="45" t="s">
        <v>556</v>
      </c>
      <c r="B217" s="49">
        <v>2612</v>
      </c>
      <c r="C217" s="17">
        <v>999910000216</v>
      </c>
      <c r="D217" s="57" t="s">
        <v>117</v>
      </c>
      <c r="E217" s="57" t="s">
        <v>117</v>
      </c>
      <c r="F217" s="57" t="s">
        <v>118</v>
      </c>
      <c r="H217" s="50">
        <v>46387</v>
      </c>
      <c r="I217" s="37" t="s"/>
      <c r="K217" s="30" t="s"/>
      <c r="L217" s="76" t="s"/>
      <c r="M217" s="31" t="s">
        <f>=IF(A217="",0,IF(RIGHT(A217,3)="ECN","NO","YES"))</f>
        <v>151</v>
      </c>
      <c r="O217" s="32" t="s">
        <v>118</v>
      </c>
    </row>
    <row r="218" spans="1:15">
      <c r="A218" s="45" t="s">
        <v>557</v>
      </c>
      <c r="B218" s="49">
        <v>2601</v>
      </c>
      <c r="C218" s="17">
        <v>999910000217</v>
      </c>
      <c r="D218" s="57" t="s">
        <v>117</v>
      </c>
      <c r="E218" s="57" t="s">
        <v>117</v>
      </c>
      <c r="F218" s="57" t="s">
        <v>118</v>
      </c>
      <c r="H218" s="50">
        <v>46387</v>
      </c>
      <c r="K218" s="30" t="s"/>
      <c r="L218" s="76" t="s"/>
      <c r="M218" s="31" t="s">
        <f>=IF(A218="",0,IF(RIGHT(A218,3)="ECN","NO","YES"))</f>
        <v>151</v>
      </c>
      <c r="O218" s="32" t="s">
        <v>118</v>
      </c>
    </row>
    <row r="219" spans="1:15">
      <c r="A219" s="33" t="s">
        <v>558</v>
      </c>
      <c r="B219" s="49">
        <v>2601</v>
      </c>
      <c r="C219" s="17">
        <v>999910000218</v>
      </c>
      <c r="D219" s="57" t="s">
        <v>117</v>
      </c>
      <c r="E219" s="57" t="s">
        <v>117</v>
      </c>
      <c r="F219" s="57" t="s">
        <v>118</v>
      </c>
      <c r="H219" s="50">
        <v>46387</v>
      </c>
      <c r="K219" s="30" t="s"/>
      <c r="L219" s="76" t="s"/>
      <c r="M219" s="31" t="s">
        <f>=IF(A219="",0,IF(RIGHT(A219,3)="ECN","NO","YES"))</f>
        <v>151</v>
      </c>
      <c r="O219" s="32" t="s">
        <v>118</v>
      </c>
    </row>
    <row r="220" spans="1:15">
      <c r="A220" s="45" t="s">
        <v>559</v>
      </c>
      <c r="B220" s="49">
        <v>2615</v>
      </c>
      <c r="C220" s="17">
        <v>999910000219</v>
      </c>
      <c r="D220" s="57" t="s">
        <v>117</v>
      </c>
      <c r="E220" s="57" t="s">
        <v>117</v>
      </c>
      <c r="F220" s="57" t="s">
        <v>118</v>
      </c>
      <c r="H220" s="50">
        <v>46660</v>
      </c>
      <c r="K220" s="30" t="s"/>
      <c r="L220" s="76" t="s"/>
      <c r="M220" s="31" t="s">
        <f>=IF(A220="",0,IF(RIGHT(A220,3)="ECN","NO","YES"))</f>
        <v>151</v>
      </c>
      <c r="O220" s="32" t="s">
        <v>118</v>
      </c>
    </row>
    <row r="221" spans="1:15">
      <c r="A221" s="45" t="s">
        <v>560</v>
      </c>
      <c r="B221" s="49">
        <v>2604</v>
      </c>
      <c r="C221" s="17">
        <v>999910000220</v>
      </c>
      <c r="D221" s="57" t="s">
        <v>117</v>
      </c>
      <c r="E221" s="57" t="s">
        <v>117</v>
      </c>
      <c r="F221" s="57" t="s">
        <v>118</v>
      </c>
      <c r="H221" s="50">
        <v>46751</v>
      </c>
      <c r="J221" t="s">
        <v>561</v>
      </c>
      <c r="K221" s="30">
        <v>1131700</v>
      </c>
      <c r="L221" s="77" t="s">
        <v>562</v>
      </c>
      <c r="M221" s="31" t="s">
        <f>=IF(A221="",0,IF(RIGHT(A221,3)="ECN","NO","YES"))</f>
        <v>120</v>
      </c>
      <c r="O221" s="32" t="s">
        <v>118</v>
      </c>
    </row>
    <row r="222" spans="1:15">
      <c r="A222" s="45" t="s">
        <v>563</v>
      </c>
      <c r="B222" s="49">
        <v>2900</v>
      </c>
      <c r="C222" s="17">
        <v>999910000221</v>
      </c>
      <c r="D222" s="57" t="s">
        <v>117</v>
      </c>
      <c r="E222" s="57" t="s">
        <v>117</v>
      </c>
      <c r="F222" s="57" t="s">
        <v>118</v>
      </c>
      <c r="H222" s="50">
        <v>46722</v>
      </c>
      <c r="J222" t="s">
        <v>564</v>
      </c>
      <c r="K222" s="30">
        <v>500000</v>
      </c>
      <c r="L222" t="s">
        <v>565</v>
      </c>
      <c r="M222" s="31" t="s">
        <f>=IF(A222="",0,IF(RIGHT(A222,3)="ECN","NO","YES"))</f>
        <v>120</v>
      </c>
      <c r="O222" s="32" t="s">
        <v>118</v>
      </c>
    </row>
    <row r="223" spans="1:15">
      <c r="A223" s="44" t="s">
        <v>566</v>
      </c>
      <c r="B223" s="49">
        <v>1800</v>
      </c>
      <c r="C223" s="17">
        <v>999910000222</v>
      </c>
      <c r="D223" s="57" t="s">
        <v>117</v>
      </c>
      <c r="E223" s="57" t="s">
        <v>117</v>
      </c>
      <c r="F223" s="57" t="s">
        <v>118</v>
      </c>
      <c r="H223" s="50">
        <v>46752</v>
      </c>
      <c r="K223" s="30" t="s"/>
      <c r="M223" s="31" t="s">
        <f>=IF(A223="",0,IF(RIGHT(A223,3)="ECN","NO","YES"))</f>
        <v>151</v>
      </c>
      <c r="O223" s="32" t="s">
        <v>118</v>
      </c>
    </row>
    <row r="224" spans="1:15">
      <c r="A224" s="33" t="s">
        <v>567</v>
      </c>
      <c r="B224" s="49">
        <v>2612</v>
      </c>
      <c r="C224" s="17">
        <v>999910000223</v>
      </c>
      <c r="D224" s="57" t="s">
        <v>117</v>
      </c>
      <c r="E224" s="57" t="s">
        <v>117</v>
      </c>
      <c r="F224" s="57" t="s">
        <v>118</v>
      </c>
      <c r="H224" s="50">
        <v>46386</v>
      </c>
      <c r="K224" s="30" t="s"/>
      <c r="M224" s="31" t="s">
        <f>=IF(A224="",0,IF(RIGHT(A224,3)="ECN","NO","YES"))</f>
        <v>151</v>
      </c>
      <c r="O224" s="32" t="s">
        <v>118</v>
      </c>
    </row>
    <row r="225" spans="1:15" s="57" customFormat="1">
      <c r="A225" s="80" t="s">
        <v>568</v>
      </c>
      <c r="B225" s="56">
        <v>2601</v>
      </c>
      <c r="C225" s="53">
        <v>999910000224</v>
      </c>
      <c r="D225" s="57" t="s">
        <v>117</v>
      </c>
      <c r="E225" s="57" t="s">
        <v>117</v>
      </c>
      <c r="F225" s="57" t="s">
        <v>118</v>
      </c>
      <c r="H225" s="93">
        <v>46660</v>
      </c>
      <c r="I225" s="56" t="s"/>
      <c r="J225" s="57" t="s">
        <v>518</v>
      </c>
      <c r="K225" s="122">
        <f>=1843600+1892380</f>
        <v>3735980</v>
      </c>
      <c r="L225" s="123" t="s">
        <v>569</v>
      </c>
      <c r="M225" s="73" t="s">
        <f>=IF(A225="",0,IF(RIGHT(A225,3)="ECN","NO","YES"))</f>
        <v>120</v>
      </c>
      <c r="O225" s="74" t="s">
        <v>118</v>
      </c>
    </row>
    <row r="226" spans="1:15">
      <c r="A226" s="33" t="s">
        <v>570</v>
      </c>
      <c r="B226" s="49">
        <v>2621</v>
      </c>
      <c r="C226" s="17">
        <v>999910000225</v>
      </c>
      <c r="D226" s="57" t="s">
        <v>117</v>
      </c>
      <c r="E226" s="57" t="s">
        <v>117</v>
      </c>
      <c r="F226" s="57" t="s">
        <v>118</v>
      </c>
      <c r="H226" s="50">
        <v>46660</v>
      </c>
      <c r="I226" s="49" t="s"/>
      <c r="J226" t="s">
        <v>518</v>
      </c>
      <c r="K226" s="30">
        <v>1096700</v>
      </c>
      <c r="L226" s="124" t="s">
        <v>571</v>
      </c>
      <c r="M226" s="31" t="s">
        <f>=IF(A226="",0,IF(RIGHT(A226,3)="ECN","NO","YES"))</f>
        <v>120</v>
      </c>
      <c r="O226" s="32" t="s">
        <v>118</v>
      </c>
    </row>
    <row r="227" spans="1:15">
      <c r="A227" s="45" t="s">
        <v>572</v>
      </c>
      <c r="B227" s="46">
        <v>2616</v>
      </c>
      <c r="C227" s="53">
        <v>999910000226</v>
      </c>
      <c r="D227" s="57" t="s">
        <v>117</v>
      </c>
      <c r="E227" s="57" t="s">
        <v>117</v>
      </c>
      <c r="F227" s="57" t="s">
        <v>118</v>
      </c>
      <c r="H227" s="50">
        <v>46295</v>
      </c>
      <c r="K227" s="30" t="s"/>
      <c r="M227" s="31" t="s">
        <f>=IF(A227="",0,IF(RIGHT(A227,3)="ECN","NO","YES"))</f>
        <v>151</v>
      </c>
      <c r="O227" s="32" t="s">
        <v>118</v>
      </c>
    </row>
    <row r="228" spans="1:15">
      <c r="A228" s="45" t="s">
        <v>573</v>
      </c>
      <c r="B228" s="49">
        <v>2601</v>
      </c>
      <c r="C228" s="17">
        <v>999910000227</v>
      </c>
      <c r="D228" s="57" t="s">
        <v>117</v>
      </c>
      <c r="E228" s="57" t="s">
        <v>117</v>
      </c>
      <c r="F228" s="57" t="s">
        <v>118</v>
      </c>
      <c r="H228" s="50">
        <v>46386</v>
      </c>
      <c r="K228" s="30" t="s"/>
      <c r="M228" s="31" t="s">
        <f>=IF(A228="",0,IF(RIGHT(A228,3)="ECN","NO","YES"))</f>
        <v>151</v>
      </c>
      <c r="O228" s="32" t="s">
        <v>118</v>
      </c>
    </row>
    <row r="229" spans="1:15">
      <c r="A229" s="33" t="s">
        <v>574</v>
      </c>
      <c r="B229" s="46">
        <v>2616</v>
      </c>
      <c r="C229" s="53">
        <v>999910000228</v>
      </c>
      <c r="D229" s="57" t="s">
        <v>117</v>
      </c>
      <c r="E229" s="57" t="s">
        <v>117</v>
      </c>
      <c r="F229" s="57" t="s">
        <v>118</v>
      </c>
      <c r="H229" s="50">
        <v>46685</v>
      </c>
      <c r="I229" s="49" t="s"/>
      <c r="J229" t="s">
        <v>575</v>
      </c>
      <c r="K229" s="30">
        <v>1347000</v>
      </c>
      <c r="L229" s="124" t="s">
        <v>576</v>
      </c>
      <c r="M229" s="31" t="s">
        <f>=IF(A229="",0,IF(RIGHT(A229,3)="ECN","NO","YES"))</f>
        <v>120</v>
      </c>
      <c r="O229" s="32" t="s">
        <v>118</v>
      </c>
    </row>
    <row r="230" spans="1:15">
      <c r="A230" s="125" t="s">
        <v>577</v>
      </c>
      <c r="B230" s="56">
        <v>2615</v>
      </c>
      <c r="C230" s="17">
        <v>999910000229</v>
      </c>
      <c r="D230" s="57" t="s">
        <v>117</v>
      </c>
      <c r="E230" s="57" t="s">
        <v>117</v>
      </c>
      <c r="F230" s="57" t="s">
        <v>118</v>
      </c>
      <c r="H230" s="50">
        <v>46295</v>
      </c>
      <c r="K230" s="30" t="s"/>
      <c r="M230" s="31" t="s">
        <f>=IF(A230="",0,IF(RIGHT(A230,3)="ECN","NO","YES"))</f>
        <v>151</v>
      </c>
      <c r="O230" s="32" t="s">
        <v>118</v>
      </c>
    </row>
    <row r="231" spans="1:15">
      <c r="A231" s="33" t="s">
        <v>578</v>
      </c>
      <c r="B231" s="49">
        <v>2600</v>
      </c>
      <c r="C231" s="53">
        <v>999910000230</v>
      </c>
      <c r="D231" s="57" t="s">
        <v>117</v>
      </c>
      <c r="E231" s="57" t="s">
        <v>117</v>
      </c>
      <c r="F231" s="57" t="s">
        <v>118</v>
      </c>
      <c r="H231" s="50">
        <v>46568</v>
      </c>
      <c r="J231" t="s">
        <v>472</v>
      </c>
      <c r="K231" s="30">
        <v>697000</v>
      </c>
      <c r="L231" t="s">
        <v>579</v>
      </c>
      <c r="M231" s="31" t="s">
        <f>=IF(A231="",0,IF(RIGHT(A231,3)="ECN","NO","YES"))</f>
        <v>120</v>
      </c>
      <c r="O231" s="32" t="s">
        <v>118</v>
      </c>
    </row>
    <row r="232" spans="1:15">
      <c r="A232" s="33" t="s">
        <v>580</v>
      </c>
      <c r="B232" s="49">
        <v>2621</v>
      </c>
      <c r="C232" s="17">
        <v>999910000231</v>
      </c>
      <c r="D232" s="57" t="s">
        <v>117</v>
      </c>
      <c r="E232" s="57" t="s">
        <v>117</v>
      </c>
      <c r="F232" s="57" t="s">
        <v>118</v>
      </c>
      <c r="H232" s="50">
        <v>46721</v>
      </c>
      <c r="J232" t="s">
        <v>472</v>
      </c>
      <c r="K232" s="30">
        <v>448840</v>
      </c>
      <c r="L232" t="s">
        <v>581</v>
      </c>
      <c r="M232" s="31" t="s">
        <f>=IF(A232="",0,IF(RIGHT(A232,3)="ECN","NO","YES"))</f>
        <v>120</v>
      </c>
      <c r="O232" s="32" t="s">
        <v>118</v>
      </c>
    </row>
    <row r="233" spans="1:15">
      <c r="A233" s="45" t="s">
        <v>582</v>
      </c>
      <c r="B233" s="49">
        <v>2621</v>
      </c>
      <c r="C233" s="53">
        <v>999910000232</v>
      </c>
      <c r="D233" s="57" t="s">
        <v>117</v>
      </c>
      <c r="E233" s="57" t="s">
        <v>117</v>
      </c>
      <c r="F233" s="57" t="s">
        <v>118</v>
      </c>
      <c r="H233" s="50">
        <v>46417</v>
      </c>
      <c r="J233" t="s">
        <v>472</v>
      </c>
      <c r="K233" s="30">
        <v>416580</v>
      </c>
      <c r="L233" t="s">
        <v>583</v>
      </c>
      <c r="M233" s="31" t="s">
        <f>=IF(A233="",0,IF(RIGHT(A233,3)="ECN","NO","YES"))</f>
        <v>120</v>
      </c>
      <c r="O233" s="32" t="s">
        <v>118</v>
      </c>
    </row>
    <row r="234" spans="1:15">
      <c r="A234" s="126" t="s">
        <v>584</v>
      </c>
      <c r="B234" s="56">
        <v>2631</v>
      </c>
      <c r="C234" s="17">
        <v>999910000233</v>
      </c>
      <c r="D234" s="57" t="s">
        <v>117</v>
      </c>
      <c r="E234" s="57" t="s">
        <v>117</v>
      </c>
      <c r="F234" s="57" t="s">
        <v>118</v>
      </c>
      <c r="H234" s="50">
        <v>46598</v>
      </c>
      <c r="J234" t="s">
        <v>585</v>
      </c>
      <c r="K234" s="30">
        <v>141200</v>
      </c>
      <c r="L234" t="s">
        <v>586</v>
      </c>
      <c r="M234" s="31" t="s">
        <f>=IF(A234="",0,IF(RIGHT(A234,3)="ECN","NO","YES"))</f>
        <v>120</v>
      </c>
      <c r="O234" s="32" t="s">
        <v>118</v>
      </c>
    </row>
    <row r="235" spans="1:15">
      <c r="A235" s="45" t="s">
        <v>587</v>
      </c>
      <c r="B235" s="56">
        <v>2631</v>
      </c>
      <c r="C235" s="53">
        <v>999910000234</v>
      </c>
      <c r="D235" s="57" t="s">
        <v>117</v>
      </c>
      <c r="E235" s="57" t="s">
        <v>117</v>
      </c>
      <c r="F235" s="57" t="s">
        <v>118</v>
      </c>
      <c r="H235" s="50">
        <v>46660</v>
      </c>
      <c r="J235" t="s">
        <v>472</v>
      </c>
      <c r="K235" s="30">
        <v>1230900</v>
      </c>
      <c r="L235" t="s">
        <v>588</v>
      </c>
      <c r="M235" s="31" t="s">
        <f>=IF(A235="",0,IF(RIGHT(A235,3)="ECN","NO","YES"))</f>
        <v>120</v>
      </c>
      <c r="O235" s="32" t="s">
        <v>118</v>
      </c>
    </row>
    <row r="236" spans="1:15">
      <c r="A236" s="45" t="s">
        <v>589</v>
      </c>
      <c r="B236" s="49">
        <v>2600</v>
      </c>
      <c r="C236" s="17">
        <v>999910000235</v>
      </c>
      <c r="D236" s="57" t="s">
        <v>117</v>
      </c>
      <c r="E236" s="57" t="s">
        <v>117</v>
      </c>
      <c r="F236" s="57" t="s">
        <v>118</v>
      </c>
      <c r="H236" s="50">
        <v>46568</v>
      </c>
      <c r="J236" t="s">
        <v>590</v>
      </c>
      <c r="K236" s="30">
        <v>1509080</v>
      </c>
      <c r="L236" t="s">
        <v>591</v>
      </c>
      <c r="M236" s="31" t="s">
        <f>=IF(A236="",0,IF(RIGHT(A236,3)="ECN","NO","YES"))</f>
        <v>120</v>
      </c>
      <c r="O236" s="32" t="s">
        <v>118</v>
      </c>
    </row>
    <row r="237" spans="1:15">
      <c r="A237" s="33" t="s">
        <v>592</v>
      </c>
      <c r="B237" s="49">
        <v>2620</v>
      </c>
      <c r="C237" s="53">
        <v>999910000236</v>
      </c>
      <c r="D237" s="57" t="s">
        <v>117</v>
      </c>
      <c r="E237" s="57" t="s">
        <v>117</v>
      </c>
      <c r="F237" s="57" t="s">
        <v>118</v>
      </c>
      <c r="H237" s="50">
        <v>46387</v>
      </c>
      <c r="K237" s="30" t="s"/>
      <c r="M237" s="31" t="s">
        <f>=IF(A237="",0,IF(RIGHT(A237,3)="ECN","NO","YES"))</f>
        <v>151</v>
      </c>
      <c r="O237" s="32" t="s">
        <v>118</v>
      </c>
    </row>
    <row r="238" spans="1:15">
      <c r="A238" s="55" t="s">
        <v>593</v>
      </c>
      <c r="B238" s="49">
        <v>2616</v>
      </c>
      <c r="C238" s="17">
        <v>999910000237</v>
      </c>
      <c r="D238" s="57" t="s">
        <v>117</v>
      </c>
      <c r="E238" s="57" t="s">
        <v>117</v>
      </c>
      <c r="F238" s="57" t="s">
        <v>118</v>
      </c>
      <c r="H238" s="50">
        <v>46568</v>
      </c>
      <c r="J238" t="s">
        <v>594</v>
      </c>
      <c r="K238" s="30">
        <v>1438740</v>
      </c>
      <c r="L238" t="s">
        <v>595</v>
      </c>
      <c r="M238" s="31" t="s">
        <f>=IF(A238="",0,IF(RIGHT(A238,3)="ECN","NO","YES"))</f>
        <v>120</v>
      </c>
      <c r="O238" s="32" t="s">
        <v>118</v>
      </c>
    </row>
    <row r="239" spans="1:15">
      <c r="A239" s="33" t="s">
        <v>596</v>
      </c>
      <c r="B239" s="49">
        <v>2600</v>
      </c>
      <c r="C239" s="53">
        <v>999910000238</v>
      </c>
      <c r="D239" s="57" t="s">
        <v>117</v>
      </c>
      <c r="E239" s="57" t="s">
        <v>117</v>
      </c>
      <c r="F239" s="57" t="s">
        <v>118</v>
      </c>
      <c r="H239" s="50">
        <v>46325</v>
      </c>
      <c r="K239" s="30" t="s"/>
      <c r="M239" s="31" t="s">
        <f>=IF(A239="",0,IF(RIGHT(A239,3)="ECN","NO","YES"))</f>
        <v>151</v>
      </c>
      <c r="O239" s="32" t="s">
        <v>118</v>
      </c>
    </row>
    <row r="240" spans="1:15">
      <c r="A240" s="45" t="s">
        <v>597</v>
      </c>
      <c r="B240" s="49">
        <v>2601</v>
      </c>
      <c r="C240" s="17">
        <v>999910000239</v>
      </c>
      <c r="D240" s="57" t="s">
        <v>117</v>
      </c>
      <c r="E240" s="57" t="s">
        <v>117</v>
      </c>
      <c r="F240" s="57" t="s">
        <v>118</v>
      </c>
      <c r="H240" s="50">
        <v>46387</v>
      </c>
      <c r="K240" s="30" t="s"/>
      <c r="M240" s="31" t="s">
        <f>=IF(A240="",0,IF(RIGHT(A240,3)="ECN","NO","YES"))</f>
        <v>151</v>
      </c>
      <c r="O240" s="32" t="s">
        <v>118</v>
      </c>
    </row>
    <row r="241" spans="1:15">
      <c r="A241" s="45" t="s">
        <v>598</v>
      </c>
      <c r="B241" s="49">
        <v>2615</v>
      </c>
      <c r="C241" s="53">
        <v>999910000240</v>
      </c>
      <c r="D241" s="57" t="s">
        <v>117</v>
      </c>
      <c r="E241" s="57" t="s">
        <v>117</v>
      </c>
      <c r="F241" s="57" t="s">
        <v>118</v>
      </c>
      <c r="H241" s="50">
        <v>46386</v>
      </c>
      <c r="K241" s="30" t="s"/>
      <c r="M241" s="31" t="s">
        <f>=IF(A241="",0,IF(RIGHT(A241,3)="ECN","NO","YES"))</f>
        <v>151</v>
      </c>
      <c r="O241" s="32" t="s">
        <v>118</v>
      </c>
    </row>
    <row r="242" spans="1:15">
      <c r="A242" s="45" t="s">
        <v>599</v>
      </c>
      <c r="B242" s="49">
        <v>2615</v>
      </c>
      <c r="C242" s="17">
        <v>999910000241</v>
      </c>
      <c r="D242" s="57" t="s">
        <v>117</v>
      </c>
      <c r="E242" s="57" t="s">
        <v>117</v>
      </c>
      <c r="F242" s="57" t="s">
        <v>118</v>
      </c>
      <c r="H242" s="50">
        <v>46386</v>
      </c>
      <c r="K242" s="30" t="s"/>
      <c r="M242" s="31" t="s">
        <f>=IF(A242="",0,IF(RIGHT(A242,3)="ECN","NO","YES"))</f>
        <v>151</v>
      </c>
      <c r="O242" s="32" t="s">
        <v>118</v>
      </c>
    </row>
    <row r="243" spans="1:15">
      <c r="A243" s="45" t="s">
        <v>600</v>
      </c>
      <c r="B243" s="117">
        <v>2601</v>
      </c>
      <c r="C243" s="53">
        <v>999910000242</v>
      </c>
      <c r="D243" s="57" t="s">
        <v>117</v>
      </c>
      <c r="E243" s="57" t="s">
        <v>117</v>
      </c>
      <c r="F243" s="57" t="s">
        <v>118</v>
      </c>
      <c r="H243" s="50">
        <v>46505</v>
      </c>
      <c r="J243" t="s">
        <v>472</v>
      </c>
      <c r="K243" s="30">
        <v>1423500</v>
      </c>
      <c r="L243" t="s">
        <v>601</v>
      </c>
      <c r="M243" s="31" t="s">
        <f>=IF(A243="",0,IF(RIGHT(A243,3)="ECN","NO","YES"))</f>
        <v>120</v>
      </c>
      <c r="O243" s="32" t="s">
        <v>118</v>
      </c>
    </row>
    <row r="244" spans="1:15">
      <c r="A244" s="33" t="s">
        <v>602</v>
      </c>
      <c r="B244" s="49">
        <v>2616</v>
      </c>
      <c r="C244" s="17">
        <v>999910000243</v>
      </c>
      <c r="D244" s="57" t="s">
        <v>117</v>
      </c>
      <c r="E244" s="57" t="s">
        <v>117</v>
      </c>
      <c r="F244" s="57" t="s">
        <v>118</v>
      </c>
      <c r="H244" s="50">
        <v>46568</v>
      </c>
      <c r="J244" t="s">
        <v>404</v>
      </c>
      <c r="K244" s="30">
        <v>703600</v>
      </c>
      <c r="L244" t="s">
        <v>603</v>
      </c>
      <c r="M244" s="31" t="s">
        <f>=IF(A244="",0,IF(RIGHT(A244,3)="ECN","NO","YES"))</f>
        <v>120</v>
      </c>
      <c r="O244" s="32" t="s">
        <v>118</v>
      </c>
    </row>
    <row r="245" spans="1:15">
      <c r="A245" s="33" t="s">
        <v>604</v>
      </c>
      <c r="B245" s="49">
        <v>2600</v>
      </c>
      <c r="C245" s="53">
        <v>999910000244</v>
      </c>
      <c r="D245" s="57" t="s">
        <v>117</v>
      </c>
      <c r="E245" s="57" t="s">
        <v>117</v>
      </c>
      <c r="F245" s="57" t="s">
        <v>118</v>
      </c>
      <c r="H245" s="50">
        <v>46265</v>
      </c>
      <c r="J245" t="s">
        <v>472</v>
      </c>
      <c r="K245" s="30">
        <v>164600</v>
      </c>
      <c r="L245" t="s">
        <v>605</v>
      </c>
      <c r="M245" s="31" t="s">
        <f>=IF(A245="",0,IF(RIGHT(A245,3)="ECN","NO","YES"))</f>
        <v>120</v>
      </c>
      <c r="O245" s="32" t="s">
        <v>118</v>
      </c>
    </row>
    <row r="246" spans="1:15">
      <c r="A246" s="45" t="s">
        <v>606</v>
      </c>
      <c r="B246" s="49">
        <v>2616</v>
      </c>
      <c r="C246" s="17">
        <v>999910000245</v>
      </c>
      <c r="D246" s="57" t="s">
        <v>117</v>
      </c>
      <c r="E246" s="57" t="s">
        <v>117</v>
      </c>
      <c r="F246" s="57" t="s">
        <v>118</v>
      </c>
      <c r="H246" s="50">
        <v>46387</v>
      </c>
      <c r="K246" s="30" t="s"/>
      <c r="M246" s="31" t="s">
        <f>=IF(A246="",0,IF(RIGHT(A246,3)="ECN","NO","YES"))</f>
        <v>151</v>
      </c>
      <c r="O246" s="32" t="s">
        <v>118</v>
      </c>
    </row>
    <row r="247" spans="1:15">
      <c r="A247" s="119" t="s">
        <v>607</v>
      </c>
      <c r="B247" s="127">
        <v>1800</v>
      </c>
      <c r="C247" s="128">
        <v>999910000246</v>
      </c>
      <c r="D247" s="57" t="s">
        <v>117</v>
      </c>
      <c r="E247" s="57" t="s">
        <v>117</v>
      </c>
      <c r="F247" s="112" t="s">
        <v>118</v>
      </c>
      <c r="H247" s="50" t="s"/>
      <c r="K247" s="30" t="s"/>
      <c r="M247" s="31" t="s">
        <f>=IF(A247="",0,IF(RIGHT(A247,3)="ECN","NO","YES"))</f>
        <v>120</v>
      </c>
      <c r="O247" s="32" t="s">
        <v>118</v>
      </c>
    </row>
    <row r="248" spans="1:15">
      <c r="A248" s="45" t="s">
        <v>608</v>
      </c>
      <c r="B248" s="49">
        <v>2611</v>
      </c>
      <c r="C248" s="17">
        <v>999910000247</v>
      </c>
      <c r="D248" s="57" t="s">
        <v>117</v>
      </c>
      <c r="E248" s="57" t="s">
        <v>117</v>
      </c>
      <c r="F248" s="57" t="s">
        <v>118</v>
      </c>
      <c r="K248" s="30" t="s"/>
      <c r="M248" s="31" t="s">
        <f>=IF(A248="",0,IF(RIGHT(A248,3)="ECN","NO","YES"))</f>
        <v>120</v>
      </c>
      <c r="O248" s="32" t="s">
        <v>118</v>
      </c>
    </row>
    <row r="249" spans="1:15">
      <c r="A249" s="45" t="s">
        <v>609</v>
      </c>
      <c r="B249" s="49">
        <v>2621</v>
      </c>
      <c r="C249" s="62">
        <v>999910000248</v>
      </c>
      <c r="D249" s="57" t="s">
        <v>117</v>
      </c>
      <c r="E249" s="57" t="s">
        <v>117</v>
      </c>
      <c r="F249" s="57" t="s">
        <v>118</v>
      </c>
      <c r="H249" s="50">
        <v>46598</v>
      </c>
      <c r="J249" t="s">
        <v>472</v>
      </c>
      <c r="K249" s="30">
        <v>664500</v>
      </c>
      <c r="L249" t="s">
        <v>610</v>
      </c>
      <c r="M249" s="31" t="s">
        <f>=IF(A249="",0,IF(RIGHT(A249,3)="ECN","NO","YES"))</f>
        <v>120</v>
      </c>
      <c r="O249" s="32" t="s">
        <v>118</v>
      </c>
    </row>
    <row r="250" spans="1:15">
      <c r="A250" s="33" t="s">
        <v>611</v>
      </c>
      <c r="B250" s="49">
        <v>2621</v>
      </c>
      <c r="C250" s="17">
        <v>999910000249</v>
      </c>
      <c r="D250" s="57" t="s">
        <v>117</v>
      </c>
      <c r="E250" s="57" t="s">
        <v>117</v>
      </c>
      <c r="F250" s="57" t="s">
        <v>118</v>
      </c>
      <c r="H250" s="50">
        <v>46598</v>
      </c>
      <c r="J250" t="s">
        <v>472</v>
      </c>
      <c r="K250" s="30">
        <v>533600</v>
      </c>
      <c r="L250" t="s">
        <v>612</v>
      </c>
      <c r="M250" s="31" t="s">
        <f>=IF(A250="",0,IF(RIGHT(A250,3)="ECN","NO","YES"))</f>
        <v>120</v>
      </c>
      <c r="O250" s="32" t="s">
        <v>118</v>
      </c>
    </row>
    <row r="251" spans="1:15">
      <c r="A251" s="45" t="s">
        <v>613</v>
      </c>
      <c r="B251" s="49">
        <v>1800</v>
      </c>
      <c r="C251" s="62">
        <v>999910000250</v>
      </c>
      <c r="D251" s="57" t="s">
        <v>117</v>
      </c>
      <c r="E251" s="57" t="s">
        <v>117</v>
      </c>
      <c r="F251" s="57" t="s">
        <v>118</v>
      </c>
      <c r="H251" s="50">
        <v>46753</v>
      </c>
      <c r="J251" t="s">
        <v>472</v>
      </c>
      <c r="K251" s="30">
        <v>197800</v>
      </c>
      <c r="L251" s="37" t="s">
        <v>614</v>
      </c>
      <c r="M251" s="31" t="s">
        <f>=IF(A251="",0,IF(RIGHT(A251,3)="ECN","NO","YES"))</f>
        <v>120</v>
      </c>
      <c r="O251" s="32" t="s">
        <v>118</v>
      </c>
    </row>
    <row r="252" spans="1:15">
      <c r="A252" s="33" t="s">
        <v>615</v>
      </c>
      <c r="B252" s="49">
        <v>2616</v>
      </c>
      <c r="C252" s="17">
        <v>999910000251</v>
      </c>
      <c r="D252" s="57" t="s">
        <v>117</v>
      </c>
      <c r="E252" s="57" t="s">
        <v>117</v>
      </c>
      <c r="F252" s="57" t="s">
        <v>118</v>
      </c>
      <c r="H252" s="50">
        <v>46456</v>
      </c>
      <c r="K252" s="30" t="s"/>
      <c r="M252" s="31" t="s">
        <f>=IF(A252="",0,IF(RIGHT(A252,3)="ECN","NO","YES"))</f>
        <v>151</v>
      </c>
      <c r="O252" s="32" t="s">
        <v>118</v>
      </c>
    </row>
    <row r="253" spans="1:15">
      <c r="A253" s="45" t="s">
        <v>616</v>
      </c>
      <c r="B253" s="49">
        <v>2616</v>
      </c>
      <c r="C253" s="62">
        <v>999910000252</v>
      </c>
      <c r="D253" s="57" t="s">
        <v>117</v>
      </c>
      <c r="E253" s="57" t="s">
        <v>117</v>
      </c>
      <c r="F253" s="57" t="s">
        <v>118</v>
      </c>
      <c r="H253" s="50">
        <v>46660</v>
      </c>
      <c r="K253" s="30" t="s"/>
      <c r="M253" s="31" t="s">
        <f>=IF(A253="",0,IF(RIGHT(A253,3)="ECN","NO","YES"))</f>
        <v>151</v>
      </c>
      <c r="O253" s="32" t="s">
        <v>118</v>
      </c>
    </row>
  </sheetData>
  <conditionalFormatting sqref="A1:A253 K212">
    <cfRule type="duplicateValues" dxfId="0" priority="1"/>
  </conditionalFormatting>
</worksheet>
</file>

<file path=xl/worksheets/sheet2.xml><?xml version="1.0" encoding="utf-8"?>
<worksheet xmlns="http://schemas.openxmlformats.org/spreadsheetml/2006/main">
  <sheetPr/>
  <dimension ref="I200"/>
  <sheetViews>
    <sheetView showGridLines="1" tabSelected="0" workbookViewId="0"/>
  </sheetViews>
  <sheetFormatPr baseColWidth="8" defaultRowHeight="14.25"/>
  <cols>
    <col min="1" max="1" width="13" customWidth="1"/>
    <col min="2" max="4" width="12.125" customWidth="1"/>
    <col min="5" max="5" width="11.7695" customWidth="1"/>
    <col min="6" max="6" width="35.3203" customWidth="1"/>
    <col min="7" max="8" width="8.71094" customWidth="1"/>
    <col min="9" max="9" width="15.7031" hidden="1" customWidth="1"/>
    <col min="10" max="10" width="27.3516" hidden="1" customWidth="1"/>
  </cols>
  <sheetData>
    <row r="1" spans="1:10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5" t="s">
        <v>6</v>
      </c>
      <c r="I1" s="6" t="s">
        <v>7</v>
      </c>
      <c r="J1" s="5" t="s">
        <v>6</v>
      </c>
    </row>
    <row r="2" spans="1:6">
      <c r="A2" s="7" t="s">
        <v>8</v>
      </c>
      <c r="B2" s="8" t="s">
        <v>9</v>
      </c>
      <c r="C2" s="9" t="s">
        <v>10</v>
      </c>
      <c r="D2" s="10" t="s">
        <v>11</v>
      </c>
      <c r="E2" s="11" t="s">
        <v>12</v>
      </c>
      <c r="F2" s="12" t="s">
        <f>=_xlfn.TEXTJOIN("-",TRUE,A2,B2,C2,D2,E2)</f>
        <v>13</v>
      </c>
    </row>
    <row r="3" spans="1:10">
      <c r="A3" s="13" t="s"/>
      <c r="B3" s="13" t="s"/>
      <c r="C3" s="14" t="s"/>
      <c r="D3" s="15" t="s"/>
      <c r="E3" s="16" t="s"/>
      <c r="I3" s="17">
        <v>261110000115</v>
      </c>
      <c r="J3" t="s">
        <v>14</v>
      </c>
    </row>
    <row r="4" spans="1:10">
      <c r="A4" s="18" t="s">
        <v>15</v>
      </c>
      <c r="B4" s="19" t="s">
        <v>16</v>
      </c>
      <c r="C4" s="18" t="s">
        <v>17</v>
      </c>
      <c r="D4" s="18" t="s">
        <v>18</v>
      </c>
      <c r="E4" s="20" t="s"/>
      <c r="F4" s="18" t="s">
        <v>19</v>
      </c>
      <c r="G4" s="19" t="s"/>
      <c r="H4" s="19" t="s"/>
      <c r="I4" s="21">
        <v>260110000004</v>
      </c>
      <c r="J4" s="19" t="s">
        <v>19</v>
      </c>
    </row>
    <row r="5" spans="1:10">
      <c r="A5" s="18" t="s">
        <v>15</v>
      </c>
      <c r="B5" s="19" t="s">
        <v>20</v>
      </c>
      <c r="C5" s="18" t="s">
        <v>17</v>
      </c>
      <c r="D5" s="18" t="s">
        <v>18</v>
      </c>
      <c r="E5" s="20" t="s"/>
      <c r="F5" s="18" t="s">
        <v>21</v>
      </c>
      <c r="G5" s="19" t="s"/>
      <c r="H5" s="19" t="s"/>
      <c r="I5" s="21">
        <v>260110000005</v>
      </c>
      <c r="J5" s="19" t="s">
        <v>21</v>
      </c>
    </row>
    <row r="6" spans="1:10">
      <c r="A6" s="18" t="s">
        <v>15</v>
      </c>
      <c r="B6" s="19" t="s">
        <v>22</v>
      </c>
      <c r="C6" s="18" t="s">
        <v>17</v>
      </c>
      <c r="D6" s="18" t="s">
        <v>18</v>
      </c>
      <c r="E6" s="20" t="s"/>
      <c r="F6" s="18" t="s">
        <v>23</v>
      </c>
      <c r="G6" s="19" t="s"/>
      <c r="H6" s="19" t="s"/>
      <c r="I6" s="21">
        <v>260110000006</v>
      </c>
      <c r="J6" s="19" t="s">
        <v>23</v>
      </c>
    </row>
    <row r="7" spans="1:10">
      <c r="A7" s="18" t="s">
        <v>24</v>
      </c>
      <c r="B7" s="19" t="s">
        <v>25</v>
      </c>
      <c r="C7" s="18" t="s">
        <v>17</v>
      </c>
      <c r="D7" s="18" t="s">
        <v>18</v>
      </c>
      <c r="E7" s="20" t="s"/>
      <c r="F7" s="18" t="s">
        <v>26</v>
      </c>
      <c r="G7" s="19" t="s"/>
      <c r="H7" s="19" t="s"/>
      <c r="I7" s="21">
        <v>260110000009</v>
      </c>
      <c r="J7" s="19" t="s">
        <v>26</v>
      </c>
    </row>
    <row r="8" spans="1:10">
      <c r="A8" s="18" t="s">
        <v>27</v>
      </c>
      <c r="B8" s="19" t="s">
        <v>28</v>
      </c>
      <c r="C8" s="18" t="s">
        <v>17</v>
      </c>
      <c r="D8" s="18" t="s">
        <v>18</v>
      </c>
      <c r="E8" s="20" t="s"/>
      <c r="F8" s="18" t="s">
        <v>29</v>
      </c>
      <c r="G8" s="19" t="s"/>
      <c r="H8" s="19" t="s"/>
      <c r="I8" s="21">
        <v>260110000010</v>
      </c>
      <c r="J8" s="19" t="s">
        <v>29</v>
      </c>
    </row>
    <row r="9" spans="1:10">
      <c r="A9" s="18" t="s">
        <v>27</v>
      </c>
      <c r="B9" s="19" t="s">
        <v>30</v>
      </c>
      <c r="C9" s="18" t="s">
        <v>17</v>
      </c>
      <c r="D9" s="18" t="s">
        <v>18</v>
      </c>
      <c r="E9" s="20" t="s"/>
      <c r="F9" s="18" t="s">
        <v>31</v>
      </c>
      <c r="G9" s="19" t="s"/>
      <c r="H9" s="19" t="s"/>
      <c r="I9" s="21">
        <v>260110000011</v>
      </c>
      <c r="J9" s="19" t="s">
        <v>31</v>
      </c>
    </row>
    <row r="10" spans="1:10">
      <c r="A10" s="18" t="s">
        <v>32</v>
      </c>
      <c r="B10" s="19" t="s">
        <v>33</v>
      </c>
      <c r="C10" s="18" t="s">
        <v>17</v>
      </c>
      <c r="D10" s="18" t="s">
        <v>34</v>
      </c>
      <c r="E10" s="20" t="s"/>
      <c r="F10" s="18" t="s">
        <v>35</v>
      </c>
      <c r="G10" s="19" t="s"/>
      <c r="H10" s="19" t="s"/>
      <c r="I10" s="21">
        <v>260110000012</v>
      </c>
      <c r="J10" s="19" t="s">
        <v>35</v>
      </c>
    </row>
    <row r="11" spans="1:10">
      <c r="A11" s="18" t="s">
        <v>36</v>
      </c>
      <c r="B11" s="19" t="s">
        <v>37</v>
      </c>
      <c r="C11" s="18" t="s">
        <v>17</v>
      </c>
      <c r="D11" s="18" t="s">
        <v>18</v>
      </c>
      <c r="E11" s="20" t="s"/>
      <c r="F11" s="18" t="s">
        <v>38</v>
      </c>
      <c r="G11" s="19" t="s"/>
      <c r="H11" s="19" t="s"/>
      <c r="I11" s="21">
        <v>260110000018</v>
      </c>
      <c r="J11" s="19" t="s">
        <v>38</v>
      </c>
    </row>
    <row r="12" spans="1:10">
      <c r="A12" s="18" t="s">
        <v>36</v>
      </c>
      <c r="B12" s="19" t="s">
        <v>39</v>
      </c>
      <c r="C12" s="18" t="s">
        <v>17</v>
      </c>
      <c r="D12" s="18" t="s">
        <v>18</v>
      </c>
      <c r="E12" s="20" t="s"/>
      <c r="F12" s="18" t="s">
        <v>40</v>
      </c>
      <c r="G12" s="19" t="s"/>
      <c r="H12" s="19" t="s"/>
      <c r="I12" s="21">
        <v>260110000019</v>
      </c>
      <c r="J12" s="19" t="s">
        <v>40</v>
      </c>
    </row>
    <row r="13" spans="1:10">
      <c r="A13" s="18" t="s">
        <v>27</v>
      </c>
      <c r="B13" s="19" t="s">
        <v>41</v>
      </c>
      <c r="C13" s="18" t="s">
        <v>17</v>
      </c>
      <c r="D13" s="18" t="s">
        <v>18</v>
      </c>
      <c r="E13" s="20" t="s"/>
      <c r="F13" s="18" t="s">
        <v>42</v>
      </c>
      <c r="G13" s="19" t="s"/>
      <c r="H13" s="19" t="s"/>
      <c r="I13" s="21">
        <v>260110000022</v>
      </c>
      <c r="J13" s="19" t="s">
        <v>42</v>
      </c>
    </row>
    <row r="14" spans="1:10">
      <c r="A14" s="18" t="s">
        <v>43</v>
      </c>
      <c r="B14" s="19" t="s">
        <v>44</v>
      </c>
      <c r="C14" s="18" t="s">
        <v>17</v>
      </c>
      <c r="D14" s="18" t="s">
        <v>45</v>
      </c>
      <c r="E14" s="20" t="s"/>
      <c r="F14" s="18" t="s">
        <v>46</v>
      </c>
      <c r="G14" s="19" t="s"/>
      <c r="H14" s="19" t="s"/>
      <c r="I14" s="21">
        <v>260110000024</v>
      </c>
      <c r="J14" s="19" t="s">
        <v>46</v>
      </c>
    </row>
    <row r="15" spans="1:10">
      <c r="A15" s="18" t="s">
        <v>47</v>
      </c>
      <c r="B15" s="19" t="s">
        <v>48</v>
      </c>
      <c r="C15" s="18" t="s">
        <v>17</v>
      </c>
      <c r="D15" s="18" t="s">
        <v>49</v>
      </c>
      <c r="E15" s="20" t="s"/>
      <c r="F15" s="18" t="s">
        <v>50</v>
      </c>
      <c r="G15" s="19" t="s"/>
      <c r="H15" s="19" t="s"/>
      <c r="I15" s="21">
        <v>260110000031</v>
      </c>
      <c r="J15" s="19" t="s">
        <v>50</v>
      </c>
    </row>
    <row r="16" spans="1:10">
      <c r="A16" s="18" t="s">
        <v>27</v>
      </c>
      <c r="B16" s="19" t="s">
        <v>51</v>
      </c>
      <c r="C16" s="18" t="s">
        <v>17</v>
      </c>
      <c r="D16" s="18" t="s">
        <v>18</v>
      </c>
      <c r="E16" s="20" t="s"/>
      <c r="F16" s="18" t="s">
        <v>52</v>
      </c>
      <c r="G16" s="19" t="s"/>
      <c r="H16" s="19" t="s"/>
      <c r="I16" s="21">
        <v>260110000032</v>
      </c>
      <c r="J16" s="19" t="s">
        <v>52</v>
      </c>
    </row>
    <row r="17" spans="1:10">
      <c r="A17" s="18" t="s">
        <v>53</v>
      </c>
      <c r="B17" s="19" t="s">
        <v>54</v>
      </c>
      <c r="C17" s="18" t="s">
        <v>17</v>
      </c>
      <c r="D17" s="18" t="s">
        <v>55</v>
      </c>
      <c r="E17" s="20" t="s"/>
      <c r="F17" s="18" t="s">
        <v>56</v>
      </c>
      <c r="G17" s="19" t="s"/>
      <c r="H17" s="19" t="s"/>
      <c r="I17" s="21">
        <v>260110000035</v>
      </c>
      <c r="J17" s="19" t="s">
        <v>56</v>
      </c>
    </row>
    <row r="18" spans="1:10">
      <c r="A18" s="18" t="s">
        <v>57</v>
      </c>
      <c r="B18" s="19" t="s">
        <v>58</v>
      </c>
      <c r="C18" s="18" t="s">
        <v>17</v>
      </c>
      <c r="D18" s="18" t="s">
        <v>49</v>
      </c>
      <c r="E18" s="20" t="s"/>
      <c r="F18" s="18" t="s">
        <v>59</v>
      </c>
      <c r="G18" s="19" t="s"/>
      <c r="H18" s="19" t="s"/>
      <c r="I18" s="21">
        <v>260110000036</v>
      </c>
      <c r="J18" s="19" t="s">
        <v>59</v>
      </c>
    </row>
    <row r="19" spans="1:10">
      <c r="A19" s="18" t="s">
        <v>60</v>
      </c>
      <c r="B19" s="19" t="s">
        <v>61</v>
      </c>
      <c r="C19" s="18" t="s">
        <v>17</v>
      </c>
      <c r="D19" s="18" t="s">
        <v>18</v>
      </c>
      <c r="E19" s="20" t="s"/>
      <c r="F19" s="18" t="s">
        <v>62</v>
      </c>
      <c r="G19" s="19" t="s"/>
      <c r="H19" s="19" t="s"/>
      <c r="I19" s="21">
        <v>260110000037</v>
      </c>
      <c r="J19" s="19" t="s">
        <v>62</v>
      </c>
    </row>
    <row r="20" spans="1:10">
      <c r="A20" s="18" t="s">
        <v>63</v>
      </c>
      <c r="B20" s="19" t="s">
        <v>64</v>
      </c>
      <c r="C20" s="18" t="s">
        <v>17</v>
      </c>
      <c r="D20" s="18" t="s">
        <v>65</v>
      </c>
      <c r="E20" s="20" t="s"/>
      <c r="F20" s="18" t="s">
        <v>66</v>
      </c>
      <c r="G20" s="19" t="s"/>
      <c r="H20" s="19" t="s"/>
      <c r="I20" s="21">
        <v>260110000038</v>
      </c>
      <c r="J20" s="19" t="s">
        <v>66</v>
      </c>
    </row>
    <row r="21" spans="1:10">
      <c r="A21" s="18" t="s">
        <v>67</v>
      </c>
      <c r="B21" s="19" t="s">
        <v>68</v>
      </c>
      <c r="C21" s="18" t="s">
        <v>17</v>
      </c>
      <c r="D21" s="18" t="s">
        <v>49</v>
      </c>
      <c r="E21" s="20" t="s"/>
      <c r="F21" s="18" t="s">
        <v>69</v>
      </c>
      <c r="G21" s="19" t="s"/>
      <c r="H21" s="19" t="s"/>
      <c r="I21" s="21">
        <v>260110000042</v>
      </c>
      <c r="J21" s="19" t="s">
        <v>69</v>
      </c>
    </row>
    <row r="22" spans="1:10">
      <c r="A22" s="18" t="s">
        <v>27</v>
      </c>
      <c r="B22" s="19" t="s">
        <v>70</v>
      </c>
      <c r="C22" s="18" t="s">
        <v>17</v>
      </c>
      <c r="D22" s="18" t="s">
        <v>18</v>
      </c>
      <c r="E22" s="20" t="s"/>
      <c r="F22" s="18" t="s">
        <v>71</v>
      </c>
      <c r="G22" s="19" t="s"/>
      <c r="H22" s="19" t="s"/>
      <c r="I22" s="21">
        <v>260110000043</v>
      </c>
      <c r="J22" s="19" t="s">
        <v>71</v>
      </c>
    </row>
    <row r="23" spans="1:10">
      <c r="A23" s="18" t="s">
        <v>72</v>
      </c>
      <c r="B23" s="19" t="s">
        <v>73</v>
      </c>
      <c r="C23" s="18" t="s">
        <v>17</v>
      </c>
      <c r="D23" s="18" t="s">
        <v>34</v>
      </c>
      <c r="E23" s="20" t="s"/>
      <c r="F23" s="18" t="s">
        <v>74</v>
      </c>
      <c r="G23" s="19" t="s"/>
      <c r="H23" s="19" t="s"/>
      <c r="I23" s="21">
        <v>260110000044</v>
      </c>
      <c r="J23" s="19" t="s">
        <v>74</v>
      </c>
    </row>
    <row r="24" spans="1:10">
      <c r="A24" s="18" t="s">
        <v>63</v>
      </c>
      <c r="B24" s="19" t="s">
        <v>75</v>
      </c>
      <c r="C24" s="18" t="s">
        <v>17</v>
      </c>
      <c r="D24" s="18" t="s">
        <v>65</v>
      </c>
      <c r="E24" s="20" t="s"/>
      <c r="F24" s="18" t="s">
        <v>76</v>
      </c>
      <c r="G24" s="19" t="s"/>
      <c r="H24" s="19" t="s"/>
      <c r="I24" s="21">
        <v>260110000045</v>
      </c>
      <c r="J24" s="19" t="s">
        <v>76</v>
      </c>
    </row>
    <row r="25" spans="1:10">
      <c r="A25" s="18" t="s">
        <v>27</v>
      </c>
      <c r="B25" s="19" t="s">
        <v>77</v>
      </c>
      <c r="C25" s="18" t="s">
        <v>17</v>
      </c>
      <c r="D25" s="18" t="s">
        <v>18</v>
      </c>
      <c r="E25" s="20" t="s"/>
      <c r="F25" s="18" t="s">
        <v>78</v>
      </c>
      <c r="G25" s="19" t="s"/>
      <c r="H25" s="19" t="s"/>
      <c r="I25" s="21">
        <v>260110000046</v>
      </c>
      <c r="J25" s="19" t="s">
        <v>78</v>
      </c>
    </row>
    <row r="26" spans="1:10">
      <c r="A26" s="18" t="s">
        <v>67</v>
      </c>
      <c r="B26" s="19" t="s">
        <v>79</v>
      </c>
      <c r="C26" s="18" t="s">
        <v>17</v>
      </c>
      <c r="D26" s="18" t="s">
        <v>49</v>
      </c>
      <c r="E26" s="20" t="s"/>
      <c r="F26" s="18" t="s">
        <v>80</v>
      </c>
      <c r="G26" s="19" t="s"/>
      <c r="H26" s="19" t="s"/>
      <c r="I26" s="21">
        <v>260110000048</v>
      </c>
      <c r="J26" s="19" t="s">
        <v>80</v>
      </c>
    </row>
    <row r="27" spans="1:10">
      <c r="A27" s="18" t="s">
        <v>36</v>
      </c>
      <c r="B27" s="19" t="s">
        <v>81</v>
      </c>
      <c r="C27" s="18" t="s">
        <v>17</v>
      </c>
      <c r="D27" s="18" t="s">
        <v>82</v>
      </c>
      <c r="E27" s="20" t="s"/>
      <c r="F27" s="18" t="s">
        <v>83</v>
      </c>
      <c r="G27" s="19" t="s"/>
      <c r="H27" s="19" t="s"/>
      <c r="I27" s="21">
        <v>260110000049</v>
      </c>
      <c r="J27" s="19" t="s">
        <v>83</v>
      </c>
    </row>
    <row r="28" spans="1:10">
      <c r="A28" s="18" t="s">
        <v>84</v>
      </c>
      <c r="B28" s="19" t="s">
        <v>85</v>
      </c>
      <c r="C28" s="18" t="s">
        <v>17</v>
      </c>
      <c r="D28" s="18" t="s">
        <v>45</v>
      </c>
      <c r="E28" s="20" t="s"/>
      <c r="F28" s="18" t="s">
        <v>86</v>
      </c>
      <c r="G28" s="19" t="s"/>
      <c r="H28" s="19" t="s"/>
      <c r="I28" s="21">
        <v>260110000050</v>
      </c>
      <c r="J28" s="19" t="s">
        <v>86</v>
      </c>
    </row>
    <row r="29" spans="1:10">
      <c r="A29" s="19" t="s">
        <v>87</v>
      </c>
      <c r="B29" s="19" t="s">
        <v>88</v>
      </c>
      <c r="C29" s="19" t="s">
        <v>89</v>
      </c>
      <c r="D29" s="18" t="s">
        <v>34</v>
      </c>
      <c r="E29" s="20" t="s"/>
      <c r="F29" s="18" t="s">
        <v>90</v>
      </c>
      <c r="G29" s="19" t="s"/>
      <c r="H29" s="19" t="s"/>
      <c r="I29" s="21">
        <v>260110000051</v>
      </c>
      <c r="J29" s="19" t="s">
        <v>90</v>
      </c>
    </row>
    <row r="30" spans="1:10">
      <c r="A30" s="19" t="s">
        <v>87</v>
      </c>
      <c r="B30" s="19" t="s">
        <v>91</v>
      </c>
      <c r="C30" s="19" t="s">
        <v>92</v>
      </c>
      <c r="D30" s="18" t="s">
        <v>34</v>
      </c>
      <c r="E30" s="20" t="s"/>
      <c r="F30" s="18" t="s">
        <v>93</v>
      </c>
      <c r="G30" s="19" t="s"/>
      <c r="H30" s="19" t="s"/>
      <c r="I30" s="21">
        <v>260110000052</v>
      </c>
      <c r="J30" s="19" t="s">
        <v>93</v>
      </c>
    </row>
    <row r="31" spans="1:10">
      <c r="A31" s="19" t="s">
        <v>87</v>
      </c>
      <c r="B31" s="19" t="s">
        <v>94</v>
      </c>
      <c r="C31" s="18" t="s">
        <v>17</v>
      </c>
      <c r="D31" s="18" t="s">
        <v>34</v>
      </c>
      <c r="E31" s="20" t="s"/>
      <c r="F31" s="18" t="s">
        <v>95</v>
      </c>
      <c r="G31" s="19" t="s"/>
      <c r="H31" s="19" t="s"/>
      <c r="I31" s="21">
        <v>260110000054</v>
      </c>
      <c r="J31" s="19" t="s">
        <v>95</v>
      </c>
    </row>
    <row r="32" spans="1:10">
      <c r="A32" s="19" t="s">
        <v>87</v>
      </c>
      <c r="B32" s="19" t="s">
        <v>94</v>
      </c>
      <c r="C32" s="18" t="s">
        <v>96</v>
      </c>
      <c r="D32" s="18" t="s">
        <v>34</v>
      </c>
      <c r="E32" s="20" t="s"/>
      <c r="F32" s="18" t="s">
        <v>97</v>
      </c>
      <c r="H32" s="19" t="s"/>
      <c r="I32" s="21">
        <v>260110000055</v>
      </c>
      <c r="J32" s="19" t="s">
        <v>97</v>
      </c>
    </row>
    <row r="33" spans="1:10">
      <c r="A33" s="19" t="s">
        <v>87</v>
      </c>
      <c r="B33" s="19" t="s">
        <v>94</v>
      </c>
      <c r="C33" s="18" t="s">
        <v>98</v>
      </c>
      <c r="D33" s="18" t="s">
        <v>34</v>
      </c>
      <c r="E33" s="20" t="s"/>
      <c r="F33" s="18" t="s">
        <v>99</v>
      </c>
      <c r="H33" s="19" t="s"/>
      <c r="I33" s="21">
        <v>260110000056</v>
      </c>
      <c r="J33" s="19" t="s">
        <v>99</v>
      </c>
    </row>
    <row r="34" spans="1:10">
      <c r="A34" s="19" t="s">
        <v>87</v>
      </c>
      <c r="B34" s="19" t="s">
        <v>94</v>
      </c>
      <c r="C34" s="19" t="s">
        <v>92</v>
      </c>
      <c r="D34" s="18" t="s">
        <v>34</v>
      </c>
      <c r="E34" s="20" t="s"/>
      <c r="F34" s="18" t="s">
        <v>100</v>
      </c>
      <c r="G34" s="19" t="s"/>
      <c r="H34" s="19" t="s"/>
      <c r="I34" s="21">
        <v>260110000057</v>
      </c>
      <c r="J34" s="19" t="s">
        <v>100</v>
      </c>
    </row>
    <row r="35" spans="1:10" ht="13.5" customHeight="1">
      <c r="A35" s="18" t="s">
        <v>27</v>
      </c>
      <c r="B35" s="19" t="s">
        <v>101</v>
      </c>
      <c r="C35" s="18" t="s">
        <v>17</v>
      </c>
      <c r="D35" s="18" t="s">
        <v>18</v>
      </c>
      <c r="E35" s="20" t="s"/>
      <c r="F35" s="18" t="s">
        <v>102</v>
      </c>
      <c r="G35" s="19" t="s"/>
      <c r="H35" s="19" t="s"/>
      <c r="I35" s="21">
        <v>260110000058</v>
      </c>
      <c r="J35" s="19" t="s">
        <v>102</v>
      </c>
    </row>
    <row r="36" spans="5:5">
      <c r="E36" s="16" t="s"/>
    </row>
    <row r="37" spans="5:5">
      <c r="E37" s="16" t="s"/>
    </row>
    <row r="38" spans="5:5">
      <c r="E38" s="16" t="s"/>
    </row>
    <row r="39" spans="5:5">
      <c r="E39" s="16" t="s"/>
    </row>
    <row r="40" spans="5:5">
      <c r="E40" s="16" t="s"/>
    </row>
    <row r="41" spans="5:5">
      <c r="E41" s="16" t="s"/>
    </row>
    <row r="42" spans="5:5">
      <c r="E42" s="16" t="s"/>
    </row>
    <row r="43" spans="5:5">
      <c r="E43" s="16" t="s"/>
    </row>
    <row r="44" spans="5:5">
      <c r="E44" s="16" t="s"/>
    </row>
    <row r="45" spans="5:5">
      <c r="E45" s="16" t="s"/>
    </row>
    <row r="46" spans="5:5">
      <c r="E46" s="16" t="s"/>
    </row>
    <row r="47" spans="5:5">
      <c r="E47" s="16" t="s"/>
    </row>
    <row r="48" spans="5:5">
      <c r="E48" s="16" t="s"/>
    </row>
    <row r="49" spans="5:5">
      <c r="E49" s="16" t="s"/>
    </row>
    <row r="50" spans="5:5">
      <c r="E50" s="16" t="s"/>
    </row>
    <row r="51" spans="5:5">
      <c r="E51" s="16" t="s"/>
    </row>
    <row r="52" spans="5:5">
      <c r="E52" s="16" t="s"/>
    </row>
    <row r="53" spans="5:5">
      <c r="E53" s="16" t="s"/>
    </row>
    <row r="54" spans="5:5">
      <c r="E54" s="16" t="s"/>
    </row>
    <row r="55" spans="5:5">
      <c r="E55" s="16" t="s"/>
    </row>
    <row r="56" spans="5:5">
      <c r="E56" s="16" t="s"/>
    </row>
    <row r="57" spans="5:5">
      <c r="E57" s="16" t="s"/>
    </row>
    <row r="58" spans="5:5">
      <c r="E58" s="16" t="s"/>
    </row>
    <row r="59" spans="5:5">
      <c r="E59" s="16" t="s"/>
    </row>
    <row r="60" spans="5:5">
      <c r="E60" s="16" t="s"/>
    </row>
    <row r="61" spans="5:5">
      <c r="E61" s="16" t="s"/>
    </row>
    <row r="62" spans="5:5">
      <c r="E62" s="16" t="s"/>
    </row>
    <row r="63" spans="5:5">
      <c r="E63" s="16" t="s"/>
    </row>
    <row r="64" spans="5:5">
      <c r="E64" s="16" t="s"/>
    </row>
    <row r="65" spans="5:5">
      <c r="E65" s="16" t="s"/>
    </row>
    <row r="66" spans="5:5">
      <c r="E66" s="16" t="s"/>
    </row>
    <row r="67" spans="5:5">
      <c r="E67" s="16" t="s"/>
    </row>
    <row r="68" spans="5:5">
      <c r="E68" s="16" t="s"/>
    </row>
    <row r="69" spans="5:5">
      <c r="E69" s="16" t="s"/>
    </row>
    <row r="70" spans="5:5">
      <c r="E70" s="16" t="s"/>
    </row>
    <row r="71" spans="5:5">
      <c r="E71" s="16" t="s"/>
    </row>
    <row r="72" spans="5:5">
      <c r="E72" s="16" t="s"/>
    </row>
    <row r="73" spans="5:5">
      <c r="E73" s="16" t="s"/>
    </row>
    <row r="74" spans="5:5">
      <c r="E74" s="16" t="s"/>
    </row>
    <row r="75" spans="5:5">
      <c r="E75" s="16" t="s"/>
    </row>
    <row r="76" spans="5:5">
      <c r="E76" s="16" t="s"/>
    </row>
    <row r="77" spans="5:5">
      <c r="E77" s="16" t="s"/>
    </row>
    <row r="78" spans="5:5">
      <c r="E78" s="16" t="s"/>
    </row>
    <row r="79" spans="5:5">
      <c r="E79" s="16" t="s"/>
    </row>
    <row r="80" spans="5:5">
      <c r="E80" s="16" t="s"/>
    </row>
    <row r="81" spans="5:5">
      <c r="E81" s="16" t="s"/>
    </row>
    <row r="82" spans="5:5">
      <c r="E82" s="16" t="s"/>
    </row>
    <row r="83" spans="5:5">
      <c r="E83" s="16" t="s"/>
    </row>
    <row r="84" spans="5:5">
      <c r="E84" s="16" t="s"/>
    </row>
    <row r="85" spans="5:5">
      <c r="E85" s="16" t="s"/>
    </row>
    <row r="86" spans="5:5">
      <c r="E86" s="16" t="s"/>
    </row>
    <row r="87" spans="5:5">
      <c r="E87" s="16" t="s"/>
    </row>
    <row r="88" spans="5:5">
      <c r="E88" s="16" t="s"/>
    </row>
    <row r="89" spans="5:5">
      <c r="E89" s="16" t="s"/>
    </row>
    <row r="90" spans="5:5">
      <c r="E90" s="16" t="s"/>
    </row>
    <row r="91" spans="5:5">
      <c r="E91" s="16" t="s"/>
    </row>
    <row r="92" spans="5:5">
      <c r="E92" s="16" t="s"/>
    </row>
    <row r="93" spans="5:5">
      <c r="E93" s="16" t="s"/>
    </row>
    <row r="94" spans="5:5">
      <c r="E94" s="16" t="s"/>
    </row>
    <row r="95" spans="5:5">
      <c r="E95" s="16" t="s"/>
    </row>
    <row r="96" spans="5:5">
      <c r="E96" s="16" t="s"/>
    </row>
    <row r="97" spans="5:5">
      <c r="E97" s="16" t="s"/>
    </row>
    <row r="98" spans="5:5">
      <c r="E98" s="16" t="s"/>
    </row>
    <row r="99" spans="5:5">
      <c r="E99" s="16" t="s"/>
    </row>
    <row r="100" spans="5:5">
      <c r="E100" s="16" t="s"/>
    </row>
    <row r="101" spans="5:5">
      <c r="E101" s="16" t="s"/>
    </row>
    <row r="102" spans="5:5">
      <c r="E102" s="16" t="s"/>
    </row>
    <row r="103" spans="5:5">
      <c r="E103" s="16" t="s"/>
    </row>
    <row r="104" spans="5:5">
      <c r="E104" s="16" t="s"/>
    </row>
    <row r="105" spans="5:5">
      <c r="E105" s="16" t="s"/>
    </row>
    <row r="106" spans="5:5">
      <c r="E106" s="16" t="s"/>
    </row>
    <row r="107" spans="5:5">
      <c r="E107" s="16" t="s"/>
    </row>
    <row r="108" spans="5:5">
      <c r="E108" s="16" t="s"/>
    </row>
    <row r="109" spans="5:5">
      <c r="E109" s="16" t="s"/>
    </row>
    <row r="110" spans="5:5">
      <c r="E110" s="16" t="s"/>
    </row>
    <row r="111" spans="5:5">
      <c r="E111" s="16" t="s"/>
    </row>
    <row r="112" spans="5:5">
      <c r="E112" s="16" t="s"/>
    </row>
    <row r="113" spans="5:5">
      <c r="E113" s="16" t="s"/>
    </row>
    <row r="114" spans="5:5">
      <c r="E114" s="16" t="s"/>
    </row>
    <row r="115" spans="5:5">
      <c r="E115" s="16" t="s"/>
    </row>
    <row r="116" spans="5:5">
      <c r="E116" s="16" t="s"/>
    </row>
    <row r="117" spans="5:5">
      <c r="E117" s="16" t="s"/>
    </row>
    <row r="118" spans="5:5">
      <c r="E118" s="16" t="s"/>
    </row>
    <row r="119" spans="5:5">
      <c r="E119" s="16" t="s"/>
    </row>
    <row r="120" spans="5:5">
      <c r="E120" s="16" t="s"/>
    </row>
    <row r="121" spans="5:5">
      <c r="E121" s="16" t="s"/>
    </row>
    <row r="122" spans="5:5">
      <c r="E122" s="16" t="s"/>
    </row>
    <row r="123" spans="5:5">
      <c r="E123" s="16" t="s"/>
    </row>
    <row r="124" spans="5:5">
      <c r="E124" s="16" t="s"/>
    </row>
    <row r="125" spans="5:5">
      <c r="E125" s="16" t="s"/>
    </row>
    <row r="126" spans="5:5">
      <c r="E126" s="16" t="s"/>
    </row>
    <row r="127" spans="5:5">
      <c r="E127" s="16" t="s"/>
    </row>
    <row r="128" spans="5:5">
      <c r="E128" s="16" t="s"/>
    </row>
    <row r="129" spans="5:5">
      <c r="E129" s="16" t="s"/>
    </row>
    <row r="130" spans="5:5">
      <c r="E130" s="16" t="s"/>
    </row>
    <row r="131" spans="5:5">
      <c r="E131" s="16" t="s"/>
    </row>
    <row r="132" spans="5:5">
      <c r="E132" s="16" t="s"/>
    </row>
    <row r="133" spans="5:5">
      <c r="E133" s="16" t="s"/>
    </row>
    <row r="134" spans="5:5">
      <c r="E134" s="16" t="s"/>
    </row>
    <row r="135" spans="5:5">
      <c r="E135" s="16" t="s"/>
    </row>
    <row r="136" spans="5:5">
      <c r="E136" s="16" t="s"/>
    </row>
    <row r="137" spans="5:5">
      <c r="E137" s="16" t="s"/>
    </row>
    <row r="138" spans="5:5">
      <c r="E138" s="16" t="s"/>
    </row>
    <row r="139" spans="5:5">
      <c r="E139" s="16" t="s"/>
    </row>
    <row r="140" spans="5:5">
      <c r="E140" s="16" t="s"/>
    </row>
    <row r="141" spans="5:5">
      <c r="E141" s="16" t="s"/>
    </row>
    <row r="142" spans="5:5">
      <c r="E142" s="16" t="s"/>
    </row>
    <row r="143" spans="5:5">
      <c r="E143" s="16" t="s"/>
    </row>
    <row r="144" spans="5:5">
      <c r="E144" s="16" t="s"/>
    </row>
    <row r="145" spans="5:5">
      <c r="E145" s="16" t="s"/>
    </row>
    <row r="146" spans="5:5">
      <c r="E146" s="16" t="s"/>
    </row>
    <row r="147" spans="5:5">
      <c r="E147" s="16" t="s"/>
    </row>
    <row r="148" spans="5:5">
      <c r="E148" s="16" t="s"/>
    </row>
    <row r="149" spans="5:5">
      <c r="E149" s="16" t="s"/>
    </row>
    <row r="150" spans="5:5">
      <c r="E150" s="16" t="s"/>
    </row>
    <row r="151" spans="5:5">
      <c r="E151" s="16" t="s"/>
    </row>
    <row r="152" spans="5:5">
      <c r="E152" s="16" t="s"/>
    </row>
    <row r="153" spans="5:5">
      <c r="E153" s="16" t="s"/>
    </row>
    <row r="154" spans="5:5">
      <c r="E154" s="16" t="s"/>
    </row>
    <row r="155" spans="5:5">
      <c r="E155" s="16" t="s"/>
    </row>
    <row r="156" spans="5:5">
      <c r="E156" s="16" t="s"/>
    </row>
    <row r="157" spans="5:5">
      <c r="E157" s="16" t="s"/>
    </row>
    <row r="158" spans="5:5">
      <c r="E158" s="16" t="s"/>
    </row>
    <row r="159" spans="5:5">
      <c r="E159" s="16" t="s"/>
    </row>
    <row r="160" spans="5:5">
      <c r="E160" s="16" t="s"/>
    </row>
    <row r="161" spans="5:5">
      <c r="E161" s="16" t="s"/>
    </row>
    <row r="162" spans="5:5">
      <c r="E162" s="16" t="s"/>
    </row>
    <row r="163" spans="5:5">
      <c r="E163" s="16" t="s"/>
    </row>
    <row r="164" spans="5:5">
      <c r="E164" s="16" t="s"/>
    </row>
    <row r="165" spans="5:5">
      <c r="E165" s="16" t="s"/>
    </row>
    <row r="166" spans="5:5">
      <c r="E166" s="16" t="s"/>
    </row>
    <row r="167" spans="5:5">
      <c r="E167" s="16" t="s"/>
    </row>
    <row r="168" spans="5:5">
      <c r="E168" s="16" t="s"/>
    </row>
    <row r="169" spans="5:5">
      <c r="E169" s="16" t="s"/>
    </row>
    <row r="170" spans="5:5">
      <c r="E170" s="16" t="s"/>
    </row>
    <row r="171" spans="5:5">
      <c r="E171" s="16" t="s"/>
    </row>
    <row r="172" spans="5:5">
      <c r="E172" s="16" t="s"/>
    </row>
    <row r="173" spans="5:5">
      <c r="E173" s="16" t="s"/>
    </row>
    <row r="174" spans="5:5">
      <c r="E174" s="16" t="s"/>
    </row>
    <row r="175" spans="5:5">
      <c r="E175" s="16" t="s"/>
    </row>
    <row r="176" spans="5:5">
      <c r="E176" s="16" t="s"/>
    </row>
    <row r="177" spans="5:5">
      <c r="E177" s="16" t="s"/>
    </row>
    <row r="178" spans="5:5">
      <c r="E178" s="16" t="s"/>
    </row>
    <row r="179" spans="5:5">
      <c r="E179" s="16" t="s"/>
    </row>
    <row r="180" spans="5:5">
      <c r="E180" s="16" t="s"/>
    </row>
    <row r="181" spans="5:5">
      <c r="E181" s="16" t="s"/>
    </row>
    <row r="182" spans="5:5">
      <c r="E182" s="16" t="s"/>
    </row>
    <row r="183" spans="5:5">
      <c r="E183" s="16" t="s"/>
    </row>
    <row r="184" spans="5:5">
      <c r="E184" s="16" t="s"/>
    </row>
    <row r="185" spans="5:5">
      <c r="E185" s="16" t="s"/>
    </row>
    <row r="186" spans="5:5">
      <c r="E186" s="16" t="s"/>
    </row>
    <row r="187" spans="5:5">
      <c r="E187" s="16" t="s"/>
    </row>
    <row r="188" spans="5:5">
      <c r="E188" s="16" t="s"/>
    </row>
    <row r="189" spans="5:5">
      <c r="E189" s="16" t="s"/>
    </row>
    <row r="190" spans="5:5">
      <c r="E190" s="16" t="s"/>
    </row>
    <row r="191" spans="5:5">
      <c r="E191" s="16" t="s"/>
    </row>
    <row r="192" spans="5:5">
      <c r="E192" s="16" t="s"/>
    </row>
    <row r="193" spans="5:5">
      <c r="E193" s="16" t="s"/>
    </row>
    <row r="194" spans="5:5">
      <c r="E194" s="16" t="s"/>
    </row>
    <row r="195" spans="5:5">
      <c r="E195" s="16" t="s"/>
    </row>
    <row r="196" spans="5:5">
      <c r="E196" s="16" t="s"/>
    </row>
    <row r="197" spans="5:5">
      <c r="E197" s="16" t="s"/>
    </row>
    <row r="198" spans="5:5">
      <c r="E198" s="16" t="s"/>
    </row>
    <row r="199" spans="5:5">
      <c r="E199" s="16" t="s"/>
    </row>
    <row r="200" spans="5:5">
      <c r="E200" s="16" t="s"/>
    </row>
  </sheetData>
  <dataValidations>
    <dataValidation type="list" errorStyle="stop" allowBlank="1" showDropDown="0" showInputMessage="1" showErrorMessage="1" prompt="" sqref="E2:E1048576">
      <formula1>基础表!$D:$D</formula1>
    </dataValidation>
    <dataValidation type="list" errorStyle="stop" allowBlank="1" showDropDown="0" showInputMessage="1" showErrorMessage="1" prompt="" sqref="A2">
      <formula1>基础表!$A:$A</formula1>
    </dataValidation>
    <dataValidation type="list" errorStyle="stop" allowBlank="1" showDropDown="0" showInputMessage="1" showErrorMessage="1" prompt="" sqref="C2">
      <formula1>基础表!$B:$B</formula1>
    </dataValidation>
    <dataValidation type="list" operator="between" allowBlank="1" showInputMessage="1" showErrorMessage="1" sqref="C3">
      <formula1>基础表!$B:$B</formula1>
    </dataValidation>
    <dataValidation type="list" errorStyle="stop" allowBlank="1" showDropDown="0" showInputMessage="1" showErrorMessage="1" prompt="" sqref="D2">
      <formula1>基础表!$C:$C</formula1>
    </dataValidation>
    <dataValidation type="list" errorStyle="stop" allowBlank="1" showDropDown="0" showInputMessage="1" showErrorMessage="1" prompt="" sqref="D3">
      <formula1>基础表!$A:$A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/>
  <dimension ref="L55"/>
  <sheetViews>
    <sheetView showGridLines="1" workbookViewId="0"/>
  </sheetViews>
  <sheetFormatPr baseColWidth="8" defaultRowHeight="14.25"/>
  <cols>
    <col min="1" max="1" width="23" customWidth="1"/>
    <col min="2" max="2" width="15.9414" customWidth="1"/>
    <col min="4" max="4" width="9.71094" customWidth="1"/>
    <col min="8" max="8" width="22.7109" customWidth="1"/>
    <col min="9" max="9" width="18.7109" customWidth="1"/>
    <col min="10" max="10" width="22.7109" customWidth="1"/>
    <col min="12" max="12" width="22.7109" customWidth="1"/>
  </cols>
  <sheetData>
    <row r="1" spans="1:5" ht="21.75" customHeight="1">
      <c r="A1" s="165" t="s">
        <v>1</v>
      </c>
      <c r="B1" s="165" t="s">
        <v>3</v>
      </c>
      <c r="C1" s="165" t="s">
        <v>4</v>
      </c>
      <c r="D1" s="166" t="s">
        <v>5</v>
      </c>
      <c r="E1" s="167" t="s">
        <v>1255</v>
      </c>
    </row>
    <row r="2" spans="1:4">
      <c r="A2" s="12" t="s">
        <v>1256</v>
      </c>
      <c r="B2" s="12" t="s">
        <v>10</v>
      </c>
      <c r="C2" t="s">
        <v>1257</v>
      </c>
      <c r="D2" s="12" t="s">
        <v>966</v>
      </c>
    </row>
    <row r="3" spans="1:4">
      <c r="A3" s="12" t="s">
        <v>57</v>
      </c>
      <c r="B3" s="12" t="s">
        <v>940</v>
      </c>
      <c r="C3" t="s">
        <v>11</v>
      </c>
      <c r="D3" s="12" t="s">
        <v>12</v>
      </c>
    </row>
    <row r="4" spans="1:12">
      <c r="A4" s="168" t="s">
        <v>36</v>
      </c>
      <c r="B4" s="85" t="s">
        <v>649</v>
      </c>
      <c r="C4" t="s">
        <v>82</v>
      </c>
      <c r="D4" s="12" t="s">
        <v>874</v>
      </c>
      <c r="H4" s="169" t="s"/>
      <c r="I4" s="169" t="s"/>
      <c r="J4" s="169" t="s"/>
      <c r="L4" s="170" t="s"/>
    </row>
    <row r="5" spans="1:12">
      <c r="A5" s="168" t="s">
        <v>24</v>
      </c>
      <c r="B5" s="85" t="s">
        <v>871</v>
      </c>
      <c r="C5" t="s">
        <v>45</v>
      </c>
      <c r="D5" s="12" t="s">
        <v>1258</v>
      </c>
      <c r="H5" s="169" t="s"/>
      <c r="I5" s="169" t="s"/>
      <c r="J5" s="169" t="s"/>
      <c r="L5" s="170" t="s"/>
    </row>
    <row r="6" spans="1:12">
      <c r="A6" s="168" t="s">
        <v>27</v>
      </c>
      <c r="B6" s="85" t="s">
        <v>17</v>
      </c>
      <c r="C6" t="s">
        <v>1259</v>
      </c>
      <c r="D6" s="12" t="s"/>
      <c r="H6" s="169" t="s"/>
      <c r="I6" s="169" t="s"/>
      <c r="J6" s="169" t="s"/>
      <c r="L6" s="170" t="s"/>
    </row>
    <row r="7" spans="1:12">
      <c r="A7" s="168" t="s">
        <v>811</v>
      </c>
      <c r="B7" s="85" t="s">
        <v>1260</v>
      </c>
      <c r="C7" t="s">
        <v>1261</v>
      </c>
      <c r="D7" s="12" t="s"/>
      <c r="H7" s="169" t="s"/>
      <c r="I7" s="169" t="s"/>
      <c r="J7" s="169" t="s"/>
      <c r="L7" s="170" t="s"/>
    </row>
    <row r="8" spans="1:12">
      <c r="A8" s="168" t="s">
        <v>714</v>
      </c>
      <c r="B8" s="85" t="s">
        <v>1262</v>
      </c>
      <c r="C8" t="s">
        <v>55</v>
      </c>
      <c r="D8" s="12" t="s"/>
      <c r="H8" s="169" t="s"/>
      <c r="I8" s="169" t="s"/>
      <c r="J8" s="169" t="s"/>
      <c r="L8" s="170" t="s"/>
    </row>
    <row r="9" spans="1:12">
      <c r="A9" s="168" t="s">
        <v>647</v>
      </c>
      <c r="B9" s="85" t="s">
        <v>1263</v>
      </c>
      <c r="C9" t="s">
        <v>65</v>
      </c>
      <c r="D9" s="12" t="s"/>
      <c r="H9" s="169" t="s"/>
      <c r="I9" s="169" t="s"/>
      <c r="J9" s="169" t="s"/>
      <c r="L9" s="170" t="s"/>
    </row>
    <row r="10" spans="1:12">
      <c r="A10" s="168" t="s">
        <v>1264</v>
      </c>
      <c r="B10" s="12" t="s">
        <v>1265</v>
      </c>
      <c r="C10" t="s">
        <v>1266</v>
      </c>
      <c r="D10" s="12" t="s"/>
      <c r="H10" s="169" t="s"/>
      <c r="I10" s="169" t="s"/>
      <c r="J10" s="169" t="s"/>
      <c r="L10" s="170" t="s"/>
    </row>
    <row r="11" spans="1:12">
      <c r="A11" s="168" t="s">
        <v>660</v>
      </c>
      <c r="B11" s="33" t="s">
        <v>1267</v>
      </c>
      <c r="C11" t="s">
        <v>877</v>
      </c>
      <c r="D11" s="12" t="s"/>
      <c r="H11" s="169" t="s"/>
      <c r="I11" s="169" t="s"/>
      <c r="J11" s="169" t="s"/>
      <c r="L11" s="170" t="s"/>
    </row>
    <row r="12" spans="1:12">
      <c r="A12" s="171" t="s">
        <v>53</v>
      </c>
      <c r="B12" s="85" t="s">
        <v>1268</v>
      </c>
      <c r="C12" t="s">
        <v>990</v>
      </c>
      <c r="D12" s="12" t="s"/>
      <c r="H12" s="169" t="s"/>
      <c r="I12" s="169" t="s"/>
      <c r="J12" s="169" t="s"/>
      <c r="L12" s="170" t="s"/>
    </row>
    <row r="13" spans="1:12">
      <c r="A13" s="168" t="s">
        <v>1269</v>
      </c>
      <c r="B13" s="85" t="s">
        <v>1270</v>
      </c>
      <c r="C13" t="s">
        <v>886</v>
      </c>
      <c r="D13" s="12" t="s"/>
      <c r="H13" s="169" t="s"/>
      <c r="I13" s="169" t="s"/>
      <c r="J13" s="169" t="s"/>
      <c r="L13" s="170" t="s"/>
    </row>
    <row r="14" spans="1:12">
      <c r="A14" s="168" t="s">
        <v>839</v>
      </c>
      <c r="B14" s="85" t="s">
        <v>1271</v>
      </c>
      <c r="C14" t="s">
        <v>1084</v>
      </c>
      <c r="D14" s="12" t="s"/>
      <c r="H14" s="169" t="s"/>
      <c r="L14" s="170" t="s"/>
    </row>
    <row r="15" spans="1:12">
      <c r="A15" s="28" t="s">
        <v>1253</v>
      </c>
      <c r="B15" s="85" t="s">
        <v>1272</v>
      </c>
      <c r="C15" t="s">
        <v>34</v>
      </c>
      <c r="D15" s="12" t="s"/>
      <c r="H15" s="169" t="s"/>
      <c r="L15" s="170" t="s"/>
    </row>
    <row r="16" spans="1:12">
      <c r="A16" s="171" t="s">
        <v>895</v>
      </c>
      <c r="B16" s="85" t="s">
        <v>1273</v>
      </c>
      <c r="C16" t="s">
        <v>49</v>
      </c>
      <c r="D16" s="12" t="s"/>
      <c r="H16" s="169" t="s"/>
      <c r="L16" s="170" t="s"/>
    </row>
    <row r="17" spans="1:12">
      <c r="A17" s="171" t="s">
        <v>929</v>
      </c>
      <c r="B17" s="172" t="s">
        <v>1274</v>
      </c>
      <c r="C17" t="s">
        <v>1029</v>
      </c>
      <c r="D17" s="12" t="s"/>
      <c r="H17" s="169" t="s"/>
      <c r="L17" s="170" t="s"/>
    </row>
    <row r="18" spans="1:12">
      <c r="A18" s="168" t="s">
        <v>67</v>
      </c>
      <c r="B18" s="12" t="s">
        <v>1275</v>
      </c>
      <c r="C18" t="s">
        <v>866</v>
      </c>
      <c r="D18" s="12" t="s"/>
      <c r="H18" s="169" t="s"/>
      <c r="L18" s="170" t="s"/>
    </row>
    <row r="19" spans="1:12">
      <c r="A19" s="28" t="s">
        <v>1064</v>
      </c>
      <c r="B19" s="33" t="s">
        <v>1276</v>
      </c>
      <c r="C19" t="s">
        <v>663</v>
      </c>
      <c r="D19" s="12" t="s"/>
      <c r="H19" s="169" t="s"/>
      <c r="L19" s="170" t="s"/>
    </row>
    <row r="20" spans="1:12">
      <c r="A20" s="28" t="s">
        <v>880</v>
      </c>
      <c r="B20" s="33" t="s">
        <v>1277</v>
      </c>
      <c r="C20" t="s">
        <v>650</v>
      </c>
      <c r="D20" s="12" t="s"/>
      <c r="H20" s="169" t="s"/>
      <c r="L20" s="170" t="s"/>
    </row>
    <row r="21" spans="1:12">
      <c r="A21" s="168" t="s">
        <v>1082</v>
      </c>
      <c r="B21" s="85" t="s">
        <v>1278</v>
      </c>
      <c r="C21" t="s">
        <v>18</v>
      </c>
      <c r="D21" s="12" t="s"/>
      <c r="H21" s="169" t="s"/>
      <c r="L21" s="170" t="s"/>
    </row>
    <row r="22" spans="1:12">
      <c r="A22" s="168" t="s">
        <v>914</v>
      </c>
      <c r="B22" s="85" t="s">
        <v>1279</v>
      </c>
      <c r="C22" t="s">
        <v>1067</v>
      </c>
      <c r="D22" s="12" t="s"/>
      <c r="H22" s="169" t="s"/>
      <c r="L22" s="170" t="s"/>
    </row>
    <row r="23" spans="1:12">
      <c r="A23" s="168" t="s">
        <v>1087</v>
      </c>
      <c r="B23" s="85" t="s">
        <v>696</v>
      </c>
      <c r="D23" s="43" t="s"/>
      <c r="H23" s="169" t="s"/>
      <c r="L23" s="170" t="s"/>
    </row>
    <row r="24" spans="1:12">
      <c r="A24" s="168" t="s">
        <v>72</v>
      </c>
      <c r="B24" s="173" t="s">
        <v>1280</v>
      </c>
      <c r="D24" s="43" t="s"/>
      <c r="H24" s="169" t="s"/>
      <c r="L24" s="170" t="s"/>
    </row>
    <row r="25" spans="1:12">
      <c r="A25" s="168" t="s">
        <v>1281</v>
      </c>
      <c r="B25" s="173" t="s">
        <v>1282</v>
      </c>
      <c r="D25" s="43" t="s"/>
      <c r="H25" s="169" t="s"/>
      <c r="L25" s="170" t="s"/>
    </row>
    <row r="26" spans="1:12">
      <c r="A26" s="168" t="s">
        <v>87</v>
      </c>
      <c r="B26" s="12" t="s">
        <v>1079</v>
      </c>
      <c r="D26" s="43" t="s"/>
      <c r="H26" s="169" t="s"/>
      <c r="L26" s="170" t="s"/>
    </row>
    <row r="27" spans="1:12">
      <c r="A27" s="168" t="s">
        <v>43</v>
      </c>
      <c r="B27" s="12" t="s">
        <v>1283</v>
      </c>
      <c r="D27" s="43" t="s"/>
      <c r="H27" s="169" t="s"/>
      <c r="L27" s="170" t="s"/>
    </row>
    <row r="28" spans="1:12">
      <c r="A28" s="13" t="s">
        <v>905</v>
      </c>
      <c r="B28" s="12" t="s">
        <v>92</v>
      </c>
      <c r="D28" s="43" t="s"/>
      <c r="H28" s="169" t="s"/>
      <c r="L28" s="170" t="s"/>
    </row>
    <row r="29" spans="1:12">
      <c r="A29" s="12" t="s">
        <v>1031</v>
      </c>
      <c r="B29" s="12" t="s">
        <v>89</v>
      </c>
      <c r="D29" s="43" t="s"/>
      <c r="H29" s="169" t="s"/>
      <c r="L29" s="170" t="s"/>
    </row>
    <row r="30" spans="1:12">
      <c r="A30" s="12" t="s">
        <v>804</v>
      </c>
      <c r="B30" s="12" t="s">
        <v>1284</v>
      </c>
      <c r="D30" s="43" t="s"/>
      <c r="H30" s="169" t="s"/>
      <c r="L30" s="170" t="s"/>
    </row>
    <row r="31" spans="1:12">
      <c r="A31" s="13" t="s">
        <v>884</v>
      </c>
      <c r="B31" s="174" t="s">
        <v>1285</v>
      </c>
      <c r="D31" s="43" t="s"/>
      <c r="L31" s="170" t="s"/>
    </row>
    <row r="32" spans="1:12">
      <c r="A32" s="12" t="s">
        <v>1206</v>
      </c>
      <c r="B32" s="12" t="s">
        <v>96</v>
      </c>
      <c r="D32" s="43" t="s"/>
      <c r="L32" s="170" t="s"/>
    </row>
    <row r="33" spans="1:12">
      <c r="A33" s="12" t="s">
        <v>817</v>
      </c>
      <c r="B33" s="12" t="s">
        <v>1273</v>
      </c>
      <c r="D33" s="43" t="s"/>
      <c r="L33" s="170" t="s"/>
    </row>
    <row r="34" spans="1:12">
      <c r="A34" s="12" t="s">
        <v>47</v>
      </c>
      <c r="B34" s="171" t="s">
        <v>98</v>
      </c>
      <c r="D34" s="43" t="s"/>
      <c r="L34" s="170" t="s"/>
    </row>
    <row r="35" spans="1:12">
      <c r="A35" s="12" t="s">
        <v>60</v>
      </c>
      <c r="B35" s="175" t="s">
        <v>1066</v>
      </c>
      <c r="D35" s="43" t="s"/>
      <c r="L35" s="170" t="s"/>
    </row>
    <row r="36" spans="1:12">
      <c r="A36" s="12" t="s">
        <v>852</v>
      </c>
      <c r="B36" s="162" t="s">
        <v>10</v>
      </c>
      <c r="D36" s="43" t="s"/>
      <c r="L36" s="170" t="s"/>
    </row>
    <row r="37" spans="1:12">
      <c r="A37" s="12" t="s">
        <v>694</v>
      </c>
      <c r="B37" s="168" t="s">
        <v>1286</v>
      </c>
      <c r="D37" s="43" t="s"/>
      <c r="L37" s="170" t="s"/>
    </row>
    <row r="38" spans="1:12">
      <c r="A38" s="176" t="s">
        <v>1287</v>
      </c>
      <c r="B38" s="164" t="s">
        <v>1288</v>
      </c>
      <c r="D38" s="43" t="s"/>
      <c r="L38" s="170" t="s"/>
    </row>
    <row r="39" spans="1:12">
      <c r="A39" s="12" t="s">
        <v>1289</v>
      </c>
      <c r="B39" s="168" t="s">
        <v>1290</v>
      </c>
      <c r="D39" s="43" t="s"/>
      <c r="L39" s="170" t="s"/>
    </row>
    <row r="40" spans="1:12">
      <c r="A40" s="12" t="s">
        <v>1291</v>
      </c>
      <c r="B40" s="168" t="s">
        <v>1292</v>
      </c>
      <c r="D40" s="43" t="s"/>
      <c r="L40" s="170" t="s"/>
    </row>
    <row r="41" spans="1:12">
      <c r="A41" s="12" t="s">
        <v>1293</v>
      </c>
      <c r="B41" s="168" t="s">
        <v>1294</v>
      </c>
      <c r="D41" s="43" t="s"/>
      <c r="L41" s="170" t="s"/>
    </row>
    <row r="42" spans="1:12">
      <c r="A42" s="12" t="s">
        <v>1295</v>
      </c>
      <c r="B42" s="168" t="s">
        <v>1296</v>
      </c>
      <c r="D42" s="43" t="s"/>
      <c r="L42" s="170" t="s"/>
    </row>
    <row r="43" spans="1:12">
      <c r="A43" t="s">
        <v>84</v>
      </c>
      <c r="B43" s="160" t="s">
        <v>1297</v>
      </c>
      <c r="D43" s="43" t="s"/>
      <c r="L43" s="170" t="s"/>
    </row>
    <row r="44" spans="1:12">
      <c r="A44" s="12" t="s">
        <v>728</v>
      </c>
      <c r="B44" s="177" t="s">
        <v>1298</v>
      </c>
      <c r="D44" s="43" t="s"/>
      <c r="L44" s="170" t="s"/>
    </row>
    <row r="45" spans="1:12">
      <c r="A45" s="12" t="s">
        <v>821</v>
      </c>
      <c r="B45" s="178" t="s">
        <v>1111</v>
      </c>
      <c r="D45" s="43" t="s"/>
      <c r="L45" s="170" t="s"/>
    </row>
    <row r="46" spans="1:12">
      <c r="A46" s="12" t="s">
        <v>1190</v>
      </c>
      <c r="B46" s="177" t="s">
        <v>670</v>
      </c>
      <c r="D46" s="43" t="s"/>
      <c r="L46" s="170" t="s"/>
    </row>
    <row r="47" spans="1:12">
      <c r="A47" s="174" t="s">
        <v>981</v>
      </c>
      <c r="B47" t="s">
        <v>662</v>
      </c>
      <c r="D47" s="43" t="s"/>
      <c r="L47" s="170" t="s"/>
    </row>
    <row r="48" spans="1:12">
      <c r="A48" s="176" t="s">
        <v>1299</v>
      </c>
      <c r="B48" t="s">
        <v>1214</v>
      </c>
      <c r="D48" s="43" t="s"/>
      <c r="L48" s="170" t="s"/>
    </row>
    <row r="49" spans="1:12">
      <c r="A49" t="s">
        <v>15</v>
      </c>
      <c r="B49" t="s">
        <v>687</v>
      </c>
      <c r="D49" s="43" t="s"/>
      <c r="L49" s="170" t="s"/>
    </row>
    <row r="50" spans="1:12">
      <c r="A50" t="s">
        <v>673</v>
      </c>
      <c r="B50" t="s">
        <v>1300</v>
      </c>
      <c r="D50" s="43" t="s"/>
      <c r="L50" s="170" t="s"/>
    </row>
    <row r="51" spans="1:12">
      <c r="A51" t="s">
        <v>690</v>
      </c>
      <c r="D51" s="43" t="s"/>
      <c r="L51" s="170" t="s"/>
    </row>
    <row r="52" spans="1:12">
      <c r="A52" t="s">
        <v>669</v>
      </c>
      <c r="L52" s="170" t="s"/>
    </row>
    <row r="53" spans="1:12">
      <c r="A53" t="s">
        <v>8</v>
      </c>
      <c r="L53" s="170" t="s"/>
    </row>
    <row r="54" spans="1:12">
      <c r="A54" t="s">
        <v>1301</v>
      </c>
      <c r="L54" s="170" t="s"/>
    </row>
    <row r="55" spans="1:12">
      <c r="A55" t="s">
        <v>1302</v>
      </c>
      <c r="L55" s="170" t="s"/>
    </row>
  </sheetData>
  <conditionalFormatting sqref="A1:A7 B2:B7 A37 A49 A51:A200">
    <cfRule type="duplicateValues" dxfId="1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/>
  </sheetPr>
  <dimension ref="A1"/>
  <sheetViews>
    <sheetView showGridLines="1" workbookViewId="0"/>
  </sheetViews>
  <sheetFormatPr baseColWidth="13" defaultRowHeight="18" customHeight="1"/>
  <sheetData/>
</worksheet>
</file>

<file path=xl/worksheets/sheet5.xml><?xml version="1.0" encoding="utf-8"?>
<worksheet xmlns="http://schemas.openxmlformats.org/spreadsheetml/2006/main">
  <sheetPr codeName="其他项目名称">
    <tabColor rgb="FF939393"/>
  </sheetPr>
  <dimension ref="O18"/>
  <sheetViews>
    <sheetView showGridLines="1" workbookViewId="0"/>
  </sheetViews>
  <sheetFormatPr baseColWidth="13" defaultRowHeight="18" customHeight="1"/>
  <sheetData>
    <row r="1" spans="1:30" s="129" customFormat="1">
      <c r="A1" s="129" t="s">
        <v>6</v>
      </c>
      <c r="B1" s="129" t="s">
        <v>103</v>
      </c>
      <c r="C1" s="129" t="s">
        <v>104</v>
      </c>
      <c r="D1" s="129" t="s">
        <v>105</v>
      </c>
      <c r="E1" s="129" t="s">
        <v>106</v>
      </c>
      <c r="F1" s="129" t="s">
        <v>107</v>
      </c>
      <c r="G1" s="129" t="s">
        <v>108</v>
      </c>
      <c r="H1" s="130" t="s">
        <v>617</v>
      </c>
      <c r="I1" s="129" t="s">
        <v>7</v>
      </c>
      <c r="J1" s="129" t="s">
        <v>618</v>
      </c>
      <c r="K1" s="129" t="s">
        <v>619</v>
      </c>
      <c r="L1" s="129" t="s">
        <v>620</v>
      </c>
      <c r="M1" s="129" t="s">
        <v>621</v>
      </c>
      <c r="N1" s="129" t="s">
        <v>622</v>
      </c>
      <c r="O1" s="129" t="s">
        <v>623</v>
      </c>
      <c r="P1" s="131" t="s">
        <v>110</v>
      </c>
      <c r="Q1" s="129" t="s">
        <v>111</v>
      </c>
      <c r="R1" s="129" t="s">
        <v>112</v>
      </c>
      <c r="S1" s="129" t="s"/>
      <c r="T1" s="129" t="s"/>
      <c r="U1" s="129" t="s"/>
      <c r="V1" s="129" t="s"/>
      <c r="W1" s="129" t="s"/>
      <c r="X1" s="129" t="s"/>
      <c r="Y1" s="129" t="s"/>
      <c r="Z1" s="129" t="s"/>
      <c r="AA1" s="129" t="s"/>
      <c r="AB1" s="129" t="s"/>
      <c r="AC1" s="129" t="s"/>
      <c r="AD1" s="129" t="s"/>
    </row>
    <row r="2" spans="1:8">
      <c r="A2" s="13" t="s">
        <v>624</v>
      </c>
      <c r="H2" s="132" t="s"/>
    </row>
    <row r="3" spans="1:8">
      <c r="A3" t="s">
        <v>625</v>
      </c>
      <c r="H3" s="132" t="s"/>
    </row>
    <row r="4" spans="1:8">
      <c r="A4" t="s">
        <v>626</v>
      </c>
      <c r="H4" s="132" t="s"/>
    </row>
    <row r="5" spans="1:14">
      <c r="A5" t="s">
        <v>627</v>
      </c>
      <c r="H5" s="132" t="s"/>
      <c r="N5" s="133">
        <v>260610000000</v>
      </c>
    </row>
    <row r="6" spans="1:14">
      <c r="A6" t="s">
        <v>628</v>
      </c>
      <c r="H6" s="132" t="s"/>
      <c r="N6" s="133">
        <v>260610000001</v>
      </c>
    </row>
    <row r="7" spans="1:14">
      <c r="A7" t="s">
        <v>629</v>
      </c>
      <c r="H7" s="132" t="s"/>
      <c r="N7" s="133">
        <v>260610000002</v>
      </c>
    </row>
    <row r="8" spans="1:14">
      <c r="A8" t="s">
        <v>630</v>
      </c>
      <c r="H8" s="132" t="s"/>
      <c r="N8" s="133">
        <v>260610000003</v>
      </c>
    </row>
    <row r="9" spans="1:14">
      <c r="A9" t="s">
        <v>631</v>
      </c>
      <c r="H9" s="132" t="s"/>
      <c r="N9" s="133">
        <v>260610000004</v>
      </c>
    </row>
    <row r="10" spans="1:14">
      <c r="A10" t="s">
        <v>632</v>
      </c>
      <c r="H10" s="132" t="s"/>
      <c r="N10" s="133">
        <v>260610000005</v>
      </c>
    </row>
    <row r="11" spans="1:14">
      <c r="A11" t="s">
        <v>633</v>
      </c>
      <c r="H11" s="132" t="s"/>
      <c r="N11" s="133">
        <v>260610000006</v>
      </c>
    </row>
    <row r="12" spans="1:14">
      <c r="A12" t="s">
        <v>634</v>
      </c>
      <c r="H12" s="132" t="s"/>
      <c r="N12" s="133">
        <v>260610000007</v>
      </c>
    </row>
    <row r="13" spans="1:14">
      <c r="A13" t="s">
        <v>635</v>
      </c>
      <c r="H13" s="132" t="s"/>
      <c r="N13" s="133">
        <v>260610000008</v>
      </c>
    </row>
    <row r="14" spans="1:14">
      <c r="A14" t="s">
        <v>636</v>
      </c>
      <c r="H14" s="132" t="s"/>
      <c r="N14" s="133">
        <v>260610000009</v>
      </c>
    </row>
    <row r="15" spans="1:15">
      <c r="A15" s="134" t="s">
        <v>637</v>
      </c>
      <c r="H15" s="132" t="s"/>
      <c r="O15" s="133">
        <v>260210000000</v>
      </c>
    </row>
    <row r="16" spans="1:15">
      <c r="A16" s="134" t="s">
        <v>638</v>
      </c>
      <c r="H16" s="132" t="s"/>
      <c r="O16" s="133">
        <v>260210000001</v>
      </c>
    </row>
    <row r="17" spans="1:15">
      <c r="A17" s="134" t="s">
        <v>639</v>
      </c>
      <c r="H17" s="132" t="s"/>
      <c r="O17" s="133">
        <v>260210000002</v>
      </c>
    </row>
    <row r="18" spans="1:15">
      <c r="A18" s="134" t="s">
        <v>640</v>
      </c>
      <c r="B18" s="135" t="s"/>
      <c r="C18" s="135" t="s"/>
      <c r="H18" s="132" t="s"/>
      <c r="O18" s="133">
        <v>260210000003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Pr codeName="startup匹配（停））">
    <tabColor rgb="FF939393"/>
  </sheetPr>
  <dimension ref="H205"/>
  <sheetViews>
    <sheetView showGridLines="1" workbookViewId="0">
      <pane ySplit="1" topLeftCell="A2" state="frozen"/>
    </sheetView>
  </sheetViews>
  <sheetFormatPr baseColWidth="13" defaultRowHeight="18" customHeight="1"/>
  <cols>
    <col min="1" max="1" width="15.7109" customWidth="1"/>
    <col min="2" max="2" width="29.1914" customWidth="1"/>
    <col min="3" max="3" width="17.9023" customWidth="1"/>
    <col min="4" max="4" width="23.5508" customWidth="1"/>
    <col min="5" max="5" width="27.7227" customWidth="1"/>
    <col min="6" max="7" width="9.71094" customWidth="1"/>
    <col min="8" max="8" width="41.082" customWidth="1"/>
    <col min="9" max="9" width="9.5625" customWidth="1"/>
    <col min="10" max="10" width="9.8125" customWidth="1"/>
    <col min="11" max="11" width="13.6094" style="57"/>
    <col min="14" max="14" width="20.7109" customWidth="1"/>
  </cols>
  <sheetData>
    <row r="1" spans="1:11">
      <c r="A1" s="136" t="s">
        <v>641</v>
      </c>
      <c r="B1" s="137" t="s">
        <v>642</v>
      </c>
      <c r="C1" s="138" t="s">
        <v>1</v>
      </c>
      <c r="D1" s="139" t="s">
        <v>2</v>
      </c>
      <c r="E1" s="139" t="s">
        <v>3</v>
      </c>
      <c r="F1" s="139" t="s">
        <v>4</v>
      </c>
      <c r="G1" s="139" t="s">
        <v>5</v>
      </c>
      <c r="H1" s="139" t="s">
        <v>6</v>
      </c>
      <c r="I1" t="s">
        <v>643</v>
      </c>
      <c r="J1" t="s">
        <v>644</v>
      </c>
      <c r="K1" s="57" t="s">
        <v>645</v>
      </c>
    </row>
    <row r="2" spans="1:8">
      <c r="A2" s="140">
        <v>140010000020</v>
      </c>
      <c r="B2" s="18" t="s">
        <v>646</v>
      </c>
      <c r="C2" s="18" t="s">
        <v>647</v>
      </c>
      <c r="D2" s="18" t="s">
        <v>648</v>
      </c>
      <c r="E2" s="18" t="s">
        <v>649</v>
      </c>
      <c r="F2" s="18" t="s">
        <v>650</v>
      </c>
      <c r="G2" s="18" t="s"/>
      <c r="H2" t="s">
        <f>=_xlfn.TEXTJOIN("-",TRUE,C2,D2,E2,F2,G2)</f>
        <v>651</v>
      </c>
    </row>
    <row r="3" spans="1:8">
      <c r="A3" s="140">
        <v>140010000023</v>
      </c>
      <c r="B3" s="18" t="s">
        <v>652</v>
      </c>
      <c r="C3" s="18" t="s">
        <v>43</v>
      </c>
      <c r="D3" s="18" t="s">
        <v>653</v>
      </c>
      <c r="E3" s="18" t="s">
        <v>649</v>
      </c>
      <c r="F3" s="18" t="s">
        <v>55</v>
      </c>
      <c r="G3" s="18" t="s"/>
      <c r="H3" t="s">
        <f>=_xlfn.TEXTJOIN("-",TRUE,C3,D3,E3,F3,G3)</f>
        <v>654</v>
      </c>
    </row>
    <row r="4" spans="1:14">
      <c r="A4" s="140">
        <v>140010000025</v>
      </c>
      <c r="B4" s="18" t="s">
        <v>655</v>
      </c>
      <c r="C4" s="18" t="s">
        <v>647</v>
      </c>
      <c r="D4" s="18" t="s">
        <v>656</v>
      </c>
      <c r="E4" s="18" t="s">
        <v>649</v>
      </c>
      <c r="F4" s="141" t="s">
        <v>55</v>
      </c>
      <c r="G4" s="18" t="s"/>
      <c r="H4" t="s">
        <f>=_xlfn.TEXTJOIN("-",TRUE,C4,D4,E4,F4,G4)</f>
        <v>657</v>
      </c>
      <c r="I4" t="s">
        <v>117</v>
      </c>
      <c r="J4">
        <v>1400</v>
      </c>
      <c r="K4" s="142" t="s">
        <v>658</v>
      </c>
      <c r="N4" s="143" t="s"/>
    </row>
    <row r="5" spans="1:10" s="57" customFormat="1">
      <c r="A5" s="144">
        <v>180010000164</v>
      </c>
      <c r="B5" s="145" t="s">
        <v>659</v>
      </c>
      <c r="C5" s="145" t="s">
        <v>660</v>
      </c>
      <c r="D5" s="145" t="s">
        <v>661</v>
      </c>
      <c r="E5" s="145" t="s">
        <v>662</v>
      </c>
      <c r="F5" s="145" t="s">
        <v>663</v>
      </c>
      <c r="G5" s="145" t="s"/>
      <c r="H5" s="57" t="s">
        <f>=_xlfn.TEXTJOIN("-",TRUE,C5,D5,E5,F5,G5)</f>
        <v>664</v>
      </c>
      <c r="J5" s="57" t="s"/>
    </row>
    <row r="6" spans="1:10" s="57" customFormat="1">
      <c r="A6" s="144">
        <v>180010000183</v>
      </c>
      <c r="B6" s="146" t="s">
        <v>665</v>
      </c>
      <c r="C6" s="145" t="s">
        <v>647</v>
      </c>
      <c r="D6" s="145" t="s">
        <v>666</v>
      </c>
      <c r="E6" s="145" t="s">
        <v>662</v>
      </c>
      <c r="F6" s="145" t="s">
        <v>663</v>
      </c>
      <c r="G6" s="145" t="s"/>
      <c r="H6" s="57" t="s">
        <f>=_xlfn.TEXTJOIN("-",TRUE,C6,D6,E6,F6,G6)</f>
        <v>667</v>
      </c>
      <c r="J6" s="57" t="s"/>
    </row>
    <row r="7" spans="1:10" s="57" customFormat="1">
      <c r="A7" s="144">
        <v>180010000184</v>
      </c>
      <c r="B7" s="145" t="s">
        <v>668</v>
      </c>
      <c r="C7" s="145" t="s">
        <v>669</v>
      </c>
      <c r="D7" s="145" t="s">
        <v>75</v>
      </c>
      <c r="E7" s="147" t="s">
        <v>670</v>
      </c>
      <c r="F7" s="145" t="s">
        <v>663</v>
      </c>
      <c r="G7" s="145" t="s"/>
      <c r="H7" s="57" t="s">
        <f>=_xlfn.TEXTJOIN("-",TRUE,C7,D7,E7,F7,G7)</f>
        <v>671</v>
      </c>
      <c r="J7" s="57" t="s"/>
    </row>
    <row r="8" spans="1:10" s="57" customFormat="1">
      <c r="A8" s="144">
        <v>180010000189</v>
      </c>
      <c r="B8" s="145" t="s">
        <v>672</v>
      </c>
      <c r="C8" s="145" t="s">
        <v>673</v>
      </c>
      <c r="D8" s="145" t="s">
        <v>674</v>
      </c>
      <c r="E8" s="145" t="s">
        <v>662</v>
      </c>
      <c r="F8" s="145" t="s">
        <v>663</v>
      </c>
      <c r="G8" s="145" t="s"/>
      <c r="H8" s="57" t="s">
        <f>=_xlfn.TEXTJOIN("-",TRUE,C8,D8,E8,F8,G8)</f>
        <v>675</v>
      </c>
      <c r="J8" s="57" t="s"/>
    </row>
    <row r="9" spans="1:10" s="57" customFormat="1">
      <c r="A9" s="144">
        <v>180010000195</v>
      </c>
      <c r="B9" s="145" t="s">
        <v>676</v>
      </c>
      <c r="C9" s="145" t="s">
        <v>43</v>
      </c>
      <c r="D9" s="145" t="s">
        <v>677</v>
      </c>
      <c r="E9" s="145" t="s">
        <v>662</v>
      </c>
      <c r="F9" s="145" t="s">
        <v>663</v>
      </c>
      <c r="G9" s="145" t="s"/>
      <c r="H9" s="57" t="s">
        <f>=_xlfn.TEXTJOIN("-",TRUE,C9,D9,E9,F9,G9)</f>
        <v>678</v>
      </c>
      <c r="J9" s="57" t="s"/>
    </row>
    <row r="10" spans="1:10" s="57" customFormat="1">
      <c r="A10" s="144">
        <v>180010000199</v>
      </c>
      <c r="B10" s="145" t="s">
        <v>679</v>
      </c>
      <c r="C10" s="145" t="s">
        <v>43</v>
      </c>
      <c r="D10" s="145" t="s">
        <v>680</v>
      </c>
      <c r="E10" s="145" t="s">
        <v>662</v>
      </c>
      <c r="F10" s="145" t="s">
        <v>663</v>
      </c>
      <c r="G10" s="145" t="s"/>
      <c r="H10" s="57" t="s">
        <f>=_xlfn.TEXTJOIN("-",TRUE,C10,D10,E10,F10,G10)</f>
        <v>681</v>
      </c>
      <c r="J10" s="57" t="s"/>
    </row>
    <row r="11" spans="1:10" s="57" customFormat="1">
      <c r="A11" s="144">
        <v>180010000200</v>
      </c>
      <c r="B11" s="145" t="s">
        <v>682</v>
      </c>
      <c r="C11" s="145" t="s">
        <v>27</v>
      </c>
      <c r="D11" s="145" t="s">
        <v>683</v>
      </c>
      <c r="E11" s="145" t="s">
        <v>662</v>
      </c>
      <c r="F11" s="145" t="s">
        <v>663</v>
      </c>
      <c r="G11" s="145" t="s"/>
      <c r="H11" s="57" t="s">
        <f>=_xlfn.TEXTJOIN("-",TRUE,C11,D11,E11,F11,G11)</f>
        <v>684</v>
      </c>
      <c r="J11" s="57" t="s"/>
    </row>
    <row r="12" spans="1:10" s="57" customFormat="1">
      <c r="A12" s="144">
        <v>180010000201</v>
      </c>
      <c r="B12" s="145" t="s">
        <v>685</v>
      </c>
      <c r="C12" s="145" t="s">
        <v>43</v>
      </c>
      <c r="D12" s="145" t="s">
        <v>686</v>
      </c>
      <c r="E12" s="145" t="s">
        <v>687</v>
      </c>
      <c r="F12" s="145" t="s">
        <v>663</v>
      </c>
      <c r="G12" s="145" t="s"/>
      <c r="H12" s="57" t="s">
        <f>=_xlfn.TEXTJOIN("-",TRUE,C12,D12,E12,F12,G12)</f>
        <v>688</v>
      </c>
      <c r="J12" s="57" t="s"/>
    </row>
    <row r="13" spans="1:8">
      <c r="A13" s="140">
        <v>180010000202</v>
      </c>
      <c r="B13" s="18" t="s">
        <v>689</v>
      </c>
      <c r="C13" s="18" t="s">
        <v>690</v>
      </c>
      <c r="D13" s="18" t="s">
        <v>691</v>
      </c>
      <c r="E13" s="18" t="s">
        <v>662</v>
      </c>
      <c r="F13" s="18" t="s">
        <v>663</v>
      </c>
      <c r="G13" s="18" t="s"/>
      <c r="H13" t="s">
        <f>=_xlfn.TEXTJOIN("-",TRUE,C13,D13,E13,F13,G13)</f>
        <v>692</v>
      </c>
    </row>
    <row r="14" spans="1:10" s="57" customFormat="1">
      <c r="A14" s="144">
        <v>180010000203</v>
      </c>
      <c r="B14" s="145" t="s">
        <v>693</v>
      </c>
      <c r="C14" s="145" t="s">
        <v>694</v>
      </c>
      <c r="D14" s="145" t="s">
        <v>695</v>
      </c>
      <c r="E14" s="145" t="s">
        <v>696</v>
      </c>
      <c r="F14" s="145" t="s">
        <v>663</v>
      </c>
      <c r="G14" s="145" t="s"/>
      <c r="H14" s="57" t="s">
        <f>=_xlfn.TEXTJOIN("-",TRUE,C14,D14,E14,F14,G14)</f>
        <v>697</v>
      </c>
      <c r="J14" s="57" t="s"/>
    </row>
    <row r="15" spans="1:10" s="57" customFormat="1">
      <c r="A15" s="144">
        <v>180010000204</v>
      </c>
      <c r="B15" s="145" t="s">
        <v>698</v>
      </c>
      <c r="C15" s="145" t="s">
        <v>43</v>
      </c>
      <c r="D15" s="145" t="s">
        <v>699</v>
      </c>
      <c r="E15" s="145" t="s">
        <v>687</v>
      </c>
      <c r="F15" s="145" t="s">
        <v>663</v>
      </c>
      <c r="G15" s="145" t="s"/>
      <c r="H15" s="57" t="s">
        <f>=_xlfn.TEXTJOIN("-",TRUE,C15,D15,E15,F15,G15)</f>
        <v>700</v>
      </c>
      <c r="J15" s="57" t="s"/>
    </row>
    <row r="16" spans="1:10" s="57" customFormat="1">
      <c r="A16" s="144">
        <v>180010000205</v>
      </c>
      <c r="B16" s="145" t="s">
        <v>701</v>
      </c>
      <c r="C16" s="145" t="s">
        <v>36</v>
      </c>
      <c r="D16" s="145" t="s">
        <v>702</v>
      </c>
      <c r="E16" s="145" t="s">
        <v>662</v>
      </c>
      <c r="F16" s="145" t="s">
        <v>663</v>
      </c>
      <c r="G16" s="145" t="s"/>
      <c r="H16" s="57" t="s">
        <f>=_xlfn.TEXTJOIN("-",TRUE,C16,D16,E16,F16,G16)</f>
        <v>703</v>
      </c>
      <c r="I16" s="57" t="s"/>
      <c r="J16" s="57" t="s"/>
    </row>
    <row r="17" spans="1:10" s="57" customFormat="1">
      <c r="A17" s="144">
        <v>180010000206</v>
      </c>
      <c r="B17" s="145" t="s">
        <v>704</v>
      </c>
      <c r="C17" s="145" t="s">
        <v>43</v>
      </c>
      <c r="D17" s="145" t="s">
        <v>705</v>
      </c>
      <c r="E17" s="145" t="s">
        <v>662</v>
      </c>
      <c r="F17" s="145" t="s">
        <v>663</v>
      </c>
      <c r="G17" s="145" t="s"/>
      <c r="H17" s="57" t="s">
        <f>=_xlfn.TEXTJOIN("-",TRUE,C17,D17,E17,F17,G17)</f>
        <v>706</v>
      </c>
      <c r="J17" s="57" t="s"/>
    </row>
    <row r="18" spans="1:10" s="57" customFormat="1">
      <c r="A18" s="144">
        <v>180010000207</v>
      </c>
      <c r="B18" s="145" t="s">
        <v>707</v>
      </c>
      <c r="C18" s="145" t="s">
        <v>694</v>
      </c>
      <c r="D18" s="145" t="s">
        <v>708</v>
      </c>
      <c r="E18" s="145" t="s">
        <v>696</v>
      </c>
      <c r="F18" s="145" t="s">
        <v>663</v>
      </c>
      <c r="G18" s="145" t="s"/>
      <c r="H18" s="57" t="s">
        <f>=_xlfn.TEXTJOIN("-",TRUE,C18,D18,E18,F18,G18)</f>
        <v>709</v>
      </c>
      <c r="J18" s="57" t="s"/>
    </row>
    <row r="19" spans="1:10" s="57" customFormat="1">
      <c r="A19" s="144">
        <v>180010000209</v>
      </c>
      <c r="B19" s="145" t="s">
        <v>710</v>
      </c>
      <c r="C19" s="145" t="s">
        <v>694</v>
      </c>
      <c r="D19" s="145" t="s">
        <v>711</v>
      </c>
      <c r="E19" s="145" t="s">
        <v>696</v>
      </c>
      <c r="F19" s="145" t="s">
        <v>663</v>
      </c>
      <c r="G19" s="145" t="s"/>
      <c r="H19" s="57" t="s">
        <f>=_xlfn.TEXTJOIN("-",TRUE,C19,D19,E19,F19,G19)</f>
        <v>712</v>
      </c>
      <c r="J19" s="57" t="s"/>
    </row>
    <row r="20" spans="1:10" s="57" customFormat="1">
      <c r="A20" s="144">
        <v>180010000210</v>
      </c>
      <c r="B20" s="145" t="s">
        <v>713</v>
      </c>
      <c r="C20" s="145" t="s">
        <v>714</v>
      </c>
      <c r="D20" s="145" t="s">
        <v>715</v>
      </c>
      <c r="E20" s="145" t="s">
        <v>662</v>
      </c>
      <c r="F20" s="145" t="s">
        <v>663</v>
      </c>
      <c r="G20" s="145" t="s"/>
      <c r="H20" s="57" t="s">
        <f>=_xlfn.TEXTJOIN("-",TRUE,C20,D20,E20,F20,G20)</f>
        <v>716</v>
      </c>
      <c r="J20" s="57" t="s"/>
    </row>
    <row r="21" spans="1:10" s="57" customFormat="1">
      <c r="A21" s="144">
        <v>180010000211</v>
      </c>
      <c r="B21" s="145" t="s">
        <v>717</v>
      </c>
      <c r="C21" s="145" t="s">
        <v>647</v>
      </c>
      <c r="D21" s="145" t="s">
        <v>718</v>
      </c>
      <c r="E21" s="145" t="s">
        <v>662</v>
      </c>
      <c r="F21" s="145" t="s">
        <v>663</v>
      </c>
      <c r="G21" s="145" t="s"/>
      <c r="H21" s="57" t="s">
        <f>=_xlfn.TEXTJOIN("-",TRUE,C21,D21,E21,F21,G21)</f>
        <v>719</v>
      </c>
      <c r="J21" s="57" t="s"/>
    </row>
    <row r="22" spans="1:10" s="57" customFormat="1">
      <c r="A22" s="144">
        <v>180010000212</v>
      </c>
      <c r="B22" s="145" t="s">
        <v>720</v>
      </c>
      <c r="C22" s="145" t="s">
        <v>43</v>
      </c>
      <c r="D22" s="145" t="s">
        <v>721</v>
      </c>
      <c r="E22" s="145" t="s">
        <v>662</v>
      </c>
      <c r="F22" s="145" t="s">
        <v>663</v>
      </c>
      <c r="G22" s="145" t="s"/>
      <c r="H22" s="57" t="s">
        <f>=_xlfn.TEXTJOIN("-",TRUE,C22,D22,E22,F22,G22)</f>
        <v>722</v>
      </c>
      <c r="J22" s="57" t="s"/>
    </row>
    <row r="23" spans="1:10" s="57" customFormat="1">
      <c r="A23" s="144">
        <v>180010000213</v>
      </c>
      <c r="B23" s="145" t="s">
        <v>723</v>
      </c>
      <c r="C23" s="145" t="s">
        <v>724</v>
      </c>
      <c r="D23" s="145" t="s">
        <v>725</v>
      </c>
      <c r="E23" s="145" t="s">
        <v>696</v>
      </c>
      <c r="F23" s="145" t="s">
        <v>663</v>
      </c>
      <c r="G23" s="145" t="s"/>
      <c r="H23" s="57" t="s">
        <f>=_xlfn.TEXTJOIN("-",TRUE,C23,D23,E23,F23,G23)</f>
        <v>726</v>
      </c>
      <c r="J23" s="57" t="s"/>
    </row>
    <row r="24" spans="1:10" s="57" customFormat="1">
      <c r="A24" s="144">
        <v>180010000214</v>
      </c>
      <c r="B24" s="145" t="s">
        <v>727</v>
      </c>
      <c r="C24" s="145" t="s">
        <v>728</v>
      </c>
      <c r="D24" s="145" t="s">
        <v>729</v>
      </c>
      <c r="E24" s="145" t="s">
        <v>662</v>
      </c>
      <c r="F24" s="145" t="s">
        <v>663</v>
      </c>
      <c r="G24" s="145" t="s"/>
      <c r="H24" s="57" t="s">
        <f>=_xlfn.TEXTJOIN("-",TRUE,C24,D24,E24,F24,G24)</f>
        <v>730</v>
      </c>
      <c r="I24" s="57" t="s"/>
      <c r="J24" s="57" t="s"/>
    </row>
    <row r="25" spans="1:10" s="57" customFormat="1">
      <c r="A25" s="144">
        <v>180010000215</v>
      </c>
      <c r="B25" s="145" t="s">
        <v>731</v>
      </c>
      <c r="C25" s="145" t="s">
        <v>87</v>
      </c>
      <c r="D25" s="145" t="s">
        <v>732</v>
      </c>
      <c r="E25" s="145" t="s">
        <v>662</v>
      </c>
      <c r="F25" s="145" t="s">
        <v>663</v>
      </c>
      <c r="G25" s="145" t="s"/>
      <c r="H25" s="57" t="s">
        <f>=_xlfn.TEXTJOIN("-",TRUE,C25,D25,E25,F25,G25)</f>
        <v>733</v>
      </c>
      <c r="I25" s="57" t="s"/>
      <c r="J25" s="57" t="s"/>
    </row>
    <row r="26" spans="1:10" s="57" customFormat="1">
      <c r="A26" s="144">
        <v>180010000216</v>
      </c>
      <c r="B26" s="145" t="s">
        <v>734</v>
      </c>
      <c r="C26" s="145" t="s">
        <v>43</v>
      </c>
      <c r="D26" s="145" t="s">
        <v>735</v>
      </c>
      <c r="E26" s="145" t="s">
        <v>662</v>
      </c>
      <c r="F26" s="145" t="s">
        <v>663</v>
      </c>
      <c r="G26" s="145" t="s"/>
      <c r="H26" s="57" t="s">
        <f>=_xlfn.TEXTJOIN("-",TRUE,C26,D26,E26,F26,G26)</f>
        <v>736</v>
      </c>
      <c r="J26" s="57" t="s"/>
    </row>
    <row r="27" spans="1:11">
      <c r="A27" s="140">
        <v>180010000217</v>
      </c>
      <c r="B27" s="18" t="s">
        <v>737</v>
      </c>
      <c r="C27" s="18" t="s">
        <v>27</v>
      </c>
      <c r="D27" s="18" t="s">
        <v>738</v>
      </c>
      <c r="E27" s="18" t="s">
        <v>662</v>
      </c>
      <c r="F27" s="18" t="s">
        <v>663</v>
      </c>
      <c r="G27" s="18" t="s"/>
      <c r="H27" t="s">
        <f>=_xlfn.TEXTJOIN("-",TRUE,C27,D27,E27,F27,G27)</f>
        <v>161</v>
      </c>
      <c r="I27" t="s">
        <v>117</v>
      </c>
      <c r="J27">
        <v>1800</v>
      </c>
      <c r="K27" s="142" t="s">
        <v>739</v>
      </c>
    </row>
    <row r="28" spans="1:11">
      <c r="A28" s="140">
        <v>180010000218</v>
      </c>
      <c r="B28" s="18" t="s">
        <v>740</v>
      </c>
      <c r="C28" s="18" t="s">
        <v>27</v>
      </c>
      <c r="D28" s="18" t="s">
        <v>30</v>
      </c>
      <c r="E28" s="18" t="s">
        <v>662</v>
      </c>
      <c r="F28" s="18" t="s">
        <v>663</v>
      </c>
      <c r="G28" s="18" t="s"/>
      <c r="H28" t="s">
        <f>=_xlfn.TEXTJOIN("-",TRUE,C28,D28,E28,F28,G28)</f>
        <v>163</v>
      </c>
      <c r="I28" t="s">
        <v>117</v>
      </c>
      <c r="J28">
        <v>1800</v>
      </c>
      <c r="K28" s="142" t="s">
        <v>741</v>
      </c>
    </row>
    <row r="29" spans="1:12">
      <c r="A29" s="140">
        <v>180010000220</v>
      </c>
      <c r="B29" s="148" t="s">
        <v>742</v>
      </c>
      <c r="C29" s="18" t="s"/>
      <c r="D29" s="18" t="s">
        <v>742</v>
      </c>
      <c r="E29" s="18" t="s">
        <v>662</v>
      </c>
      <c r="F29" s="18" t="s">
        <v>663</v>
      </c>
      <c r="G29" s="18" t="s"/>
      <c r="H29" t="s">
        <f>=_xlfn.TEXTJOIN("-",TRUE,C29,D29,E29,F29,G29)</f>
        <v>743</v>
      </c>
      <c r="I29" t="s">
        <v>117</v>
      </c>
      <c r="J29">
        <v>1800</v>
      </c>
      <c r="K29" s="149" t="s">
        <v>744</v>
      </c>
      <c r="L29" s="75" t="s">
        <v>745</v>
      </c>
    </row>
    <row r="30" spans="1:11">
      <c r="A30" s="140">
        <v>180010000221</v>
      </c>
      <c r="B30" s="18" t="s">
        <v>746</v>
      </c>
      <c r="C30" s="18" t="s">
        <v>694</v>
      </c>
      <c r="D30" s="18" t="s">
        <v>747</v>
      </c>
      <c r="E30" s="18" t="s">
        <v>696</v>
      </c>
      <c r="F30" s="18" t="s">
        <v>663</v>
      </c>
      <c r="G30" s="18" t="s"/>
      <c r="H30" t="s">
        <f>=_xlfn.TEXTJOIN("-",TRUE,C30,D30,E30,F30,G30)</f>
        <v>167</v>
      </c>
      <c r="I30" t="s">
        <v>117</v>
      </c>
      <c r="J30">
        <v>1800</v>
      </c>
      <c r="K30" s="142" t="s">
        <v>748</v>
      </c>
    </row>
    <row r="31" spans="1:11">
      <c r="A31" s="140">
        <v>180010000222</v>
      </c>
      <c r="B31" s="18" t="s">
        <v>749</v>
      </c>
      <c r="C31" s="18" t="s">
        <v>53</v>
      </c>
      <c r="D31" s="18" t="s">
        <v>750</v>
      </c>
      <c r="E31" s="18" t="s">
        <v>662</v>
      </c>
      <c r="F31" s="18" t="s">
        <v>663</v>
      </c>
      <c r="G31" s="18" t="s"/>
      <c r="H31" t="s">
        <f>=_xlfn.TEXTJOIN("-",TRUE,C31,D31,E31,F31,G31)</f>
        <v>169</v>
      </c>
      <c r="I31" t="s">
        <v>117</v>
      </c>
      <c r="J31">
        <v>1800</v>
      </c>
      <c r="K31" s="142" t="s">
        <v>751</v>
      </c>
    </row>
    <row r="32" spans="1:11">
      <c r="A32" s="140">
        <v>180010000223</v>
      </c>
      <c r="B32" s="18" t="s">
        <v>752</v>
      </c>
      <c r="C32" s="18" t="s">
        <v>660</v>
      </c>
      <c r="D32" s="18" t="s">
        <v>753</v>
      </c>
      <c r="E32" s="18" t="s">
        <v>662</v>
      </c>
      <c r="F32" s="18" t="s">
        <v>663</v>
      </c>
      <c r="G32" s="18" t="s"/>
      <c r="H32" t="s">
        <f>=_xlfn.TEXTJOIN("-",TRUE,C32,D32,E32,F32,G32)</f>
        <v>171</v>
      </c>
      <c r="I32" t="s">
        <v>117</v>
      </c>
      <c r="J32">
        <v>1800</v>
      </c>
      <c r="K32" s="142" t="s">
        <v>754</v>
      </c>
    </row>
    <row r="33" spans="1:11">
      <c r="A33" s="140">
        <v>180010000224</v>
      </c>
      <c r="B33" s="18" t="s">
        <v>755</v>
      </c>
      <c r="C33" s="18" t="s">
        <v>43</v>
      </c>
      <c r="D33" s="18" t="s">
        <v>756</v>
      </c>
      <c r="E33" s="18" t="s">
        <v>662</v>
      </c>
      <c r="F33" s="18" t="s">
        <v>663</v>
      </c>
      <c r="G33" s="18" t="s"/>
      <c r="H33" t="s">
        <f>=_xlfn.TEXTJOIN("-",TRUE,C33,D33,E33,F33,G33)</f>
        <v>173</v>
      </c>
      <c r="I33" t="s">
        <v>117</v>
      </c>
      <c r="J33">
        <v>1800</v>
      </c>
      <c r="K33" s="142" t="s">
        <v>757</v>
      </c>
    </row>
    <row r="34" spans="1:11">
      <c r="A34" s="140">
        <v>180010000225</v>
      </c>
      <c r="B34" s="18" t="s">
        <v>758</v>
      </c>
      <c r="C34" s="18" t="s">
        <v>694</v>
      </c>
      <c r="D34" s="18" t="s">
        <v>39</v>
      </c>
      <c r="E34" s="18" t="s">
        <v>696</v>
      </c>
      <c r="F34" s="18" t="s">
        <v>663</v>
      </c>
      <c r="G34" s="18" t="s"/>
      <c r="H34" t="s">
        <f>=_xlfn.TEXTJOIN("-",TRUE,C34,D34,E34,F34,G34)</f>
        <v>175</v>
      </c>
      <c r="I34" t="s">
        <v>117</v>
      </c>
      <c r="J34">
        <v>1800</v>
      </c>
      <c r="K34" s="142" t="s">
        <v>759</v>
      </c>
    </row>
    <row r="35" spans="1:11">
      <c r="A35" s="140">
        <v>180010000226</v>
      </c>
      <c r="B35" s="18" t="s">
        <v>760</v>
      </c>
      <c r="C35" s="18" t="s">
        <v>660</v>
      </c>
      <c r="D35" s="18" t="s">
        <v>761</v>
      </c>
      <c r="E35" s="18" t="s">
        <v>662</v>
      </c>
      <c r="F35" s="18" t="s">
        <v>663</v>
      </c>
      <c r="G35" s="18" t="s"/>
      <c r="H35" t="s">
        <f>=_xlfn.TEXTJOIN("-",TRUE,C35,D35,E35,F35,G35)</f>
        <v>177</v>
      </c>
      <c r="I35" t="s">
        <v>117</v>
      </c>
      <c r="J35">
        <v>1800</v>
      </c>
      <c r="K35" s="142" t="s">
        <v>762</v>
      </c>
    </row>
    <row r="36" spans="1:11">
      <c r="A36" s="140">
        <v>180010000227</v>
      </c>
      <c r="B36" s="18" t="s">
        <v>763</v>
      </c>
      <c r="C36" s="18" t="s">
        <v>27</v>
      </c>
      <c r="D36" s="18" t="s">
        <v>764</v>
      </c>
      <c r="E36" s="18" t="s">
        <v>662</v>
      </c>
      <c r="F36" s="18" t="s">
        <v>663</v>
      </c>
      <c r="G36" s="18" t="s"/>
      <c r="H36" t="s">
        <f>=_xlfn.TEXTJOIN("-",TRUE,C36,D36,E36,F36,G36)</f>
        <v>765</v>
      </c>
      <c r="I36" t="s">
        <v>117</v>
      </c>
      <c r="J36">
        <v>1800</v>
      </c>
      <c r="K36" s="142" t="s">
        <v>766</v>
      </c>
    </row>
    <row r="37" spans="1:11">
      <c r="A37" s="140">
        <v>180010000228</v>
      </c>
      <c r="B37" s="18" t="s">
        <v>767</v>
      </c>
      <c r="C37" s="18" t="s">
        <v>768</v>
      </c>
      <c r="D37" s="18" t="s">
        <v>769</v>
      </c>
      <c r="E37" s="18" t="s">
        <v>696</v>
      </c>
      <c r="F37" s="18" t="s">
        <v>663</v>
      </c>
      <c r="G37" s="18" t="s"/>
      <c r="H37" t="s">
        <f>=_xlfn.TEXTJOIN("-",TRUE,C37,D37,E37,F37,G37)</f>
        <v>181</v>
      </c>
      <c r="I37" t="s">
        <v>117</v>
      </c>
      <c r="J37">
        <v>1800</v>
      </c>
      <c r="K37" s="142" t="s">
        <v>770</v>
      </c>
    </row>
    <row r="38" spans="1:11">
      <c r="A38" s="140">
        <v>180010000229</v>
      </c>
      <c r="B38" s="18" t="s">
        <v>771</v>
      </c>
      <c r="C38" s="18" t="s">
        <v>43</v>
      </c>
      <c r="D38" s="18" t="s">
        <v>772</v>
      </c>
      <c r="E38" s="18" t="s">
        <v>662</v>
      </c>
      <c r="F38" s="18" t="s">
        <v>663</v>
      </c>
      <c r="G38" s="18" t="s"/>
      <c r="H38" t="s">
        <f>=_xlfn.TEXTJOIN("-",TRUE,C38,D38,E38,F38,G38)</f>
        <v>183</v>
      </c>
      <c r="I38" t="s">
        <v>117</v>
      </c>
      <c r="J38">
        <v>1800</v>
      </c>
      <c r="K38" s="142" t="s">
        <v>773</v>
      </c>
    </row>
    <row r="39" spans="1:8">
      <c r="A39" s="140">
        <v>180010000230</v>
      </c>
      <c r="B39" s="18" t="s">
        <v>774</v>
      </c>
      <c r="C39" s="18" t="s">
        <v>27</v>
      </c>
      <c r="D39" s="18" t="s">
        <v>775</v>
      </c>
      <c r="E39" s="18" t="s">
        <v>662</v>
      </c>
      <c r="F39" s="18" t="s">
        <v>663</v>
      </c>
      <c r="G39" s="18" t="s"/>
      <c r="H39" t="s">
        <f>=_xlfn.TEXTJOIN("-",TRUE,C39,D39,E39,F39,G39)</f>
        <v>776</v>
      </c>
    </row>
    <row r="40" spans="1:11">
      <c r="A40" s="140">
        <v>180010000231</v>
      </c>
      <c r="B40" s="18" t="s">
        <v>777</v>
      </c>
      <c r="C40" s="18" t="s">
        <v>53</v>
      </c>
      <c r="D40" s="18" t="s">
        <v>778</v>
      </c>
      <c r="E40" s="18" t="s">
        <v>662</v>
      </c>
      <c r="F40" s="18" t="s">
        <v>663</v>
      </c>
      <c r="G40" s="18" t="s"/>
      <c r="H40" t="s">
        <f>=_xlfn.TEXTJOIN("-",TRUE,C40,D40,E40,F40,G40)</f>
        <v>779</v>
      </c>
      <c r="I40" t="s">
        <v>117</v>
      </c>
      <c r="J40">
        <v>1800</v>
      </c>
      <c r="K40" s="142" t="s">
        <v>780</v>
      </c>
    </row>
    <row r="41" spans="1:11">
      <c r="A41" s="140">
        <v>180010000232</v>
      </c>
      <c r="B41" s="18" t="s">
        <v>781</v>
      </c>
      <c r="C41" s="18" t="s">
        <v>53</v>
      </c>
      <c r="D41" s="18" t="s">
        <v>782</v>
      </c>
      <c r="E41" s="18" t="s">
        <v>662</v>
      </c>
      <c r="F41" s="18" t="s">
        <v>663</v>
      </c>
      <c r="G41" s="18" t="s"/>
      <c r="H41" t="s">
        <f>=_xlfn.TEXTJOIN("-",TRUE,C41,D41,E41,F41,G41)</f>
        <v>187</v>
      </c>
      <c r="I41" t="s">
        <v>117</v>
      </c>
      <c r="J41">
        <v>1800</v>
      </c>
      <c r="K41" s="142" t="s">
        <v>783</v>
      </c>
    </row>
    <row r="42" spans="1:11">
      <c r="A42" s="140">
        <v>180010000233</v>
      </c>
      <c r="B42" s="18" t="s">
        <v>784</v>
      </c>
      <c r="C42" s="18" t="s">
        <v>43</v>
      </c>
      <c r="D42" s="18" t="s">
        <v>785</v>
      </c>
      <c r="E42" s="18" t="s">
        <v>687</v>
      </c>
      <c r="F42" s="18" t="s">
        <v>663</v>
      </c>
      <c r="G42" s="18" t="s"/>
      <c r="H42" t="s">
        <f>=_xlfn.TEXTJOIN("-",TRUE,C42,D42,E42,F42,G42)</f>
        <v>189</v>
      </c>
      <c r="I42" t="s">
        <v>117</v>
      </c>
      <c r="J42">
        <v>1800</v>
      </c>
      <c r="K42" s="142" t="s">
        <v>786</v>
      </c>
    </row>
    <row r="43" spans="1:11">
      <c r="A43" s="140">
        <v>180010000234</v>
      </c>
      <c r="B43" s="18" t="s">
        <v>787</v>
      </c>
      <c r="C43" s="18" t="s">
        <v>728</v>
      </c>
      <c r="D43" s="18" t="s">
        <v>788</v>
      </c>
      <c r="E43" s="18" t="s">
        <v>662</v>
      </c>
      <c r="F43" s="18" t="s">
        <v>663</v>
      </c>
      <c r="G43" s="18" t="s"/>
      <c r="H43" t="s">
        <f>=_xlfn.TEXTJOIN("-",TRUE,C43,D43,E43,F43,G43)</f>
        <v>191</v>
      </c>
      <c r="I43" t="s">
        <v>117</v>
      </c>
      <c r="J43">
        <v>1800</v>
      </c>
      <c r="K43" s="142" t="s">
        <v>789</v>
      </c>
    </row>
    <row r="44" spans="1:11">
      <c r="A44" s="140">
        <v>180010000235</v>
      </c>
      <c r="B44" s="18" t="s">
        <v>790</v>
      </c>
      <c r="C44" s="18" t="s">
        <v>27</v>
      </c>
      <c r="D44" s="18" t="s">
        <v>791</v>
      </c>
      <c r="E44" s="18" t="s">
        <v>662</v>
      </c>
      <c r="F44" s="18" t="s">
        <v>663</v>
      </c>
      <c r="G44" s="18" t="s"/>
      <c r="H44" t="s">
        <f>=_xlfn.TEXTJOIN("-",TRUE,C44,D44,E44,F44,G44)</f>
        <v>193</v>
      </c>
      <c r="I44" t="s">
        <v>117</v>
      </c>
      <c r="J44">
        <v>1800</v>
      </c>
      <c r="K44" s="142" t="s">
        <v>792</v>
      </c>
    </row>
    <row r="45" spans="1:11">
      <c r="A45" s="140">
        <v>180010000236</v>
      </c>
      <c r="B45" s="18" t="s">
        <v>793</v>
      </c>
      <c r="C45" s="18" t="s">
        <v>27</v>
      </c>
      <c r="D45" s="18" t="s">
        <v>794</v>
      </c>
      <c r="E45" s="18" t="s">
        <v>662</v>
      </c>
      <c r="F45" s="18" t="s">
        <v>663</v>
      </c>
      <c r="G45" s="18" t="s"/>
      <c r="H45" t="s">
        <f>=_xlfn.TEXTJOIN("-",TRUE,C45,D45,E45,F45,G45)</f>
        <v>795</v>
      </c>
      <c r="I45" t="s">
        <v>117</v>
      </c>
      <c r="J45">
        <v>1800</v>
      </c>
      <c r="K45" s="142" t="s">
        <v>796</v>
      </c>
    </row>
    <row r="46" spans="1:11">
      <c r="A46" s="140">
        <v>180010000237</v>
      </c>
      <c r="B46" s="18" t="s">
        <v>797</v>
      </c>
      <c r="C46" s="18" t="s">
        <v>647</v>
      </c>
      <c r="D46" s="18" t="s">
        <v>798</v>
      </c>
      <c r="E46" s="18" t="s">
        <v>662</v>
      </c>
      <c r="F46" s="18" t="s">
        <v>663</v>
      </c>
      <c r="G46" s="18" t="s"/>
      <c r="H46" t="s">
        <f>=_xlfn.TEXTJOIN("-",TRUE,C46,D46,E46,F46,G46)</f>
        <v>197</v>
      </c>
      <c r="I46" t="s">
        <v>117</v>
      </c>
      <c r="J46">
        <v>1800</v>
      </c>
      <c r="K46" s="142" t="s">
        <v>799</v>
      </c>
    </row>
    <row r="47" spans="1:11">
      <c r="A47" s="140">
        <v>180010000238</v>
      </c>
      <c r="B47" s="18" t="s">
        <v>800</v>
      </c>
      <c r="C47" s="18" t="s">
        <v>27</v>
      </c>
      <c r="D47" s="18" t="s">
        <v>801</v>
      </c>
      <c r="E47" s="18" t="s">
        <v>662</v>
      </c>
      <c r="F47" s="18" t="s">
        <v>663</v>
      </c>
      <c r="G47" s="18" t="s"/>
      <c r="H47" t="s">
        <f>=_xlfn.TEXTJOIN("-",TRUE,C47,D47,E47,F47,G47)</f>
        <v>199</v>
      </c>
      <c r="I47" t="s">
        <v>117</v>
      </c>
      <c r="J47">
        <v>1800</v>
      </c>
      <c r="K47" s="142" t="s">
        <v>802</v>
      </c>
    </row>
    <row r="48" spans="1:11">
      <c r="A48" s="140">
        <v>180010000239</v>
      </c>
      <c r="B48" s="18" t="s">
        <v>803</v>
      </c>
      <c r="C48" s="18" t="s">
        <v>804</v>
      </c>
      <c r="D48" s="18" t="s">
        <v>805</v>
      </c>
      <c r="E48" s="18" t="s">
        <v>662</v>
      </c>
      <c r="F48" s="18" t="s">
        <v>663</v>
      </c>
      <c r="G48" s="18" t="s"/>
      <c r="H48" t="s">
        <f>=_xlfn.TEXTJOIN("-",TRUE,C48,D48,E48,F48,G48)</f>
        <v>202</v>
      </c>
      <c r="I48" t="s">
        <v>117</v>
      </c>
      <c r="J48">
        <v>1800</v>
      </c>
      <c r="K48" s="142" t="s">
        <v>806</v>
      </c>
    </row>
    <row r="49" spans="1:8">
      <c r="A49" s="140">
        <v>180010000240</v>
      </c>
      <c r="B49" s="18" t="s">
        <v>807</v>
      </c>
      <c r="C49" s="18" t="s">
        <v>8</v>
      </c>
      <c r="D49" s="18" t="s">
        <v>808</v>
      </c>
      <c r="E49" s="18" t="s">
        <v>662</v>
      </c>
      <c r="F49" s="18" t="s">
        <v>663</v>
      </c>
      <c r="G49" s="18" t="s"/>
      <c r="H49" t="s">
        <f>=_xlfn.TEXTJOIN("-",TRUE,C49,D49,E49,F49,G49)</f>
        <v>809</v>
      </c>
    </row>
    <row r="50" spans="1:11">
      <c r="A50" s="140">
        <v>180010000241</v>
      </c>
      <c r="B50" s="18" t="s">
        <v>810</v>
      </c>
      <c r="C50" s="18" t="s">
        <v>811</v>
      </c>
      <c r="D50" s="18" t="s">
        <v>81</v>
      </c>
      <c r="E50" s="18" t="s">
        <v>662</v>
      </c>
      <c r="F50" s="18" t="s">
        <v>663</v>
      </c>
      <c r="G50" s="18" t="s"/>
      <c r="H50" t="s">
        <f>=_xlfn.TEXTJOIN("-",TRUE,C50,D50,E50,F50,G50)</f>
        <v>204</v>
      </c>
      <c r="I50" t="s">
        <v>117</v>
      </c>
      <c r="J50">
        <v>1800</v>
      </c>
      <c r="K50" s="142" t="s">
        <v>812</v>
      </c>
    </row>
    <row r="51" spans="1:11">
      <c r="A51" s="140">
        <v>180010000242</v>
      </c>
      <c r="B51" s="18" t="s">
        <v>813</v>
      </c>
      <c r="C51" s="18" t="s">
        <v>36</v>
      </c>
      <c r="D51" s="18" t="s">
        <v>814</v>
      </c>
      <c r="E51" s="18" t="s">
        <v>662</v>
      </c>
      <c r="F51" s="18" t="s">
        <v>663</v>
      </c>
      <c r="G51" s="18" t="s"/>
      <c r="H51" t="s">
        <f>=_xlfn.TEXTJOIN("-",TRUE,C51,D51,E51,F51,G51)</f>
        <v>206</v>
      </c>
      <c r="I51" t="s">
        <v>117</v>
      </c>
      <c r="J51">
        <v>1800</v>
      </c>
      <c r="K51" s="142" t="s">
        <v>815</v>
      </c>
    </row>
    <row r="52" spans="1:11">
      <c r="A52" s="140">
        <v>180010000243</v>
      </c>
      <c r="B52" s="18" t="s">
        <v>816</v>
      </c>
      <c r="C52" s="18" t="s">
        <v>817</v>
      </c>
      <c r="D52" s="18" t="s">
        <v>818</v>
      </c>
      <c r="E52" s="18" t="s">
        <v>662</v>
      </c>
      <c r="F52" s="18" t="s">
        <v>663</v>
      </c>
      <c r="G52" s="18" t="s"/>
      <c r="H52" t="s">
        <f>=_xlfn.TEXTJOIN("-",TRUE,C52,D52,E52,F52,G52)</f>
        <v>208</v>
      </c>
      <c r="I52" t="s">
        <v>117</v>
      </c>
      <c r="J52">
        <v>1800</v>
      </c>
      <c r="K52" s="142" t="s">
        <v>819</v>
      </c>
    </row>
    <row r="53" spans="1:11">
      <c r="A53" s="140">
        <v>180010000244</v>
      </c>
      <c r="B53" s="18" t="s">
        <v>820</v>
      </c>
      <c r="C53" s="18" t="s">
        <v>821</v>
      </c>
      <c r="D53" s="18" t="s">
        <v>822</v>
      </c>
      <c r="E53" s="18" t="s">
        <v>662</v>
      </c>
      <c r="F53" s="18" t="s">
        <v>663</v>
      </c>
      <c r="G53" s="18" t="s"/>
      <c r="H53" t="s">
        <f>=_xlfn.TEXTJOIN("-",TRUE,C53,D53,E53,F53,G53)</f>
        <v>210</v>
      </c>
      <c r="I53" t="s">
        <v>117</v>
      </c>
      <c r="J53">
        <v>1800</v>
      </c>
      <c r="K53" s="142" t="s">
        <v>823</v>
      </c>
    </row>
    <row r="54" spans="1:11">
      <c r="A54" s="140">
        <v>180010000245</v>
      </c>
      <c r="B54" s="18" t="s">
        <v>824</v>
      </c>
      <c r="C54" s="18" t="s">
        <v>804</v>
      </c>
      <c r="D54" s="18" t="s">
        <v>825</v>
      </c>
      <c r="E54" s="18" t="s">
        <v>662</v>
      </c>
      <c r="F54" s="18" t="s">
        <v>663</v>
      </c>
      <c r="G54" s="18" t="s"/>
      <c r="H54" t="s">
        <f>=_xlfn.TEXTJOIN("-",TRUE,C54,D54,E54,F54,G54)</f>
        <v>212</v>
      </c>
      <c r="I54" t="s">
        <v>117</v>
      </c>
      <c r="J54">
        <v>1800</v>
      </c>
      <c r="K54" s="142" t="s">
        <v>826</v>
      </c>
    </row>
    <row r="55" spans="1:11">
      <c r="A55" s="140">
        <v>180010000246</v>
      </c>
      <c r="B55" s="18" t="s">
        <v>827</v>
      </c>
      <c r="C55" s="18" t="s">
        <v>694</v>
      </c>
      <c r="D55" s="18" t="s">
        <v>828</v>
      </c>
      <c r="E55" s="18" t="s">
        <v>696</v>
      </c>
      <c r="F55" s="18" t="s">
        <v>663</v>
      </c>
      <c r="G55" s="18" t="s"/>
      <c r="H55" t="s">
        <f>=_xlfn.TEXTJOIN("-",TRUE,C55,D55,E55,F55,G55)</f>
        <v>214</v>
      </c>
      <c r="I55" t="s">
        <v>117</v>
      </c>
      <c r="J55">
        <v>1800</v>
      </c>
      <c r="K55" s="142" t="s">
        <v>829</v>
      </c>
    </row>
    <row r="56" spans="1:11">
      <c r="A56" s="140">
        <v>180010000247</v>
      </c>
      <c r="B56" s="18" t="s">
        <v>830</v>
      </c>
      <c r="C56" s="18" t="s">
        <v>647</v>
      </c>
      <c r="D56" s="18" t="s">
        <v>831</v>
      </c>
      <c r="E56" s="18" t="s">
        <v>662</v>
      </c>
      <c r="F56" s="18" t="s">
        <v>663</v>
      </c>
      <c r="G56" s="18" t="s"/>
      <c r="H56" t="s">
        <f>=_xlfn.TEXTJOIN("-",TRUE,C56,D56,E56,F56,G56)</f>
        <v>216</v>
      </c>
      <c r="I56" t="s">
        <v>117</v>
      </c>
      <c r="J56">
        <v>1800</v>
      </c>
      <c r="K56" s="142" t="s">
        <v>832</v>
      </c>
    </row>
    <row r="57" spans="1:11">
      <c r="A57" s="140">
        <v>180010000248</v>
      </c>
      <c r="B57" s="18" t="s">
        <v>833</v>
      </c>
      <c r="C57" s="18" t="s">
        <v>87</v>
      </c>
      <c r="D57" s="18" t="s">
        <v>88</v>
      </c>
      <c r="E57" s="18" t="s">
        <v>662</v>
      </c>
      <c r="F57" s="18" t="s">
        <v>663</v>
      </c>
      <c r="G57" s="18" t="s"/>
      <c r="H57" t="s">
        <f>=_xlfn.TEXTJOIN("-",TRUE,C57,D57,E57,F57,G57)</f>
        <v>218</v>
      </c>
      <c r="I57" t="s">
        <v>117</v>
      </c>
      <c r="J57">
        <v>1800</v>
      </c>
      <c r="K57" s="142" t="s">
        <v>834</v>
      </c>
    </row>
    <row r="58" spans="1:11">
      <c r="A58" s="140">
        <v>180010000249</v>
      </c>
      <c r="B58" s="18" t="s">
        <v>835</v>
      </c>
      <c r="C58" s="18" t="s">
        <v>694</v>
      </c>
      <c r="D58" s="18" t="s">
        <v>836</v>
      </c>
      <c r="E58" s="18" t="s">
        <v>696</v>
      </c>
      <c r="F58" s="18" t="s">
        <v>663</v>
      </c>
      <c r="G58" s="18" t="s"/>
      <c r="H58" t="s">
        <f>=_xlfn.TEXTJOIN("-",TRUE,C58,D58,E58,F58,G58)</f>
        <v>220</v>
      </c>
      <c r="I58" t="s">
        <v>117</v>
      </c>
      <c r="J58">
        <v>1800</v>
      </c>
      <c r="K58" s="142" t="s">
        <v>837</v>
      </c>
    </row>
    <row r="59" spans="1:11">
      <c r="A59" s="140">
        <v>180010000250</v>
      </c>
      <c r="B59" s="18" t="s">
        <v>838</v>
      </c>
      <c r="C59" s="18" t="s">
        <v>839</v>
      </c>
      <c r="D59" s="18" t="s">
        <v>840</v>
      </c>
      <c r="E59" s="18" t="s">
        <v>662</v>
      </c>
      <c r="F59" s="18" t="s">
        <v>663</v>
      </c>
      <c r="G59" s="18" t="s"/>
      <c r="H59" t="s">
        <f>=_xlfn.TEXTJOIN("-",TRUE,C59,D59,E59,F59,G59)</f>
        <v>222</v>
      </c>
      <c r="I59" t="s">
        <v>117</v>
      </c>
      <c r="J59">
        <v>1800</v>
      </c>
      <c r="K59" s="142" t="s">
        <v>841</v>
      </c>
    </row>
    <row r="60" spans="1:11">
      <c r="A60" s="140">
        <v>180010000251</v>
      </c>
      <c r="B60" s="18" t="s">
        <v>842</v>
      </c>
      <c r="C60" s="18" t="s">
        <v>839</v>
      </c>
      <c r="D60" s="18" t="s">
        <v>843</v>
      </c>
      <c r="E60" s="18" t="s">
        <v>662</v>
      </c>
      <c r="F60" s="18" t="s">
        <v>663</v>
      </c>
      <c r="G60" s="18" t="s"/>
      <c r="H60" t="s">
        <f>=_xlfn.TEXTJOIN("-",TRUE,C60,D60,E60,F60,G60)</f>
        <v>224</v>
      </c>
      <c r="I60" t="s">
        <v>117</v>
      </c>
      <c r="J60">
        <v>1800</v>
      </c>
      <c r="K60" s="142" t="s">
        <v>844</v>
      </c>
    </row>
    <row r="61" spans="1:11">
      <c r="A61" s="140">
        <v>180010000252</v>
      </c>
      <c r="B61" s="18" t="s">
        <v>845</v>
      </c>
      <c r="C61" s="18" t="s">
        <v>839</v>
      </c>
      <c r="D61" s="18" t="s">
        <v>846</v>
      </c>
      <c r="E61" s="18" t="s">
        <v>662</v>
      </c>
      <c r="F61" s="18" t="s">
        <v>663</v>
      </c>
      <c r="G61" s="18" t="s"/>
      <c r="H61" t="s">
        <f>=_xlfn.TEXTJOIN("-",TRUE,C61,D61,E61,F61,G61)</f>
        <v>226</v>
      </c>
      <c r="I61" t="s">
        <v>117</v>
      </c>
      <c r="J61">
        <v>1800</v>
      </c>
      <c r="K61" s="142" t="s">
        <v>847</v>
      </c>
    </row>
    <row r="62" spans="1:11">
      <c r="A62" s="140">
        <v>180010000253</v>
      </c>
      <c r="B62" s="18" t="s">
        <v>848</v>
      </c>
      <c r="C62" s="18" t="s">
        <v>87</v>
      </c>
      <c r="D62" s="18" t="s">
        <v>849</v>
      </c>
      <c r="E62" s="18" t="s">
        <v>662</v>
      </c>
      <c r="F62" s="18" t="s">
        <v>663</v>
      </c>
      <c r="G62" s="18" t="s"/>
      <c r="H62" t="s">
        <f>=_xlfn.TEXTJOIN("-",TRUE,C62,D62,E62,F62,G62)</f>
        <v>228</v>
      </c>
      <c r="I62" t="s">
        <v>117</v>
      </c>
      <c r="J62">
        <v>1800</v>
      </c>
      <c r="K62" s="142" t="s">
        <v>850</v>
      </c>
    </row>
    <row r="63" spans="1:11">
      <c r="A63" s="140">
        <v>180010000254</v>
      </c>
      <c r="B63" s="18" t="s">
        <v>851</v>
      </c>
      <c r="C63" s="18" t="s">
        <v>852</v>
      </c>
      <c r="D63" s="18" t="s">
        <v>853</v>
      </c>
      <c r="E63" s="18" t="s">
        <v>662</v>
      </c>
      <c r="F63" s="18" t="s">
        <v>663</v>
      </c>
      <c r="G63" s="18" t="s"/>
      <c r="H63" t="s">
        <f>=_xlfn.TEXTJOIN("-",TRUE,C63,D63,E63,F63,G63)</f>
        <v>230</v>
      </c>
      <c r="I63" t="s">
        <v>117</v>
      </c>
      <c r="J63">
        <v>1800</v>
      </c>
      <c r="K63" s="142" t="s">
        <v>854</v>
      </c>
    </row>
    <row r="64" spans="1:11">
      <c r="A64" s="140">
        <v>180010000255</v>
      </c>
      <c r="B64" s="150" t="s">
        <v>855</v>
      </c>
      <c r="C64" s="18" t="s">
        <v>852</v>
      </c>
      <c r="D64" s="18" t="s">
        <v>856</v>
      </c>
      <c r="E64" s="18" t="s">
        <v>662</v>
      </c>
      <c r="F64" s="18" t="s">
        <v>663</v>
      </c>
      <c r="G64" s="18" t="s"/>
      <c r="H64" t="s">
        <f>=_xlfn.TEXTJOIN("-",TRUE,C64,D64,E64,F64,G64)</f>
        <v>232</v>
      </c>
      <c r="I64" t="s">
        <v>117</v>
      </c>
      <c r="J64">
        <v>1800</v>
      </c>
      <c r="K64" s="142" t="s">
        <v>857</v>
      </c>
    </row>
    <row r="65" spans="1:11">
      <c r="A65" s="140">
        <v>180010000256</v>
      </c>
      <c r="B65" s="150" t="s">
        <v>858</v>
      </c>
      <c r="C65" s="18" t="s">
        <v>852</v>
      </c>
      <c r="D65" s="18" t="s">
        <v>859</v>
      </c>
      <c r="E65" s="18" t="s">
        <v>662</v>
      </c>
      <c r="F65" s="18" t="s">
        <v>663</v>
      </c>
      <c r="G65" s="18" t="s"/>
      <c r="H65" t="s">
        <f>=_xlfn.TEXTJOIN("-",TRUE,C65,D65,E65,F65,G65)</f>
        <v>234</v>
      </c>
      <c r="I65" t="s">
        <v>117</v>
      </c>
      <c r="J65">
        <v>1800</v>
      </c>
      <c r="K65" s="142" t="s">
        <v>860</v>
      </c>
    </row>
    <row r="66" spans="1:14">
      <c r="A66" s="140">
        <v>180010000257</v>
      </c>
      <c r="B66" s="150" t="s">
        <v>861</v>
      </c>
      <c r="C66" s="18" t="s">
        <v>8</v>
      </c>
      <c r="D66" s="18" t="s">
        <v>862</v>
      </c>
      <c r="E66" s="18" t="s">
        <v>662</v>
      </c>
      <c r="F66" s="18" t="s">
        <v>663</v>
      </c>
      <c r="G66" s="18" t="s"/>
      <c r="H66" t="s">
        <f>=_xlfn.TEXTJOIN("-",TRUE,C66,D66,E66,F66,G66)</f>
        <v>236</v>
      </c>
      <c r="I66" t="s">
        <v>117</v>
      </c>
      <c r="J66">
        <v>1800</v>
      </c>
      <c r="K66" s="142" t="s">
        <v>863</v>
      </c>
      <c r="N66" s="151" t="s"/>
    </row>
    <row r="67" spans="1:14">
      <c r="A67" s="140">
        <v>260010000128</v>
      </c>
      <c r="B67" s="18" t="s">
        <v>864</v>
      </c>
      <c r="C67" s="18" t="s">
        <v>43</v>
      </c>
      <c r="D67" s="18" t="s">
        <v>865</v>
      </c>
      <c r="E67" s="18" t="s">
        <v>649</v>
      </c>
      <c r="F67" s="18" t="s">
        <v>866</v>
      </c>
      <c r="G67" s="18" t="s"/>
      <c r="H67" t="s">
        <f>=_xlfn.TEXTJOIN("-",TRUE,C67,D67,E67,F67,G67)</f>
        <v>867</v>
      </c>
      <c r="N67" s="151" t="s"/>
    </row>
    <row r="68" spans="1:14">
      <c r="A68" s="140">
        <v>260010000130</v>
      </c>
      <c r="B68" s="18" t="s">
        <v>868</v>
      </c>
      <c r="C68" s="18" t="s">
        <v>714</v>
      </c>
      <c r="D68" s="18" t="s">
        <v>715</v>
      </c>
      <c r="E68" s="18" t="s">
        <v>649</v>
      </c>
      <c r="F68" s="18" t="s">
        <v>11</v>
      </c>
      <c r="G68" s="18" t="s"/>
      <c r="H68" t="s">
        <f>=_xlfn.TEXTJOIN("-",TRUE,C68,D68,E68,F68,G68)</f>
        <v>869</v>
      </c>
      <c r="N68" s="151" t="s"/>
    </row>
    <row r="69" spans="1:14">
      <c r="A69" s="140">
        <v>260010000131</v>
      </c>
      <c r="B69" s="18" t="s">
        <v>870</v>
      </c>
      <c r="C69" s="18" t="s">
        <v>714</v>
      </c>
      <c r="D69" s="18" t="s">
        <v>715</v>
      </c>
      <c r="E69" s="18" t="s">
        <v>871</v>
      </c>
      <c r="F69" s="18" t="s">
        <v>11</v>
      </c>
      <c r="G69" s="18" t="s"/>
      <c r="H69" t="s">
        <f>=_xlfn.TEXTJOIN("-",TRUE,C69,D69,E69,F69,G69)</f>
        <v>872</v>
      </c>
      <c r="N69" s="151" t="s"/>
    </row>
    <row r="70" spans="1:14">
      <c r="A70" s="140">
        <v>260010000137</v>
      </c>
      <c r="B70" s="18" t="s">
        <v>873</v>
      </c>
      <c r="C70" s="18" t="s">
        <v>874</v>
      </c>
      <c r="D70" s="18" t="s">
        <v>875</v>
      </c>
      <c r="E70" s="18" t="s">
        <v>876</v>
      </c>
      <c r="F70" s="18" t="s">
        <v>877</v>
      </c>
      <c r="G70" s="18" t="s">
        <v>874</v>
      </c>
      <c r="H70" t="s">
        <f>=_xlfn.TEXTJOIN("-",TRUE,C70,D70,E70,F70,G70)</f>
        <v>238</v>
      </c>
      <c r="I70" t="s">
        <v>117</v>
      </c>
      <c r="J70">
        <v>2600</v>
      </c>
      <c r="K70" s="142" t="s">
        <v>878</v>
      </c>
      <c r="N70" s="151" t="s"/>
    </row>
    <row r="71" spans="1:14">
      <c r="A71" s="140">
        <v>260010000138</v>
      </c>
      <c r="B71" s="18" t="s">
        <v>879</v>
      </c>
      <c r="C71" s="18" t="s">
        <v>880</v>
      </c>
      <c r="D71" s="18" t="s">
        <v>881</v>
      </c>
      <c r="E71" s="18" t="s">
        <v>649</v>
      </c>
      <c r="F71" s="18" t="s">
        <v>877</v>
      </c>
      <c r="G71" s="18" t="s"/>
      <c r="H71" t="s">
        <f>=_xlfn.TEXTJOIN("-",TRUE,C71,D71,E71,F71,G71)</f>
        <v>882</v>
      </c>
      <c r="N71" s="151" t="s"/>
    </row>
    <row r="72" spans="1:14">
      <c r="A72" s="140">
        <v>260010000143</v>
      </c>
      <c r="B72" s="18" t="s">
        <v>883</v>
      </c>
      <c r="C72" s="18" t="s">
        <v>884</v>
      </c>
      <c r="D72" s="18" t="s">
        <v>885</v>
      </c>
      <c r="E72" s="18" t="s">
        <v>649</v>
      </c>
      <c r="F72" s="18" t="s">
        <v>886</v>
      </c>
      <c r="G72" s="18" t="s"/>
      <c r="H72" t="s">
        <f>=_xlfn.TEXTJOIN("-",TRUE,C72,D72,E72,F72,G72)</f>
        <v>887</v>
      </c>
      <c r="N72" s="151" t="s"/>
    </row>
    <row r="73" spans="1:14">
      <c r="A73" s="140">
        <v>260010000148</v>
      </c>
      <c r="B73" s="18" t="s">
        <v>888</v>
      </c>
      <c r="C73" s="18" t="s">
        <v>647</v>
      </c>
      <c r="D73" s="18" t="s">
        <v>889</v>
      </c>
      <c r="E73" s="18" t="s">
        <v>649</v>
      </c>
      <c r="F73" s="18" t="s">
        <v>11</v>
      </c>
      <c r="G73" s="18" t="s"/>
      <c r="H73" t="s">
        <f>=_xlfn.TEXTJOIN("-",TRUE,C73,D73,E73,F73,G73)</f>
        <v>890</v>
      </c>
      <c r="N73" s="151" t="s"/>
    </row>
    <row r="74" spans="1:14">
      <c r="A74" s="140">
        <v>260010000149</v>
      </c>
      <c r="B74" s="152" t="s">
        <v>891</v>
      </c>
      <c r="C74" s="18" t="s">
        <v>647</v>
      </c>
      <c r="D74" s="18" t="s">
        <v>892</v>
      </c>
      <c r="E74" s="18" t="s">
        <v>649</v>
      </c>
      <c r="F74" s="18" t="s">
        <v>11</v>
      </c>
      <c r="G74" s="18" t="s"/>
      <c r="H74" t="s">
        <f>=_xlfn.TEXTJOIN("-",TRUE,C74,D74,E74,F74,G74)</f>
        <v>240</v>
      </c>
      <c r="I74" t="s">
        <v>117</v>
      </c>
      <c r="J74">
        <v>2616</v>
      </c>
      <c r="K74" s="142" t="s">
        <v>893</v>
      </c>
      <c r="N74" s="151" t="s"/>
    </row>
    <row r="75" spans="1:14">
      <c r="A75" s="140">
        <v>260010000151</v>
      </c>
      <c r="B75" s="18" t="s">
        <v>894</v>
      </c>
      <c r="C75" s="18" t="s">
        <v>895</v>
      </c>
      <c r="D75" s="18" t="s">
        <v>896</v>
      </c>
      <c r="E75" s="18" t="s">
        <v>871</v>
      </c>
      <c r="F75" s="18" t="s">
        <v>55</v>
      </c>
      <c r="G75" s="18" t="s"/>
      <c r="H75" t="s">
        <f>=_xlfn.TEXTJOIN("-",TRUE,C75,D75,E75,F75,G75)</f>
        <v>897</v>
      </c>
      <c r="N75" s="151" t="s"/>
    </row>
    <row r="76" spans="1:11">
      <c r="A76" s="140">
        <v>260010000152</v>
      </c>
      <c r="B76" s="18" t="s">
        <v>898</v>
      </c>
      <c r="C76" s="18" t="s">
        <v>647</v>
      </c>
      <c r="D76" s="18" t="s">
        <v>899</v>
      </c>
      <c r="E76" s="18" t="s">
        <v>649</v>
      </c>
      <c r="F76" s="18" t="s">
        <v>11</v>
      </c>
      <c r="G76" s="18" t="s"/>
      <c r="H76" t="s">
        <f>=_xlfn.TEXTJOIN("-",TRUE,C76,D76,E76,F76,G76)</f>
        <v>242</v>
      </c>
      <c r="I76" t="s">
        <v>117</v>
      </c>
      <c r="J76">
        <v>2616</v>
      </c>
      <c r="K76" s="142" t="s">
        <v>900</v>
      </c>
    </row>
    <row r="77" spans="1:8">
      <c r="A77" s="140">
        <v>260010000153</v>
      </c>
      <c r="B77" s="18" t="s">
        <v>901</v>
      </c>
      <c r="C77" s="18" t="s">
        <v>884</v>
      </c>
      <c r="D77" s="18" t="s">
        <v>902</v>
      </c>
      <c r="E77" s="18" t="s">
        <v>649</v>
      </c>
      <c r="F77" s="18" t="s">
        <v>886</v>
      </c>
      <c r="G77" s="18" t="s"/>
      <c r="H77" t="s">
        <f>=_xlfn.TEXTJOIN("-",TRUE,C77,D77,E77,F77,G77)</f>
        <v>903</v>
      </c>
    </row>
    <row r="78" spans="1:11">
      <c r="A78" s="140">
        <v>260010000154</v>
      </c>
      <c r="B78" s="18" t="s">
        <v>904</v>
      </c>
      <c r="C78" s="18" t="s">
        <v>905</v>
      </c>
      <c r="D78" s="18" t="s">
        <v>75</v>
      </c>
      <c r="E78" s="18" t="s">
        <v>649</v>
      </c>
      <c r="F78" s="18" t="s">
        <v>65</v>
      </c>
      <c r="G78" s="18" t="s"/>
      <c r="H78" t="s">
        <f>=_xlfn.TEXTJOIN("-",TRUE,C78,D78,E78,F78,G78)</f>
        <v>244</v>
      </c>
      <c r="I78" t="s">
        <v>117</v>
      </c>
      <c r="J78">
        <v>2624</v>
      </c>
      <c r="K78" s="142" t="s">
        <v>906</v>
      </c>
    </row>
    <row r="79" spans="1:8">
      <c r="A79" s="140">
        <v>260010000156</v>
      </c>
      <c r="B79" s="18" t="s">
        <v>907</v>
      </c>
      <c r="C79" s="18" t="s">
        <v>660</v>
      </c>
      <c r="D79" s="18" t="s">
        <v>908</v>
      </c>
      <c r="E79" s="18" t="s">
        <v>649</v>
      </c>
      <c r="F79" s="18" t="s">
        <v>877</v>
      </c>
      <c r="G79" s="18" t="s"/>
      <c r="H79" t="s">
        <f>=_xlfn.TEXTJOIN("-",TRUE,C79,D79,E79,F79,G79)</f>
        <v>909</v>
      </c>
    </row>
    <row r="80" spans="1:11">
      <c r="A80" s="140">
        <v>260010000157</v>
      </c>
      <c r="B80" s="18" t="s">
        <v>910</v>
      </c>
      <c r="C80" s="18" t="s">
        <v>647</v>
      </c>
      <c r="D80" s="18" t="s">
        <v>911</v>
      </c>
      <c r="E80" s="18" t="s">
        <v>649</v>
      </c>
      <c r="F80" s="18" t="s">
        <v>11</v>
      </c>
      <c r="G80" s="18" t="s"/>
      <c r="H80" t="s">
        <f>=_xlfn.TEXTJOIN("-",TRUE,C80,D80,E80,F80,G80)</f>
        <v>246</v>
      </c>
      <c r="I80" s="43" t="s">
        <v>117</v>
      </c>
      <c r="J80">
        <v>2616</v>
      </c>
      <c r="K80" s="142" t="s">
        <v>912</v>
      </c>
    </row>
    <row r="81" spans="1:11">
      <c r="A81" s="140">
        <v>260010000158</v>
      </c>
      <c r="B81" s="18" t="s">
        <v>913</v>
      </c>
      <c r="C81" s="18" t="s">
        <v>914</v>
      </c>
      <c r="D81" s="18" t="s">
        <v>915</v>
      </c>
      <c r="E81" s="18" t="s">
        <v>916</v>
      </c>
      <c r="F81" s="18" t="s">
        <v>877</v>
      </c>
      <c r="G81" s="18" t="s"/>
      <c r="H81" t="s">
        <f>=_xlfn.TEXTJOIN("-",TRUE,C81,D81,E81,F81,G81)</f>
        <v>248</v>
      </c>
      <c r="I81" t="s">
        <v>117</v>
      </c>
      <c r="J81">
        <v>2600</v>
      </c>
      <c r="K81" s="142" t="s">
        <v>917</v>
      </c>
    </row>
    <row r="82" spans="1:11">
      <c r="A82" s="140">
        <v>260010000159</v>
      </c>
      <c r="B82" s="18" t="s">
        <v>918</v>
      </c>
      <c r="C82" s="18" t="s">
        <v>914</v>
      </c>
      <c r="D82" s="18" t="s">
        <v>915</v>
      </c>
      <c r="E82" s="18" t="s">
        <v>919</v>
      </c>
      <c r="F82" s="18" t="s">
        <v>877</v>
      </c>
      <c r="G82" s="18" t="s"/>
      <c r="H82" t="s">
        <f>=_xlfn.TEXTJOIN("-",TRUE,C82,D82,E82,F82,G82)</f>
        <v>250</v>
      </c>
      <c r="I82" t="s">
        <v>117</v>
      </c>
      <c r="J82">
        <v>2600</v>
      </c>
      <c r="K82" s="142" t="s">
        <v>920</v>
      </c>
    </row>
    <row r="83" spans="1:11">
      <c r="A83" s="140">
        <v>260010000161</v>
      </c>
      <c r="B83" s="18" t="s">
        <v>921</v>
      </c>
      <c r="C83" s="18" t="s">
        <v>874</v>
      </c>
      <c r="D83" s="18" t="s">
        <v>921</v>
      </c>
      <c r="E83" s="18" t="s">
        <v>876</v>
      </c>
      <c r="F83" s="18" t="s">
        <v>877</v>
      </c>
      <c r="G83" s="18" t="s">
        <v>874</v>
      </c>
      <c r="H83" t="s">
        <f>=_xlfn.TEXTJOIN("-",TRUE,C83,D83,E83,F83,G83)</f>
        <v>252</v>
      </c>
      <c r="I83" t="s">
        <v>117</v>
      </c>
      <c r="J83">
        <v>2600</v>
      </c>
      <c r="K83" s="142" t="s">
        <v>922</v>
      </c>
    </row>
    <row r="84" spans="1:11">
      <c r="A84" s="140">
        <v>260010000162</v>
      </c>
      <c r="B84" s="18" t="s">
        <v>923</v>
      </c>
      <c r="C84" s="18" t="s">
        <v>647</v>
      </c>
      <c r="D84" s="150" t="s">
        <v>924</v>
      </c>
      <c r="E84" s="18" t="s">
        <v>649</v>
      </c>
      <c r="F84" s="18" t="s">
        <v>877</v>
      </c>
      <c r="G84" s="18" t="s"/>
      <c r="H84" t="s">
        <f>=_xlfn.TEXTJOIN("-",TRUE,C84,D84,E84,F84,G84)</f>
        <v>254</v>
      </c>
      <c r="I84" t="s">
        <v>117</v>
      </c>
      <c r="J84">
        <v>2600</v>
      </c>
      <c r="K84" s="142" t="s">
        <v>925</v>
      </c>
    </row>
    <row r="85" spans="1:11">
      <c r="A85" s="140">
        <v>260010000163</v>
      </c>
      <c r="B85" s="18" t="s">
        <v>926</v>
      </c>
      <c r="C85" s="153" t="s">
        <v>36</v>
      </c>
      <c r="D85" s="18" t="s">
        <v>814</v>
      </c>
      <c r="E85" s="18" t="s">
        <v>649</v>
      </c>
      <c r="F85" s="18" t="s">
        <v>877</v>
      </c>
      <c r="G85" s="18" t="s"/>
      <c r="H85" t="s">
        <f>=_xlfn.TEXTJOIN("-",TRUE,C85,D85,E85,F85,G85)</f>
        <v>256</v>
      </c>
      <c r="I85" t="s">
        <v>117</v>
      </c>
      <c r="J85">
        <v>2600</v>
      </c>
      <c r="K85" s="142" t="s">
        <v>927</v>
      </c>
    </row>
    <row r="86" spans="1:11">
      <c r="A86" s="140">
        <v>260010000164</v>
      </c>
      <c r="B86" s="18" t="s">
        <v>928</v>
      </c>
      <c r="C86" s="18" t="s">
        <v>12</v>
      </c>
      <c r="D86" s="18" t="s">
        <v>929</v>
      </c>
      <c r="E86" s="18" t="s">
        <v>12</v>
      </c>
      <c r="F86" s="18" t="s">
        <v>877</v>
      </c>
      <c r="G86" s="18" t="s">
        <v>12</v>
      </c>
      <c r="H86" t="s">
        <f>=_xlfn.TEXTJOIN("-",TRUE,C86,D86,E86,F86,G86)</f>
        <v>930</v>
      </c>
      <c r="I86" t="s">
        <v>117</v>
      </c>
      <c r="J86">
        <v>2600</v>
      </c>
      <c r="K86" s="142" t="s">
        <v>931</v>
      </c>
    </row>
    <row r="87" spans="1:11">
      <c r="A87" s="140">
        <v>260010000165</v>
      </c>
      <c r="B87" s="18" t="s">
        <v>932</v>
      </c>
      <c r="C87" s="18" t="s">
        <v>905</v>
      </c>
      <c r="D87" s="18" t="s">
        <v>933</v>
      </c>
      <c r="E87" s="18" t="s">
        <v>649</v>
      </c>
      <c r="F87" s="18" t="s">
        <v>65</v>
      </c>
      <c r="G87" s="18" t="s"/>
      <c r="H87" t="s">
        <f>=_xlfn.TEXTJOIN("-",TRUE,C87,D87,E87,F87,G87)</f>
        <v>260</v>
      </c>
      <c r="I87" t="s">
        <v>117</v>
      </c>
      <c r="J87">
        <v>2624</v>
      </c>
      <c r="K87" s="142" t="s">
        <v>934</v>
      </c>
    </row>
    <row r="88" spans="1:11">
      <c r="A88" s="140">
        <v>260010000166</v>
      </c>
      <c r="B88" s="18" t="s">
        <v>935</v>
      </c>
      <c r="C88" s="18" t="s">
        <v>874</v>
      </c>
      <c r="D88" s="18" t="s">
        <v>936</v>
      </c>
      <c r="E88" s="18" t="s">
        <v>874</v>
      </c>
      <c r="F88" s="18" t="s">
        <v>877</v>
      </c>
      <c r="G88" s="18" t="s">
        <v>874</v>
      </c>
      <c r="H88" t="s">
        <f>=_xlfn.TEXTJOIN("-",TRUE,C88,D88,E88,F88,G88)</f>
        <v>262</v>
      </c>
      <c r="I88" t="s">
        <v>117</v>
      </c>
      <c r="J88">
        <v>2600</v>
      </c>
      <c r="K88" s="142" t="s">
        <v>937</v>
      </c>
    </row>
    <row r="89" spans="1:11">
      <c r="A89" s="140">
        <v>260010000168</v>
      </c>
      <c r="B89" s="18" t="s">
        <v>938</v>
      </c>
      <c r="C89" s="18" t="s">
        <v>647</v>
      </c>
      <c r="D89" s="18" t="s">
        <v>939</v>
      </c>
      <c r="E89" s="18" t="s">
        <v>940</v>
      </c>
      <c r="F89" s="18" t="s">
        <v>11</v>
      </c>
      <c r="G89" s="18" t="s"/>
      <c r="H89" t="s">
        <f>=_xlfn.TEXTJOIN("-",TRUE,C89,D89,E89,F89,G89)</f>
        <v>264</v>
      </c>
      <c r="I89" t="s">
        <v>117</v>
      </c>
      <c r="J89">
        <v>2616</v>
      </c>
      <c r="K89" s="142" t="s">
        <v>941</v>
      </c>
    </row>
    <row r="90" spans="1:11">
      <c r="A90" s="140">
        <v>260010000169</v>
      </c>
      <c r="B90" s="18" t="s">
        <v>942</v>
      </c>
      <c r="C90" s="18" t="s">
        <v>914</v>
      </c>
      <c r="D90" s="18" t="s">
        <v>943</v>
      </c>
      <c r="E90" s="18" t="s">
        <v>649</v>
      </c>
      <c r="F90" s="18" t="s">
        <v>877</v>
      </c>
      <c r="G90" s="18" t="s"/>
      <c r="H90" t="s">
        <f>=_xlfn.TEXTJOIN("-",TRUE,C90,D90,E90,F90,G90)</f>
        <v>266</v>
      </c>
      <c r="I90" t="s">
        <v>117</v>
      </c>
      <c r="J90">
        <v>2600</v>
      </c>
      <c r="K90" s="142" t="s">
        <v>944</v>
      </c>
    </row>
    <row r="91" spans="1:11">
      <c r="A91" s="140">
        <v>260010000171</v>
      </c>
      <c r="B91" s="18" t="s">
        <v>945</v>
      </c>
      <c r="C91" s="18" t="s">
        <v>821</v>
      </c>
      <c r="D91" s="18" t="s">
        <v>946</v>
      </c>
      <c r="E91" s="18" t="s">
        <v>649</v>
      </c>
      <c r="F91" s="18" t="s">
        <v>877</v>
      </c>
      <c r="G91" s="18" t="s"/>
      <c r="H91" t="s">
        <f>=_xlfn.TEXTJOIN("-",TRUE,C91,D91,E91,F91,G91)</f>
        <v>268</v>
      </c>
      <c r="I91" t="s">
        <v>117</v>
      </c>
      <c r="J91">
        <v>2600</v>
      </c>
      <c r="K91" s="142" t="s">
        <v>947</v>
      </c>
    </row>
    <row r="92" spans="1:8">
      <c r="A92" s="140">
        <v>260010000172</v>
      </c>
      <c r="B92" s="18" t="s">
        <v>948</v>
      </c>
      <c r="C92" s="18" t="s">
        <v>949</v>
      </c>
      <c r="D92" s="18" t="s">
        <v>950</v>
      </c>
      <c r="E92" s="18" t="s">
        <v>949</v>
      </c>
      <c r="F92" s="18" t="s">
        <v>877</v>
      </c>
      <c r="G92" s="18" t="s"/>
      <c r="H92" t="s">
        <f>=_xlfn.TEXTJOIN("-",TRUE,C92,D92,E92,F92,G92)</f>
        <v>951</v>
      </c>
    </row>
    <row r="93" spans="1:8">
      <c r="A93" s="140">
        <v>260010000173</v>
      </c>
      <c r="B93" s="18" t="s">
        <v>952</v>
      </c>
      <c r="C93" s="18" t="s">
        <v>12</v>
      </c>
      <c r="D93" s="18" t="s">
        <v>953</v>
      </c>
      <c r="E93" s="18" t="s">
        <v>12</v>
      </c>
      <c r="F93" s="18" t="s">
        <v>877</v>
      </c>
      <c r="G93" s="18" t="s">
        <v>12</v>
      </c>
      <c r="H93" t="s">
        <f>=_xlfn.TEXTJOIN("-",TRUE,C93,D93,E93,F93,G93)</f>
        <v>954</v>
      </c>
    </row>
    <row r="94" spans="1:8">
      <c r="A94" s="140">
        <v>260010000174</v>
      </c>
      <c r="B94" s="18" t="s">
        <v>955</v>
      </c>
      <c r="C94" s="18" t="s">
        <v>12</v>
      </c>
      <c r="D94" s="18" t="s">
        <v>956</v>
      </c>
      <c r="E94" s="18" t="s">
        <v>12</v>
      </c>
      <c r="F94" s="18" t="s">
        <v>877</v>
      </c>
      <c r="G94" s="18" t="s">
        <v>12</v>
      </c>
      <c r="H94" t="s">
        <f>=_xlfn.TEXTJOIN("-",TRUE,C94,D94,E94,F94,G94)</f>
        <v>957</v>
      </c>
    </row>
    <row r="95" spans="1:8">
      <c r="A95" s="140">
        <v>260010000175</v>
      </c>
      <c r="B95" s="18" t="s">
        <v>958</v>
      </c>
      <c r="C95" s="18" t="s">
        <v>12</v>
      </c>
      <c r="D95" s="18" t="s">
        <v>959</v>
      </c>
      <c r="E95" s="18" t="s">
        <v>12</v>
      </c>
      <c r="F95" s="18" t="s">
        <v>877</v>
      </c>
      <c r="G95" s="18" t="s">
        <v>12</v>
      </c>
      <c r="H95" t="s">
        <f>=_xlfn.TEXTJOIN("-",TRUE,C95,D95,E95,F95,G95)</f>
        <v>960</v>
      </c>
    </row>
    <row r="96" spans="1:8">
      <c r="A96" s="140">
        <v>260010000176</v>
      </c>
      <c r="B96" s="18" t="s">
        <v>961</v>
      </c>
      <c r="C96" s="18" t="s">
        <v>12</v>
      </c>
      <c r="D96" s="18" t="s">
        <v>962</v>
      </c>
      <c r="E96" s="18" t="s">
        <v>12</v>
      </c>
      <c r="F96" s="18" t="s">
        <v>877</v>
      </c>
      <c r="G96" s="18" t="s">
        <v>12</v>
      </c>
      <c r="H96" t="s">
        <f>=_xlfn.TEXTJOIN("-",TRUE,C96,D96,E96,F96,G96)</f>
        <v>963</v>
      </c>
    </row>
    <row r="97" spans="1:11">
      <c r="A97" s="140">
        <v>260010000177</v>
      </c>
      <c r="B97" s="18" t="s">
        <v>964</v>
      </c>
      <c r="C97" s="18" t="s">
        <v>660</v>
      </c>
      <c r="D97" s="18" t="s">
        <v>965</v>
      </c>
      <c r="E97" s="18" t="s">
        <v>649</v>
      </c>
      <c r="F97" s="18" t="s">
        <v>877</v>
      </c>
      <c r="G97" s="18" t="s">
        <v>966</v>
      </c>
      <c r="H97" t="s">
        <f>=_xlfn.TEXTJOIN("-",TRUE,C97,D97,E97,F97,G97)</f>
        <v>270</v>
      </c>
      <c r="I97" t="s">
        <v>117</v>
      </c>
      <c r="J97">
        <v>2600</v>
      </c>
      <c r="K97" s="142" t="s">
        <v>967</v>
      </c>
    </row>
    <row r="98" spans="1:11">
      <c r="A98" s="140">
        <v>260010000178</v>
      </c>
      <c r="B98" s="18" t="s">
        <v>968</v>
      </c>
      <c r="C98" s="18" t="s">
        <v>43</v>
      </c>
      <c r="D98" s="18" t="s">
        <v>865</v>
      </c>
      <c r="E98" s="18" t="s">
        <v>649</v>
      </c>
      <c r="F98" s="18" t="s">
        <v>877</v>
      </c>
      <c r="G98" s="18" t="s">
        <v>966</v>
      </c>
      <c r="H98" t="s">
        <f>=_xlfn.TEXTJOIN("-",TRUE,C98,D98,E98,F98,G98)</f>
        <v>271</v>
      </c>
      <c r="I98" t="s">
        <v>117</v>
      </c>
      <c r="J98">
        <v>2600</v>
      </c>
      <c r="K98" s="142" t="s">
        <v>969</v>
      </c>
    </row>
    <row r="99" spans="1:11">
      <c r="A99" s="140">
        <v>260010000179</v>
      </c>
      <c r="B99" s="18" t="s">
        <v>970</v>
      </c>
      <c r="C99" s="18" t="s">
        <v>43</v>
      </c>
      <c r="D99" s="18" t="s">
        <v>653</v>
      </c>
      <c r="E99" s="18" t="s">
        <v>649</v>
      </c>
      <c r="F99" s="18" t="s">
        <v>877</v>
      </c>
      <c r="G99" s="18" t="s">
        <v>966</v>
      </c>
      <c r="H99" t="s">
        <f>=_xlfn.TEXTJOIN("-",TRUE,C99,D99,E99,F99,G99)</f>
        <v>272</v>
      </c>
      <c r="I99" t="s">
        <v>117</v>
      </c>
      <c r="J99">
        <v>2600</v>
      </c>
      <c r="K99" s="142" t="s">
        <v>971</v>
      </c>
    </row>
    <row r="100" spans="1:11">
      <c r="A100" s="140">
        <v>260010000180</v>
      </c>
      <c r="B100" s="18" t="s">
        <v>972</v>
      </c>
      <c r="C100" s="18" t="s">
        <v>880</v>
      </c>
      <c r="D100" s="18" t="s">
        <v>881</v>
      </c>
      <c r="E100" s="18" t="s">
        <v>649</v>
      </c>
      <c r="F100" s="18" t="s">
        <v>877</v>
      </c>
      <c r="G100" s="18" t="s">
        <v>966</v>
      </c>
      <c r="H100" t="s">
        <f>=_xlfn.TEXTJOIN("-",TRUE,C100,D100,E100,F100,G100)</f>
        <v>273</v>
      </c>
      <c r="I100" t="s">
        <v>117</v>
      </c>
      <c r="J100">
        <v>2600</v>
      </c>
      <c r="K100" s="142" t="s">
        <v>973</v>
      </c>
    </row>
    <row r="101" spans="1:8">
      <c r="A101" s="140">
        <v>260110000004</v>
      </c>
      <c r="B101" s="18" t="s">
        <v>974</v>
      </c>
      <c r="C101" s="18" t="s">
        <v>15</v>
      </c>
      <c r="D101" s="18" t="s">
        <v>16</v>
      </c>
      <c r="E101" s="18" t="s">
        <v>17</v>
      </c>
      <c r="F101" s="18" t="s">
        <v>18</v>
      </c>
      <c r="G101" s="18" t="s"/>
      <c r="H101" t="s">
        <f>=_xlfn.TEXTJOIN("-",TRUE,C101,D101,E101,F101,G101)</f>
        <v>19</v>
      </c>
    </row>
    <row r="102" spans="1:8">
      <c r="A102" s="140">
        <v>260110000005</v>
      </c>
      <c r="B102" s="18" t="s">
        <v>975</v>
      </c>
      <c r="C102" s="18" t="s">
        <v>15</v>
      </c>
      <c r="D102" s="18" t="s">
        <v>20</v>
      </c>
      <c r="E102" s="18" t="s">
        <v>17</v>
      </c>
      <c r="F102" s="18" t="s">
        <v>18</v>
      </c>
      <c r="G102" s="18" t="s"/>
      <c r="H102" t="s">
        <f>=_xlfn.TEXTJOIN("-",TRUE,C102,D102,E102,F102,G102)</f>
        <v>21</v>
      </c>
    </row>
    <row r="103" spans="1:8">
      <c r="A103" s="140">
        <v>260110000006</v>
      </c>
      <c r="B103" s="18" t="s">
        <v>976</v>
      </c>
      <c r="C103" s="18" t="s">
        <v>15</v>
      </c>
      <c r="D103" s="18" t="s">
        <v>22</v>
      </c>
      <c r="E103" s="18" t="s">
        <v>17</v>
      </c>
      <c r="F103" s="18" t="s">
        <v>18</v>
      </c>
      <c r="G103" s="18" t="s"/>
      <c r="H103" t="s">
        <f>=_xlfn.TEXTJOIN("-",TRUE,C103,D103,E103,F103,G103)</f>
        <v>23</v>
      </c>
    </row>
    <row r="104" spans="1:8">
      <c r="A104" s="140">
        <v>260110000009</v>
      </c>
      <c r="B104" s="18" t="s">
        <v>977</v>
      </c>
      <c r="C104" s="18" t="s">
        <v>24</v>
      </c>
      <c r="D104" s="18" t="s">
        <v>25</v>
      </c>
      <c r="E104" s="18" t="s">
        <v>17</v>
      </c>
      <c r="F104" s="18" t="s">
        <v>18</v>
      </c>
      <c r="G104" s="18" t="s"/>
      <c r="H104" t="s">
        <f>=_xlfn.TEXTJOIN("-",TRUE,C104,D104,E104,F104,G104)</f>
        <v>26</v>
      </c>
    </row>
    <row r="105" spans="1:8">
      <c r="A105" s="140">
        <v>260110000010</v>
      </c>
      <c r="B105" s="18" t="s">
        <v>978</v>
      </c>
      <c r="C105" s="18" t="s">
        <v>27</v>
      </c>
      <c r="D105" s="18" t="s">
        <v>28</v>
      </c>
      <c r="E105" s="18" t="s">
        <v>17</v>
      </c>
      <c r="F105" s="18" t="s">
        <v>18</v>
      </c>
      <c r="G105" s="18" t="s"/>
      <c r="H105" t="s">
        <f>=_xlfn.TEXTJOIN("-",TRUE,C105,D105,E105,F105,G105)</f>
        <v>29</v>
      </c>
    </row>
    <row r="106" spans="1:8">
      <c r="A106" s="140">
        <v>260110000011</v>
      </c>
      <c r="B106" s="18" t="s">
        <v>979</v>
      </c>
      <c r="C106" s="18" t="s">
        <v>27</v>
      </c>
      <c r="D106" s="18" t="s">
        <v>30</v>
      </c>
      <c r="E106" s="18" t="s">
        <v>17</v>
      </c>
      <c r="F106" s="18" t="s">
        <v>18</v>
      </c>
      <c r="G106" s="18" t="s"/>
      <c r="H106" t="s">
        <f>=_xlfn.TEXTJOIN("-",TRUE,C106,D106,E106,F106,G106)</f>
        <v>31</v>
      </c>
    </row>
    <row r="107" spans="1:8">
      <c r="A107" s="140">
        <v>260110000012</v>
      </c>
      <c r="B107" s="18" t="s">
        <v>980</v>
      </c>
      <c r="C107" s="18" t="s">
        <v>981</v>
      </c>
      <c r="D107" s="18" t="s">
        <v>33</v>
      </c>
      <c r="E107" s="18" t="s">
        <v>17</v>
      </c>
      <c r="F107" s="18" t="s">
        <v>34</v>
      </c>
      <c r="G107" s="18" t="s"/>
      <c r="H107" t="s">
        <f>=_xlfn.TEXTJOIN("-",TRUE,C107,D107,E107,F107,G107)</f>
        <v>982</v>
      </c>
    </row>
    <row r="108" spans="1:8">
      <c r="A108" s="140">
        <v>260110000018</v>
      </c>
      <c r="B108" s="18" t="s">
        <v>983</v>
      </c>
      <c r="C108" s="18" t="s">
        <v>36</v>
      </c>
      <c r="D108" s="18" t="s">
        <v>37</v>
      </c>
      <c r="E108" s="18" t="s">
        <v>17</v>
      </c>
      <c r="F108" s="18" t="s">
        <v>18</v>
      </c>
      <c r="G108" s="18" t="s"/>
      <c r="H108" t="s">
        <f>=_xlfn.TEXTJOIN("-",TRUE,C108,D108,E108,F108,G108)</f>
        <v>38</v>
      </c>
    </row>
    <row r="109" spans="1:8">
      <c r="A109" s="140">
        <v>260110000019</v>
      </c>
      <c r="B109" s="18" t="s">
        <v>984</v>
      </c>
      <c r="C109" s="18" t="s">
        <v>36</v>
      </c>
      <c r="D109" s="18" t="s">
        <v>39</v>
      </c>
      <c r="E109" s="18" t="s">
        <v>17</v>
      </c>
      <c r="F109" s="18" t="s">
        <v>18</v>
      </c>
      <c r="G109" s="18" t="s"/>
      <c r="H109" t="s">
        <f>=_xlfn.TEXTJOIN("-",TRUE,C109,D109,E109,F109,G109)</f>
        <v>40</v>
      </c>
    </row>
    <row r="110" spans="1:8">
      <c r="A110" s="140">
        <v>260110000020</v>
      </c>
      <c r="B110" s="18" t="s">
        <v>985</v>
      </c>
      <c r="C110" s="18" t="s">
        <v>27</v>
      </c>
      <c r="D110" s="18" t="s">
        <v>986</v>
      </c>
      <c r="E110" s="18" t="s">
        <v>17</v>
      </c>
      <c r="F110" s="18" t="s">
        <v>18</v>
      </c>
      <c r="G110" s="18" t="s"/>
      <c r="H110" t="s">
        <f>=_xlfn.TEXTJOIN("-",TRUE,C110,D110,E110,F110,G110)</f>
        <v>987</v>
      </c>
    </row>
    <row r="111" spans="1:8">
      <c r="A111" s="140">
        <v>260110000021</v>
      </c>
      <c r="B111" s="18" t="s">
        <v>988</v>
      </c>
      <c r="C111" s="18" t="s">
        <v>929</v>
      </c>
      <c r="D111" s="18" t="s">
        <v>989</v>
      </c>
      <c r="E111" s="18" t="s">
        <v>17</v>
      </c>
      <c r="F111" s="18" t="s">
        <v>990</v>
      </c>
      <c r="G111" s="18" t="s"/>
      <c r="H111" t="s">
        <f>=_xlfn.TEXTJOIN("-",TRUE,C111,D111,E111,F111,G111)</f>
        <v>991</v>
      </c>
    </row>
    <row r="112" spans="1:8">
      <c r="A112" s="140">
        <v>260110000022</v>
      </c>
      <c r="B112" s="18" t="s">
        <v>992</v>
      </c>
      <c r="C112" s="18" t="s">
        <v>27</v>
      </c>
      <c r="D112" s="18" t="s">
        <v>41</v>
      </c>
      <c r="E112" s="18" t="s">
        <v>17</v>
      </c>
      <c r="F112" s="18" t="s">
        <v>18</v>
      </c>
      <c r="G112" s="18" t="s"/>
      <c r="H112" t="s">
        <f>=_xlfn.TEXTJOIN("-",TRUE,C112,D112,E112,F112,G112)</f>
        <v>42</v>
      </c>
    </row>
    <row r="113" spans="1:8">
      <c r="A113" s="140">
        <v>260110000024</v>
      </c>
      <c r="B113" s="18" t="s">
        <v>993</v>
      </c>
      <c r="C113" s="18" t="s">
        <v>43</v>
      </c>
      <c r="D113" s="18" t="s">
        <v>44</v>
      </c>
      <c r="E113" s="18" t="s">
        <v>17</v>
      </c>
      <c r="F113" s="18" t="s">
        <v>45</v>
      </c>
      <c r="G113" s="18" t="s"/>
      <c r="H113" t="s">
        <f>=_xlfn.TEXTJOIN("-",TRUE,C113,D113,E113,F113,G113)</f>
        <v>46</v>
      </c>
    </row>
    <row r="114" spans="1:8">
      <c r="A114" s="140">
        <v>260110000025</v>
      </c>
      <c r="B114" s="18" t="s">
        <v>994</v>
      </c>
      <c r="C114" s="18" t="s">
        <v>43</v>
      </c>
      <c r="D114" s="18" t="s">
        <v>995</v>
      </c>
      <c r="E114" s="18" t="s">
        <v>17</v>
      </c>
      <c r="F114" s="18" t="s">
        <v>45</v>
      </c>
      <c r="G114" s="18" t="s"/>
      <c r="H114" t="s">
        <f>=_xlfn.TEXTJOIN("-",TRUE,C114,D114,E114,F114,G114)</f>
        <v>996</v>
      </c>
    </row>
    <row r="115" spans="1:8">
      <c r="A115" s="140">
        <v>260110000026</v>
      </c>
      <c r="B115" s="18" t="s">
        <v>997</v>
      </c>
      <c r="C115" s="18">
        <v>0</v>
      </c>
      <c r="D115" s="18" t="s"/>
      <c r="E115" s="18" t="s"/>
      <c r="F115" s="18" t="s"/>
      <c r="G115" s="18" t="s"/>
      <c r="H115" t="s">
        <f>=_xlfn.TEXTJOIN("-",TRUE,C115,D115,E115,F115,G115)</f>
        <v>998</v>
      </c>
    </row>
    <row r="116" spans="1:8">
      <c r="A116" s="140">
        <v>260110000027</v>
      </c>
      <c r="B116" s="18" t="s">
        <v>999</v>
      </c>
      <c r="C116" s="18" t="s">
        <v>27</v>
      </c>
      <c r="D116" s="18" t="s">
        <v>1000</v>
      </c>
      <c r="E116" s="18" t="s">
        <v>17</v>
      </c>
      <c r="F116" s="18" t="s">
        <v>18</v>
      </c>
      <c r="G116" s="18" t="s"/>
      <c r="H116" t="s">
        <f>=_xlfn.TEXTJOIN("-",TRUE,C116,D116,E116,F116,G116)</f>
        <v>1001</v>
      </c>
    </row>
    <row r="117" spans="1:8">
      <c r="A117" s="140">
        <v>260110000028</v>
      </c>
      <c r="B117" s="18" t="s">
        <v>1002</v>
      </c>
      <c r="C117" s="18" t="s">
        <v>57</v>
      </c>
      <c r="D117" s="18" t="s">
        <v>1003</v>
      </c>
      <c r="E117" s="18" t="s">
        <v>17</v>
      </c>
      <c r="F117" s="18" t="s">
        <v>18</v>
      </c>
      <c r="G117" s="18" t="s"/>
      <c r="H117" t="s">
        <f>=_xlfn.TEXTJOIN("-",TRUE,C117,D117,E117,F117,G117)</f>
        <v>1004</v>
      </c>
    </row>
    <row r="118" spans="1:8">
      <c r="A118" s="140">
        <v>260110000032</v>
      </c>
      <c r="B118" s="18" t="s">
        <v>1005</v>
      </c>
      <c r="C118" s="18" t="s">
        <v>27</v>
      </c>
      <c r="D118" s="18" t="s">
        <v>51</v>
      </c>
      <c r="E118" s="18" t="s">
        <v>17</v>
      </c>
      <c r="F118" s="18" t="s">
        <v>18</v>
      </c>
      <c r="G118" s="18" t="s"/>
      <c r="H118" t="s">
        <f>=_xlfn.TEXTJOIN("-",TRUE,C118,D118,E118,F118,G118)</f>
        <v>52</v>
      </c>
    </row>
    <row r="119" spans="1:8">
      <c r="A119" s="140">
        <v>260110000034</v>
      </c>
      <c r="B119" s="18" t="s">
        <v>1006</v>
      </c>
      <c r="C119" s="18" t="s">
        <v>1007</v>
      </c>
      <c r="D119" s="18" t="s">
        <v>73</v>
      </c>
      <c r="E119" s="18" t="s">
        <v>17</v>
      </c>
      <c r="F119" s="18" t="s">
        <v>34</v>
      </c>
      <c r="G119" s="18" t="s"/>
      <c r="H119" t="s">
        <f>=_xlfn.TEXTJOIN("-",TRUE,C119,D119,E119,F119,G119)</f>
        <v>131</v>
      </c>
    </row>
    <row r="120" spans="1:8">
      <c r="A120" s="140">
        <v>260110000037</v>
      </c>
      <c r="B120" s="18" t="s">
        <v>1008</v>
      </c>
      <c r="C120" s="18" t="s">
        <v>60</v>
      </c>
      <c r="D120" s="18" t="s">
        <v>61</v>
      </c>
      <c r="E120" s="18" t="s">
        <v>17</v>
      </c>
      <c r="F120" s="18" t="s">
        <v>18</v>
      </c>
      <c r="G120" s="18" t="s"/>
      <c r="H120" t="s">
        <f>=_xlfn.TEXTJOIN("-",TRUE,C120,D120,E120,F120,G120)</f>
        <v>62</v>
      </c>
    </row>
    <row r="121" spans="1:8">
      <c r="A121" s="140">
        <v>260110000039</v>
      </c>
      <c r="B121" s="18" t="s">
        <v>1009</v>
      </c>
      <c r="C121" s="18">
        <v>0</v>
      </c>
      <c r="D121" s="18" t="s"/>
      <c r="E121" s="18" t="s"/>
      <c r="F121" s="18" t="s"/>
      <c r="G121" s="18" t="s"/>
      <c r="H121" t="s">
        <f>=_xlfn.TEXTJOIN("-",TRUE,C121,D121,E121,F121,G121)</f>
        <v>998</v>
      </c>
    </row>
    <row r="122" spans="1:8">
      <c r="A122" s="140">
        <v>260110000040</v>
      </c>
      <c r="B122" s="18" t="s">
        <v>1010</v>
      </c>
      <c r="C122" s="18" t="s">
        <v>728</v>
      </c>
      <c r="D122" s="18" t="s">
        <v>33</v>
      </c>
      <c r="E122" s="18" t="s">
        <v>17</v>
      </c>
      <c r="F122" s="18" t="s">
        <v>34</v>
      </c>
      <c r="G122" s="18" t="s"/>
      <c r="H122" t="s">
        <f>=_xlfn.TEXTJOIN("-",TRUE,C122,D122,E122,F122,G122)</f>
        <v>1011</v>
      </c>
    </row>
    <row r="123" spans="1:11">
      <c r="A123" s="140">
        <v>260110000043</v>
      </c>
      <c r="B123" s="18" t="s">
        <v>1012</v>
      </c>
      <c r="C123" s="18" t="s">
        <v>27</v>
      </c>
      <c r="D123" s="18" t="s">
        <v>70</v>
      </c>
      <c r="E123" s="18" t="s">
        <v>17</v>
      </c>
      <c r="F123" s="18" t="s">
        <v>18</v>
      </c>
      <c r="G123" s="18" t="s"/>
      <c r="H123" t="s">
        <f>=_xlfn.TEXTJOIN("-",TRUE,C123,D123,E123,F123,G123)</f>
        <v>71</v>
      </c>
      <c r="I123" t="s">
        <v>117</v>
      </c>
      <c r="J123">
        <v>2601</v>
      </c>
      <c r="K123" s="142" t="s">
        <v>1013</v>
      </c>
    </row>
    <row r="124" spans="1:11">
      <c r="A124" s="140">
        <v>260110000046</v>
      </c>
      <c r="B124" s="18" t="s">
        <v>1014</v>
      </c>
      <c r="C124" s="18" t="s">
        <v>27</v>
      </c>
      <c r="D124" s="18" t="s">
        <v>77</v>
      </c>
      <c r="E124" s="18" t="s">
        <v>17</v>
      </c>
      <c r="F124" s="18" t="s">
        <v>18</v>
      </c>
      <c r="G124" s="18" t="s"/>
      <c r="H124" t="s">
        <f>=_xlfn.TEXTJOIN("-",TRUE,C124,D124,E124,F124,G124)</f>
        <v>78</v>
      </c>
      <c r="I124" t="s">
        <v>117</v>
      </c>
      <c r="J124">
        <v>2601</v>
      </c>
      <c r="K124" s="142" t="s">
        <v>1015</v>
      </c>
    </row>
    <row r="125" spans="1:11">
      <c r="A125" s="140">
        <v>260110000047</v>
      </c>
      <c r="B125" s="18" t="s">
        <v>1016</v>
      </c>
      <c r="C125" s="18" t="s">
        <v>27</v>
      </c>
      <c r="D125" s="18" t="s">
        <v>738</v>
      </c>
      <c r="E125" s="18" t="s">
        <v>17</v>
      </c>
      <c r="F125" s="18" t="s">
        <v>18</v>
      </c>
      <c r="G125" s="18" t="s"/>
      <c r="H125" t="s">
        <f>=_xlfn.TEXTJOIN("-",TRUE,C125,D125,E125,F125,G125)</f>
        <v>276</v>
      </c>
      <c r="I125" t="s">
        <v>117</v>
      </c>
      <c r="J125">
        <v>2601</v>
      </c>
      <c r="K125" s="142" t="s">
        <v>1017</v>
      </c>
    </row>
    <row r="126" spans="1:12">
      <c r="A126" s="154">
        <v>262110000048</v>
      </c>
      <c r="B126" s="155" t="s">
        <v>1018</v>
      </c>
      <c r="C126" s="155" t="s">
        <v>929</v>
      </c>
      <c r="D126" s="155" t="s">
        <v>79</v>
      </c>
      <c r="E126" s="155" t="s">
        <v>17</v>
      </c>
      <c r="F126" s="155" t="s">
        <v>49</v>
      </c>
      <c r="G126" s="155" t="s"/>
      <c r="H126" s="156" t="s">
        <v>279</v>
      </c>
      <c r="I126" t="s">
        <v>117</v>
      </c>
      <c r="J126" s="156">
        <v>2621</v>
      </c>
      <c r="K126" s="149" t="s">
        <v>1019</v>
      </c>
      <c r="L126" s="156" t="s"/>
    </row>
    <row r="127" spans="1:8">
      <c r="A127" s="140">
        <v>260110000049</v>
      </c>
      <c r="B127" s="18" t="s">
        <v>1020</v>
      </c>
      <c r="C127" s="18" t="s">
        <v>36</v>
      </c>
      <c r="D127" s="18" t="s">
        <v>81</v>
      </c>
      <c r="E127" s="18" t="s">
        <v>17</v>
      </c>
      <c r="F127" s="18" t="s">
        <v>82</v>
      </c>
      <c r="G127" s="18" t="s"/>
      <c r="H127" t="s">
        <f>=_xlfn.TEXTJOIN("-",TRUE,C127,D127,E127,F127,G127)</f>
        <v>83</v>
      </c>
    </row>
    <row r="128" spans="1:11">
      <c r="A128" s="140">
        <v>260110000050</v>
      </c>
      <c r="B128" s="18" t="s">
        <v>1021</v>
      </c>
      <c r="C128" s="18" t="s">
        <v>905</v>
      </c>
      <c r="D128" s="18" t="s">
        <v>85</v>
      </c>
      <c r="E128" s="18" t="s">
        <v>17</v>
      </c>
      <c r="F128" s="18" t="s">
        <v>45</v>
      </c>
      <c r="G128" s="18" t="s"/>
      <c r="H128" t="s">
        <f>=_xlfn.TEXTJOIN("-",TRUE,C128,D128,E128,F128,G128)</f>
        <v>1022</v>
      </c>
      <c r="I128" t="s">
        <v>117</v>
      </c>
      <c r="J128">
        <v>2604</v>
      </c>
      <c r="K128" s="142" t="s">
        <v>1023</v>
      </c>
    </row>
    <row r="129" spans="1:8">
      <c r="A129" s="140">
        <v>260110000051</v>
      </c>
      <c r="B129" s="18" t="s">
        <v>1024</v>
      </c>
      <c r="C129" s="18" t="s">
        <v>87</v>
      </c>
      <c r="D129" s="18" t="s">
        <v>88</v>
      </c>
      <c r="E129" s="18" t="s">
        <v>89</v>
      </c>
      <c r="F129" s="18" t="s">
        <v>34</v>
      </c>
      <c r="G129" s="18" t="s"/>
      <c r="H129" t="s">
        <f>=_xlfn.TEXTJOIN("-",TRUE,C129,D129,E129,F129,G129)</f>
        <v>90</v>
      </c>
    </row>
    <row r="130" spans="1:8">
      <c r="A130" s="140">
        <v>260110000052</v>
      </c>
      <c r="B130" s="18" t="s">
        <v>1025</v>
      </c>
      <c r="C130" s="18" t="s">
        <v>87</v>
      </c>
      <c r="D130" s="18" t="s">
        <v>91</v>
      </c>
      <c r="E130" s="18" t="s">
        <v>92</v>
      </c>
      <c r="F130" s="18" t="s">
        <v>34</v>
      </c>
      <c r="G130" s="18" t="s"/>
      <c r="H130" t="s">
        <f>=_xlfn.TEXTJOIN("-",TRUE,C130,D130,E130,F130,G130)</f>
        <v>93</v>
      </c>
    </row>
    <row r="131" spans="1:11">
      <c r="A131" s="140">
        <v>260110000058</v>
      </c>
      <c r="B131" s="18" t="s">
        <v>1026</v>
      </c>
      <c r="C131" s="18" t="s">
        <v>27</v>
      </c>
      <c r="D131" s="18" t="s">
        <v>1027</v>
      </c>
      <c r="E131" s="150" t="s">
        <v>17</v>
      </c>
      <c r="F131" s="18" t="s">
        <v>18</v>
      </c>
      <c r="G131" s="18" t="s"/>
      <c r="H131" t="s">
        <f>=_xlfn.TEXTJOIN("-",TRUE,C131,D131,E131,F131,G131)</f>
        <v>283</v>
      </c>
      <c r="I131" t="s">
        <v>117</v>
      </c>
      <c r="J131">
        <v>2601</v>
      </c>
      <c r="K131" s="142" t="s">
        <v>1028</v>
      </c>
    </row>
    <row r="132" spans="1:11">
      <c r="A132" s="140">
        <v>261110000099</v>
      </c>
      <c r="B132" s="18" t="s">
        <v>285</v>
      </c>
      <c r="C132" s="18" t="s">
        <v>839</v>
      </c>
      <c r="D132" s="18" t="s">
        <v>840</v>
      </c>
      <c r="E132" s="150" t="s">
        <v>10</v>
      </c>
      <c r="F132" s="18" t="s">
        <v>1029</v>
      </c>
      <c r="G132" s="18" t="s"/>
      <c r="H132" t="s">
        <f>=_xlfn.TEXTJOIN("-",TRUE,C132,D132,E132,F132,G132)</f>
        <v>285</v>
      </c>
      <c r="I132" t="s">
        <v>117</v>
      </c>
      <c r="J132">
        <v>2617</v>
      </c>
      <c r="K132" s="142" t="s">
        <v>1030</v>
      </c>
    </row>
    <row r="133" spans="1:11">
      <c r="A133" s="140">
        <v>261110000100</v>
      </c>
      <c r="B133" s="18" t="s">
        <v>287</v>
      </c>
      <c r="C133" s="18" t="s">
        <v>1031</v>
      </c>
      <c r="D133" s="18" t="s">
        <v>1032</v>
      </c>
      <c r="E133" s="18" t="s">
        <v>940</v>
      </c>
      <c r="F133" s="18" t="s">
        <v>1029</v>
      </c>
      <c r="G133" s="18" t="s"/>
      <c r="H133" t="s">
        <f>=_xlfn.TEXTJOIN("-",TRUE,C133,D133,E133,F133,G133)</f>
        <v>287</v>
      </c>
      <c r="I133" t="s">
        <v>117</v>
      </c>
      <c r="J133">
        <v>2617</v>
      </c>
      <c r="K133" s="142" t="s">
        <v>1033</v>
      </c>
    </row>
    <row r="134" spans="1:11">
      <c r="A134" s="140">
        <v>261110000107</v>
      </c>
      <c r="B134" s="18" t="s">
        <v>290</v>
      </c>
      <c r="C134" s="18" t="s">
        <v>839</v>
      </c>
      <c r="D134" s="18" t="s">
        <v>1034</v>
      </c>
      <c r="E134" s="150" t="s">
        <v>10</v>
      </c>
      <c r="F134" s="18" t="s">
        <v>1029</v>
      </c>
      <c r="G134" s="18" t="s"/>
      <c r="H134" t="s">
        <f>=_xlfn.TEXTJOIN("-",TRUE,C134,D134,E134,F134,G134)</f>
        <v>290</v>
      </c>
      <c r="I134" t="s">
        <v>117</v>
      </c>
      <c r="J134">
        <v>2617</v>
      </c>
      <c r="K134" s="142" t="s">
        <v>1035</v>
      </c>
    </row>
    <row r="135" spans="1:11">
      <c r="A135" s="140">
        <v>261710000001</v>
      </c>
      <c r="B135" s="18" t="s">
        <v>292</v>
      </c>
      <c r="C135" s="18" t="s">
        <v>839</v>
      </c>
      <c r="D135" s="18" t="s">
        <v>846</v>
      </c>
      <c r="E135" s="150" t="s">
        <v>10</v>
      </c>
      <c r="F135" s="18" t="s">
        <v>1029</v>
      </c>
      <c r="G135" s="18" t="s"/>
      <c r="H135" t="s">
        <f>=_xlfn.TEXTJOIN("-",TRUE,C135,D135,E135,F135,G135)</f>
        <v>292</v>
      </c>
      <c r="I135" t="s">
        <v>117</v>
      </c>
      <c r="J135">
        <v>2617</v>
      </c>
      <c r="K135" s="142" t="s">
        <v>1036</v>
      </c>
    </row>
    <row r="136" spans="1:8">
      <c r="A136" s="140">
        <v>262010000002</v>
      </c>
      <c r="B136" s="18" t="s">
        <v>1037</v>
      </c>
      <c r="C136" s="18" t="s">
        <v>36</v>
      </c>
      <c r="D136" s="18" t="s">
        <v>1038</v>
      </c>
      <c r="E136" s="18" t="s">
        <v>17</v>
      </c>
      <c r="F136" s="18" t="s">
        <v>55</v>
      </c>
      <c r="G136" s="18" t="s"/>
      <c r="H136" t="s">
        <f>=_xlfn.TEXTJOIN("-",TRUE,C136,D136,E136,F136,G136)</f>
        <v>1039</v>
      </c>
    </row>
    <row r="137" spans="1:8">
      <c r="A137" s="140">
        <v>262010000003</v>
      </c>
      <c r="B137" s="18" t="s">
        <v>1040</v>
      </c>
      <c r="C137" s="18" t="s">
        <v>36</v>
      </c>
      <c r="D137" s="18" t="s">
        <v>1041</v>
      </c>
      <c r="E137" s="18" t="s">
        <v>17</v>
      </c>
      <c r="F137" s="18" t="s">
        <v>55</v>
      </c>
      <c r="G137" s="18" t="s"/>
      <c r="H137" t="s">
        <f>=_xlfn.TEXTJOIN("-",TRUE,C137,D137,E137,F137,G137)</f>
        <v>1042</v>
      </c>
    </row>
    <row r="138" spans="1:8">
      <c r="A138" s="140">
        <v>262010000004</v>
      </c>
      <c r="B138" s="18" t="s">
        <v>1043</v>
      </c>
      <c r="C138" s="18" t="s">
        <v>36</v>
      </c>
      <c r="D138" s="18" t="s">
        <v>54</v>
      </c>
      <c r="E138" s="18" t="s">
        <v>17</v>
      </c>
      <c r="F138" s="18" t="s">
        <v>55</v>
      </c>
      <c r="G138" s="18" t="s"/>
      <c r="H138" t="s">
        <f>=_xlfn.TEXTJOIN("-",TRUE,C138,D138,E138,F138,G138)</f>
        <v>1044</v>
      </c>
    </row>
    <row r="139" spans="1:8">
      <c r="A139" s="140">
        <v>262010000005</v>
      </c>
      <c r="B139" s="18" t="s">
        <v>1045</v>
      </c>
      <c r="C139" s="18" t="s">
        <v>43</v>
      </c>
      <c r="D139" s="18" t="s">
        <v>1046</v>
      </c>
      <c r="E139" s="18" t="s">
        <v>17</v>
      </c>
      <c r="F139" s="18" t="s">
        <v>55</v>
      </c>
      <c r="G139" s="18" t="s"/>
      <c r="H139" t="s">
        <f>=_xlfn.TEXTJOIN("-",TRUE,C139,D139,E139,F139,G139)</f>
        <v>1047</v>
      </c>
    </row>
    <row r="140" spans="1:8">
      <c r="A140" s="140">
        <v>262010000006</v>
      </c>
      <c r="B140" s="18" t="s">
        <v>1048</v>
      </c>
      <c r="C140" s="18" t="s">
        <v>57</v>
      </c>
      <c r="D140" s="18" t="s">
        <v>58</v>
      </c>
      <c r="E140" s="18" t="s">
        <v>17</v>
      </c>
      <c r="F140" s="18" t="s">
        <v>49</v>
      </c>
      <c r="G140" s="18" t="s"/>
      <c r="H140" t="s">
        <f>=_xlfn.TEXTJOIN("-",TRUE,C140,D140,E140,F140,G140)</f>
        <v>59</v>
      </c>
    </row>
    <row r="141" spans="1:8">
      <c r="A141" s="140">
        <v>262110000001</v>
      </c>
      <c r="B141" s="18" t="s">
        <v>1049</v>
      </c>
      <c r="C141" s="18" t="s">
        <v>929</v>
      </c>
      <c r="D141" s="18" t="s">
        <v>1050</v>
      </c>
      <c r="E141" s="18" t="s">
        <v>17</v>
      </c>
      <c r="F141" s="18" t="s">
        <v>49</v>
      </c>
      <c r="G141" s="18" t="s"/>
      <c r="H141" t="s">
        <f>=_xlfn.TEXTJOIN("-",TRUE,C141,D141,E141,F141,G141)</f>
        <v>1051</v>
      </c>
    </row>
    <row r="142" spans="1:8">
      <c r="A142" s="140">
        <v>262110000002</v>
      </c>
      <c r="B142" s="18" t="s">
        <v>1052</v>
      </c>
      <c r="C142" s="18" t="s">
        <v>1053</v>
      </c>
      <c r="D142" s="18" t="s">
        <v>1054</v>
      </c>
      <c r="E142" s="18" t="s">
        <v>17</v>
      </c>
      <c r="F142" s="18" t="s">
        <v>49</v>
      </c>
      <c r="G142" s="18" t="s"/>
      <c r="H142" t="s">
        <f>=_xlfn.TEXTJOIN("-",TRUE,C142,D142,E142,F142,G142)</f>
        <v>1055</v>
      </c>
    </row>
    <row r="143" spans="1:12">
      <c r="A143" s="140">
        <v>262110000003</v>
      </c>
      <c r="B143" s="18" t="s">
        <v>1056</v>
      </c>
      <c r="C143" s="18" t="s">
        <v>929</v>
      </c>
      <c r="D143" s="18" t="s">
        <v>68</v>
      </c>
      <c r="E143" s="18" t="s">
        <v>17</v>
      </c>
      <c r="F143" s="18" t="s">
        <v>49</v>
      </c>
      <c r="G143" s="18" t="s"/>
      <c r="H143" t="s">
        <f>=_xlfn.TEXTJOIN("-",TRUE,C143,D143,E143,F143,G143)</f>
        <v>1057</v>
      </c>
      <c r="K143" s="18" t="s"/>
      <c r="L143" s="18" t="s"/>
    </row>
    <row r="144" spans="1:11">
      <c r="A144" s="140">
        <v>262110000004</v>
      </c>
      <c r="B144" s="18" t="s">
        <v>1058</v>
      </c>
      <c r="C144" s="18" t="s">
        <v>905</v>
      </c>
      <c r="D144" s="18" t="s">
        <v>1059</v>
      </c>
      <c r="E144" s="18" t="s">
        <v>17</v>
      </c>
      <c r="F144" s="141" t="s">
        <v>65</v>
      </c>
      <c r="G144" s="18" t="s"/>
      <c r="H144" t="s">
        <f>=_xlfn.TEXTJOIN("-",TRUE(),C144,D144,E144,F144,G144)</f>
        <v>294</v>
      </c>
      <c r="I144" t="s">
        <v>117</v>
      </c>
      <c r="J144" s="156">
        <v>2624</v>
      </c>
      <c r="K144" s="142" t="s">
        <v>1060</v>
      </c>
    </row>
    <row r="145" spans="1:11">
      <c r="A145" s="140">
        <v>262110000006</v>
      </c>
      <c r="B145" s="18" t="s">
        <v>1061</v>
      </c>
      <c r="C145" s="18" t="s">
        <v>905</v>
      </c>
      <c r="D145" s="18" t="s">
        <v>75</v>
      </c>
      <c r="E145" s="18" t="s">
        <v>17</v>
      </c>
      <c r="F145" s="141" t="s">
        <v>65</v>
      </c>
      <c r="G145" s="18" t="s"/>
      <c r="H145" t="s">
        <f>=_xlfn.TEXTJOIN("-",TRUE,C145,D145,E145,F145,G145)</f>
        <v>296</v>
      </c>
      <c r="I145" t="s">
        <v>117</v>
      </c>
      <c r="J145" s="156">
        <v>2624</v>
      </c>
      <c r="K145" s="142" t="s">
        <v>1062</v>
      </c>
    </row>
    <row r="146" spans="1:8">
      <c r="A146" s="140">
        <v>262110000007</v>
      </c>
      <c r="B146" s="18" t="s">
        <v>1018</v>
      </c>
      <c r="C146" s="18" t="s">
        <v>929</v>
      </c>
      <c r="D146" s="18" t="s">
        <v>79</v>
      </c>
      <c r="E146" s="18" t="s">
        <v>17</v>
      </c>
      <c r="F146" s="18" t="s">
        <v>49</v>
      </c>
      <c r="G146" s="18" t="s"/>
      <c r="H146" t="s">
        <f>=_xlfn.TEXTJOIN("-",TRUE,C146,D146,E146,F146,G146)</f>
        <v>279</v>
      </c>
    </row>
    <row r="147" spans="1:8">
      <c r="A147" s="140">
        <v>263110000000</v>
      </c>
      <c r="B147" s="18" t="s">
        <v>1063</v>
      </c>
      <c r="C147" s="18" t="s">
        <v>1064</v>
      </c>
      <c r="D147" s="18" t="s">
        <v>1065</v>
      </c>
      <c r="E147" s="18" t="s">
        <v>1066</v>
      </c>
      <c r="F147" s="18" t="s">
        <v>1067</v>
      </c>
      <c r="G147" s="18" t="s"/>
      <c r="H147" t="s">
        <f>=_xlfn.TEXTJOIN("-",TRUE,C147,D147,E147,F147,G147)</f>
        <v>1068</v>
      </c>
    </row>
    <row r="148" spans="1:8">
      <c r="A148" s="140">
        <v>263110000001</v>
      </c>
      <c r="B148" s="18" t="s">
        <v>1069</v>
      </c>
      <c r="C148" s="18" t="s">
        <v>1064</v>
      </c>
      <c r="D148" s="18" t="s">
        <v>1065</v>
      </c>
      <c r="E148" s="18" t="s">
        <v>871</v>
      </c>
      <c r="F148" s="18" t="s">
        <v>1067</v>
      </c>
      <c r="G148" s="18" t="s"/>
      <c r="H148" t="s">
        <f>=_xlfn.TEXTJOIN("-",TRUE,C148,D148,E148,F148,G148)</f>
        <v>1070</v>
      </c>
    </row>
    <row r="149" spans="1:8">
      <c r="A149" s="140">
        <v>263110000002</v>
      </c>
      <c r="B149" s="18" t="s">
        <v>1071</v>
      </c>
      <c r="C149" s="18" t="s">
        <v>1064</v>
      </c>
      <c r="D149" s="18" t="s">
        <v>1065</v>
      </c>
      <c r="E149" s="18" t="s">
        <v>10</v>
      </c>
      <c r="F149" s="18" t="s">
        <v>1067</v>
      </c>
      <c r="G149" s="18" t="s"/>
      <c r="H149" t="s">
        <f>=_xlfn.TEXTJOIN("-",TRUE,C149,D149,E149,F149,G149)</f>
        <v>1072</v>
      </c>
    </row>
    <row r="150" spans="1:8">
      <c r="A150" s="140">
        <v>263110000003</v>
      </c>
      <c r="B150" s="18" t="s">
        <v>1073</v>
      </c>
      <c r="C150" s="18" t="s">
        <v>1064</v>
      </c>
      <c r="D150" s="18" t="s">
        <v>1074</v>
      </c>
      <c r="E150" s="18" t="s">
        <v>871</v>
      </c>
      <c r="F150" s="18" t="s">
        <v>1067</v>
      </c>
      <c r="G150" s="18" t="s"/>
      <c r="H150" t="s">
        <f>=_xlfn.TEXTJOIN("-",TRUE,C150,D150,E150,F150,G150)</f>
        <v>1075</v>
      </c>
    </row>
    <row r="151" spans="1:8">
      <c r="A151" s="140">
        <v>263110000004</v>
      </c>
      <c r="B151" s="18" t="s">
        <v>1076</v>
      </c>
      <c r="C151" s="18" t="s">
        <v>1064</v>
      </c>
      <c r="D151" s="18" t="s">
        <v>1065</v>
      </c>
      <c r="E151" s="18" t="s">
        <v>649</v>
      </c>
      <c r="F151" s="18" t="s">
        <v>1067</v>
      </c>
      <c r="G151" s="18" t="s"/>
      <c r="H151" t="s">
        <f>=_xlfn.TEXTJOIN("-",TRUE,C151,D151,E151,F151,G151)</f>
        <v>1077</v>
      </c>
    </row>
    <row r="152" spans="1:9">
      <c r="A152" s="140">
        <v>263110000005</v>
      </c>
      <c r="B152" s="18" t="s">
        <v>1078</v>
      </c>
      <c r="C152" s="18" t="s">
        <v>1064</v>
      </c>
      <c r="D152" s="18" t="s">
        <v>1065</v>
      </c>
      <c r="E152" s="18" t="s">
        <v>1079</v>
      </c>
      <c r="F152" s="18" t="s">
        <v>1067</v>
      </c>
      <c r="G152" s="18" t="s"/>
      <c r="H152" s="157" t="s">
        <f>=_xlfn.TEXTJOIN("-",TRUE,C152,D152,E152,F152,G152)</f>
        <v>355</v>
      </c>
      <c r="I152" t="s">
        <v>1080</v>
      </c>
    </row>
    <row r="153" spans="1:11">
      <c r="A153" s="140">
        <v>300010000031</v>
      </c>
      <c r="B153" s="18" t="s">
        <v>1081</v>
      </c>
      <c r="C153" s="18" t="s">
        <v>1082</v>
      </c>
      <c r="D153" s="158" t="s">
        <v>1083</v>
      </c>
      <c r="E153" s="159" t="s">
        <v>940</v>
      </c>
      <c r="F153" s="18" t="s">
        <v>1084</v>
      </c>
      <c r="G153" s="18" t="s"/>
      <c r="H153" t="s">
        <f>=_xlfn.TEXTJOIN("-",TRUE,C153,D153,E153,F153,G153)</f>
        <v>298</v>
      </c>
      <c r="I153" t="s">
        <v>117</v>
      </c>
      <c r="J153">
        <v>3000</v>
      </c>
      <c r="K153" s="142" t="s">
        <v>1085</v>
      </c>
    </row>
    <row r="154" spans="1:11">
      <c r="A154" s="140">
        <v>300010000032</v>
      </c>
      <c r="B154" s="18" t="s">
        <v>1086</v>
      </c>
      <c r="C154" s="160" t="s">
        <v>1087</v>
      </c>
      <c r="D154" s="150" t="s">
        <v>1088</v>
      </c>
      <c r="E154" s="161" t="s">
        <v>1089</v>
      </c>
      <c r="F154" s="18" t="s">
        <v>1084</v>
      </c>
      <c r="G154" s="18" t="s"/>
      <c r="H154" t="s">
        <f>=_xlfn.TEXTJOIN("-",TRUE,C154,D154,E154,F154,G154)</f>
        <v>300</v>
      </c>
      <c r="I154" t="s">
        <v>117</v>
      </c>
      <c r="J154">
        <v>3000</v>
      </c>
      <c r="K154" s="142" t="s">
        <v>1090</v>
      </c>
    </row>
    <row r="155" spans="1:11">
      <c r="A155" s="140">
        <v>300010000033</v>
      </c>
      <c r="B155" s="18" t="s">
        <v>1091</v>
      </c>
      <c r="C155" s="160" t="s">
        <v>1087</v>
      </c>
      <c r="D155" s="150" t="s">
        <v>1092</v>
      </c>
      <c r="E155" s="162" t="s">
        <v>10</v>
      </c>
      <c r="F155" s="18" t="s">
        <v>1084</v>
      </c>
      <c r="G155" s="18" t="s"/>
      <c r="H155" t="s">
        <f>=_xlfn.TEXTJOIN("-",TRUE,C155,D155,E155,F155,G155)</f>
        <v>302</v>
      </c>
      <c r="I155" t="s">
        <v>117</v>
      </c>
      <c r="J155">
        <v>3000</v>
      </c>
      <c r="K155" s="142" t="s">
        <v>1093</v>
      </c>
    </row>
    <row r="156" spans="1:11">
      <c r="A156" s="140">
        <v>300010000036</v>
      </c>
      <c r="B156" s="18" t="s">
        <v>1094</v>
      </c>
      <c r="C156" s="18" t="s">
        <v>1082</v>
      </c>
      <c r="D156" s="18" t="s">
        <v>1095</v>
      </c>
      <c r="E156" s="18" t="s">
        <v>1096</v>
      </c>
      <c r="F156" s="18" t="s">
        <v>1084</v>
      </c>
      <c r="G156" s="18" t="s"/>
      <c r="H156" t="s">
        <f>=_xlfn.TEXTJOIN("-",TRUE,C156,D156,E156,F156,G156)</f>
        <v>304</v>
      </c>
      <c r="I156" t="s">
        <v>117</v>
      </c>
      <c r="J156">
        <v>3000</v>
      </c>
      <c r="K156" s="142" t="s">
        <v>1097</v>
      </c>
    </row>
    <row r="157" spans="1:11">
      <c r="A157" s="140">
        <v>300010000037</v>
      </c>
      <c r="B157" s="18" t="s">
        <v>1098</v>
      </c>
      <c r="C157" s="18" t="s">
        <v>1082</v>
      </c>
      <c r="D157" s="18" t="s">
        <v>1099</v>
      </c>
      <c r="E157" s="18" t="s">
        <v>1096</v>
      </c>
      <c r="F157" s="18" t="s">
        <v>1084</v>
      </c>
      <c r="G157" s="18" t="s"/>
      <c r="H157" t="s">
        <f>=_xlfn.TEXTJOIN("-",TRUE,C157,D157,E157,F157,G157)</f>
        <v>306</v>
      </c>
      <c r="I157" t="s">
        <v>117</v>
      </c>
      <c r="J157">
        <v>3000</v>
      </c>
      <c r="K157" s="142" t="s">
        <v>1100</v>
      </c>
    </row>
    <row r="158" spans="1:11">
      <c r="A158" s="140">
        <v>300010000038</v>
      </c>
      <c r="B158" s="18" t="s">
        <v>1101</v>
      </c>
      <c r="C158" s="160" t="s">
        <v>1087</v>
      </c>
      <c r="D158" s="18" t="s">
        <v>1102</v>
      </c>
      <c r="E158" s="163" t="s">
        <v>1089</v>
      </c>
      <c r="F158" s="18" t="s">
        <v>1084</v>
      </c>
      <c r="G158" s="18" t="s"/>
      <c r="H158" t="s">
        <f>=_xlfn.TEXTJOIN("-",TRUE,C158,D158,E158,F158,G158)</f>
        <v>308</v>
      </c>
      <c r="I158" t="s">
        <v>117</v>
      </c>
      <c r="J158">
        <v>3000</v>
      </c>
      <c r="K158" s="142" t="s">
        <v>1103</v>
      </c>
    </row>
    <row r="159" spans="1:11">
      <c r="A159" s="140">
        <v>300010000039</v>
      </c>
      <c r="B159" s="18" t="s">
        <v>1104</v>
      </c>
      <c r="C159" s="160" t="s">
        <v>1087</v>
      </c>
      <c r="D159" s="18" t="s">
        <v>1105</v>
      </c>
      <c r="E159" s="150" t="s">
        <v>1106</v>
      </c>
      <c r="F159" s="18" t="s">
        <v>1084</v>
      </c>
      <c r="G159" s="18" t="s"/>
      <c r="H159" t="s">
        <f>=_xlfn.TEXTJOIN("-",TRUE,C159,D159,E159,F159,G159)</f>
        <v>310</v>
      </c>
      <c r="I159" t="s">
        <v>117</v>
      </c>
      <c r="J159">
        <v>3000</v>
      </c>
      <c r="K159" s="142" t="s">
        <v>1107</v>
      </c>
    </row>
    <row r="160" spans="1:11">
      <c r="A160" s="140">
        <v>300010000040</v>
      </c>
      <c r="B160" s="18" t="s">
        <v>1108</v>
      </c>
      <c r="C160" s="18" t="s">
        <v>1109</v>
      </c>
      <c r="D160" s="18" t="s">
        <v>1110</v>
      </c>
      <c r="E160" s="150" t="s">
        <v>1111</v>
      </c>
      <c r="F160" s="18" t="s">
        <v>1084</v>
      </c>
      <c r="G160" s="18" t="s"/>
      <c r="H160" t="s">
        <f>=_xlfn.TEXTJOIN("-",TRUE,C160,D160,E160,F160,G160)</f>
        <v>312</v>
      </c>
      <c r="I160" t="s">
        <v>117</v>
      </c>
      <c r="J160">
        <v>3000</v>
      </c>
      <c r="K160" s="142" t="s">
        <v>1112</v>
      </c>
    </row>
    <row r="161" spans="1:11">
      <c r="A161" s="140">
        <v>300010000041</v>
      </c>
      <c r="B161" s="18" t="s">
        <v>1113</v>
      </c>
      <c r="C161" s="160" t="s">
        <v>1087</v>
      </c>
      <c r="D161" s="150" t="s">
        <v>1114</v>
      </c>
      <c r="E161" s="150" t="s">
        <v>1111</v>
      </c>
      <c r="F161" s="18" t="s">
        <v>1084</v>
      </c>
      <c r="G161" s="18" t="s"/>
      <c r="H161" t="s">
        <f>=_xlfn.TEXTJOIN("-",TRUE,C161,D161,E161,F161,G161)</f>
        <v>314</v>
      </c>
      <c r="I161" t="s">
        <v>117</v>
      </c>
      <c r="J161">
        <v>3000</v>
      </c>
      <c r="K161" s="142" t="s">
        <v>1115</v>
      </c>
    </row>
    <row r="162" spans="1:11">
      <c r="A162" s="140">
        <v>300010000042</v>
      </c>
      <c r="B162" s="18" t="s">
        <v>1116</v>
      </c>
      <c r="C162" s="18" t="s">
        <v>1117</v>
      </c>
      <c r="D162" s="18" t="s">
        <v>39</v>
      </c>
      <c r="E162" s="162" t="s">
        <v>10</v>
      </c>
      <c r="F162" s="18" t="s">
        <v>1084</v>
      </c>
      <c r="G162" s="18" t="s"/>
      <c r="H162" t="s">
        <f>=_xlfn.TEXTJOIN("-",TRUE,C162,D162,E162,F162,G162)</f>
        <v>316</v>
      </c>
      <c r="I162" t="s">
        <v>117</v>
      </c>
      <c r="J162">
        <v>3000</v>
      </c>
      <c r="K162" s="142" t="s">
        <v>1118</v>
      </c>
    </row>
    <row r="163" spans="1:11">
      <c r="A163" s="140">
        <v>300010000043</v>
      </c>
      <c r="B163" s="18" t="s">
        <v>1119</v>
      </c>
      <c r="C163" s="18" t="s">
        <v>1117</v>
      </c>
      <c r="D163" s="18" t="s">
        <v>1120</v>
      </c>
      <c r="E163" s="162" t="s">
        <v>10</v>
      </c>
      <c r="F163" s="18" t="s">
        <v>1084</v>
      </c>
      <c r="G163" s="18" t="s"/>
      <c r="H163" t="s">
        <f>=_xlfn.TEXTJOIN("-",TRUE,C163,D163,E163,F163,G163)</f>
        <v>318</v>
      </c>
      <c r="I163" t="s">
        <v>117</v>
      </c>
      <c r="J163">
        <v>3000</v>
      </c>
      <c r="K163" s="142" t="s">
        <v>1121</v>
      </c>
    </row>
    <row r="164" spans="1:11">
      <c r="A164" s="140">
        <v>300010000045</v>
      </c>
      <c r="B164" s="18" t="s">
        <v>1122</v>
      </c>
      <c r="C164" s="18" t="s">
        <v>1082</v>
      </c>
      <c r="D164" s="150" t="s">
        <v>1123</v>
      </c>
      <c r="E164" s="150" t="s">
        <v>1124</v>
      </c>
      <c r="F164" s="18" t="s">
        <v>1084</v>
      </c>
      <c r="G164" s="18" t="s"/>
      <c r="H164" t="s">
        <f>=_xlfn.TEXTJOIN("-",TRUE,C164,D164,E164,F164,G164)</f>
        <v>320</v>
      </c>
      <c r="I164" t="s">
        <v>117</v>
      </c>
      <c r="J164">
        <v>3000</v>
      </c>
      <c r="K164" s="142" t="s">
        <v>1125</v>
      </c>
    </row>
    <row r="165" spans="1:11">
      <c r="A165" s="140">
        <v>300010000046</v>
      </c>
      <c r="B165" s="18" t="s">
        <v>1126</v>
      </c>
      <c r="C165" s="18" t="s">
        <v>1082</v>
      </c>
      <c r="D165" s="150" t="s">
        <v>1123</v>
      </c>
      <c r="E165" s="150" t="s">
        <v>1111</v>
      </c>
      <c r="F165" s="18" t="s">
        <v>1084</v>
      </c>
      <c r="G165" s="18" t="s"/>
      <c r="H165" t="s">
        <f>=_xlfn.TEXTJOIN("-",TRUE,C165,D165,E165,F165,G165)</f>
        <v>322</v>
      </c>
      <c r="I165" t="s">
        <v>117</v>
      </c>
      <c r="J165">
        <v>3000</v>
      </c>
      <c r="K165" s="142" t="s">
        <v>1127</v>
      </c>
    </row>
    <row r="166" spans="1:11">
      <c r="A166" s="140">
        <v>300010000047</v>
      </c>
      <c r="B166" s="18" t="s">
        <v>1128</v>
      </c>
      <c r="C166" s="18" t="s">
        <v>1082</v>
      </c>
      <c r="D166" s="18" t="s">
        <v>1129</v>
      </c>
      <c r="E166" s="162" t="s">
        <v>10</v>
      </c>
      <c r="F166" s="18" t="s">
        <v>1084</v>
      </c>
      <c r="G166" s="18" t="s"/>
      <c r="H166" t="s">
        <f>=_xlfn.TEXTJOIN("-",TRUE,C166,D166,E166,F166,G166)</f>
        <v>324</v>
      </c>
      <c r="I166" t="s">
        <v>117</v>
      </c>
      <c r="J166">
        <v>3000</v>
      </c>
      <c r="K166" s="142" t="s">
        <v>1130</v>
      </c>
    </row>
    <row r="167" spans="1:11">
      <c r="A167" s="140">
        <v>300010000048</v>
      </c>
      <c r="B167" s="18" t="s">
        <v>1131</v>
      </c>
      <c r="C167" s="18" t="s">
        <v>1132</v>
      </c>
      <c r="D167" s="18" t="s">
        <v>1133</v>
      </c>
      <c r="E167" s="150" t="s">
        <v>1111</v>
      </c>
      <c r="F167" s="18" t="s">
        <v>1084</v>
      </c>
      <c r="G167" s="18" t="s"/>
      <c r="H167" t="s">
        <f>=_xlfn.TEXTJOIN("-",TRUE,C167,D167,E167,F167,G167)</f>
        <v>326</v>
      </c>
      <c r="I167" t="s">
        <v>117</v>
      </c>
      <c r="J167">
        <v>3000</v>
      </c>
      <c r="K167" s="142" t="s">
        <v>1134</v>
      </c>
    </row>
    <row r="168" spans="1:11">
      <c r="A168" s="140">
        <v>300010000049</v>
      </c>
      <c r="B168" s="18" t="s">
        <v>1135</v>
      </c>
      <c r="C168" s="18" t="s">
        <v>1117</v>
      </c>
      <c r="D168" s="18" t="s">
        <v>1120</v>
      </c>
      <c r="E168" s="162" t="s">
        <v>10</v>
      </c>
      <c r="F168" s="18" t="s">
        <v>1084</v>
      </c>
      <c r="G168" s="18" t="s"/>
      <c r="H168" t="s">
        <f>=_xlfn.TEXTJOIN("-",TRUE,C168,D168,E168,F168,G168)</f>
        <v>318</v>
      </c>
      <c r="I168" t="s">
        <v>117</v>
      </c>
      <c r="J168">
        <v>3000</v>
      </c>
      <c r="K168" s="142" t="s">
        <v>1136</v>
      </c>
    </row>
    <row r="169" spans="1:11">
      <c r="A169" s="140">
        <v>300010000050</v>
      </c>
      <c r="B169" s="18" t="s">
        <v>1137</v>
      </c>
      <c r="C169" s="18" t="s">
        <v>1138</v>
      </c>
      <c r="D169" s="18" t="s">
        <v>1139</v>
      </c>
      <c r="E169" s="150" t="s">
        <v>1111</v>
      </c>
      <c r="F169" s="18" t="s">
        <v>1084</v>
      </c>
      <c r="G169" s="18" t="s"/>
      <c r="H169" t="s">
        <f>=_xlfn.TEXTJOIN("-",TRUE,C169,D169,E169,F169,G169)</f>
        <v>329</v>
      </c>
      <c r="I169" t="s">
        <v>117</v>
      </c>
      <c r="J169">
        <v>3000</v>
      </c>
      <c r="K169" s="142" t="s">
        <v>1140</v>
      </c>
    </row>
    <row r="170" spans="1:11">
      <c r="A170" s="140">
        <v>300010000051</v>
      </c>
      <c r="B170" s="18" t="s">
        <v>1141</v>
      </c>
      <c r="C170" s="18" t="s">
        <v>1142</v>
      </c>
      <c r="D170" s="18" t="s">
        <v>1143</v>
      </c>
      <c r="E170" s="162" t="s">
        <v>10</v>
      </c>
      <c r="F170" s="18" t="s">
        <v>1084</v>
      </c>
      <c r="G170" s="18" t="s"/>
      <c r="H170" t="s">
        <f>=_xlfn.TEXTJOIN("-",TRUE,C170,D170,E170,F170,G170)</f>
        <v>331</v>
      </c>
      <c r="I170" t="s">
        <v>117</v>
      </c>
      <c r="J170">
        <v>3000</v>
      </c>
      <c r="K170" s="142" t="s">
        <v>1144</v>
      </c>
    </row>
    <row r="171" spans="1:11">
      <c r="A171" s="140">
        <v>300010000052</v>
      </c>
      <c r="B171" s="18" t="s">
        <v>1145</v>
      </c>
      <c r="C171" s="18" t="s">
        <v>1146</v>
      </c>
      <c r="D171" s="18" t="s">
        <v>1095</v>
      </c>
      <c r="E171" s="18" t="s">
        <v>871</v>
      </c>
      <c r="F171" s="18" t="s">
        <v>1084</v>
      </c>
      <c r="G171" s="18" t="s"/>
      <c r="H171" t="s">
        <f>=_xlfn.TEXTJOIN("-",TRUE,C171,D171,E171,F171,G171)</f>
        <v>333</v>
      </c>
      <c r="I171" t="s">
        <v>117</v>
      </c>
      <c r="J171">
        <v>3000</v>
      </c>
      <c r="K171" s="142" t="s">
        <v>1147</v>
      </c>
    </row>
    <row r="172" spans="1:11">
      <c r="A172" s="140">
        <v>300010000053</v>
      </c>
      <c r="B172" s="18" t="s">
        <v>1148</v>
      </c>
      <c r="C172" s="18" t="s">
        <v>1149</v>
      </c>
      <c r="D172" s="18" t="s">
        <v>1150</v>
      </c>
      <c r="E172" s="18" t="s">
        <v>1151</v>
      </c>
      <c r="F172" s="18" t="s">
        <v>1084</v>
      </c>
      <c r="G172" s="18" t="s"/>
      <c r="H172" t="s">
        <f>=_xlfn.TEXTJOIN("-",TRUE,C172,D172,E172,F172,G172)</f>
        <v>335</v>
      </c>
      <c r="I172" t="s">
        <v>117</v>
      </c>
      <c r="J172">
        <v>3000</v>
      </c>
      <c r="K172" s="142" t="s">
        <v>1152</v>
      </c>
    </row>
    <row r="173" spans="1:11">
      <c r="A173" s="140">
        <v>300010000054</v>
      </c>
      <c r="B173" s="18" t="s">
        <v>1153</v>
      </c>
      <c r="C173" s="18" t="s">
        <v>1109</v>
      </c>
      <c r="D173" s="18" t="s">
        <v>1154</v>
      </c>
      <c r="E173" s="150" t="s">
        <v>1111</v>
      </c>
      <c r="F173" s="18" t="s">
        <v>1084</v>
      </c>
      <c r="G173" s="18" t="s"/>
      <c r="H173" t="s">
        <f>=_xlfn.TEXTJOIN("-",TRUE,C173,D173,E173,F173,G173)</f>
        <v>337</v>
      </c>
      <c r="I173" t="s">
        <v>117</v>
      </c>
      <c r="J173">
        <v>3000</v>
      </c>
      <c r="K173" s="142" t="s">
        <v>1155</v>
      </c>
    </row>
    <row r="174" spans="1:11">
      <c r="A174" s="140" t="s">
        <v>1156</v>
      </c>
      <c r="B174" s="18" t="s">
        <v>1157</v>
      </c>
      <c r="C174" s="18" t="s">
        <v>647</v>
      </c>
      <c r="D174" s="18" t="s">
        <v>1158</v>
      </c>
      <c r="E174" s="18" t="s">
        <v>940</v>
      </c>
      <c r="F174" s="18" t="s">
        <v>11</v>
      </c>
      <c r="G174" s="18" t="s"/>
      <c r="H174" t="s">
        <f>=_xlfn.TEXTJOIN("-",TRUE,C174,D174,E174,F174,G174)</f>
        <v>339</v>
      </c>
      <c r="I174" t="s">
        <v>117</v>
      </c>
      <c r="J174">
        <v>2616</v>
      </c>
      <c r="K174" s="142" t="s">
        <v>1159</v>
      </c>
    </row>
    <row r="175" spans="1:8">
      <c r="A175" s="140" t="s">
        <v>1160</v>
      </c>
      <c r="B175" s="18" t="s">
        <v>1161</v>
      </c>
      <c r="C175" s="18" t="s">
        <v>821</v>
      </c>
      <c r="D175" s="18" t="s">
        <v>1162</v>
      </c>
      <c r="E175" s="18" t="s">
        <v>10</v>
      </c>
      <c r="F175" s="18" t="s">
        <v>1067</v>
      </c>
      <c r="G175" s="18" t="s"/>
      <c r="H175" t="s">
        <f>=_xlfn.TEXTJOIN("-",TRUE,C175,D175,E175,F175,G175)</f>
        <v>1163</v>
      </c>
    </row>
    <row r="176" spans="1:8">
      <c r="A176" s="140" t="s">
        <v>1164</v>
      </c>
      <c r="B176" s="152" t="s">
        <v>1165</v>
      </c>
      <c r="C176" s="18" t="s">
        <v>929</v>
      </c>
      <c r="D176" s="18" t="s">
        <v>1166</v>
      </c>
      <c r="E176" s="18" t="s">
        <v>10</v>
      </c>
      <c r="F176" s="18" t="s">
        <v>11</v>
      </c>
      <c r="G176" s="18" t="s"/>
      <c r="H176" t="s">
        <f>=_xlfn.TEXTJOIN("-",TRUE,C176,D176,E176,F176,G176)</f>
        <v>1167</v>
      </c>
    </row>
    <row r="177" spans="1:11">
      <c r="A177" s="140" t="s">
        <v>1168</v>
      </c>
      <c r="B177" s="18" t="s">
        <v>1169</v>
      </c>
      <c r="C177" s="18" t="s">
        <v>929</v>
      </c>
      <c r="D177" s="18" t="s">
        <v>1170</v>
      </c>
      <c r="E177" s="18" t="s">
        <v>940</v>
      </c>
      <c r="F177" s="18" t="s">
        <v>11</v>
      </c>
      <c r="G177" s="18" t="s"/>
      <c r="H177" t="s">
        <f>=_xlfn.TEXTJOIN("-",TRUE,C177,D177,E177,F177,G177)</f>
        <v>341</v>
      </c>
      <c r="I177" t="s">
        <v>117</v>
      </c>
      <c r="J177">
        <v>2616</v>
      </c>
      <c r="K177" s="142" t="s">
        <v>1171</v>
      </c>
    </row>
    <row r="178" spans="1:11">
      <c r="A178" s="140" t="s">
        <v>1172</v>
      </c>
      <c r="B178" s="18" t="s">
        <v>1173</v>
      </c>
      <c r="C178" s="18" t="s">
        <v>929</v>
      </c>
      <c r="D178" s="18" t="s">
        <v>1170</v>
      </c>
      <c r="E178" s="18" t="s">
        <v>10</v>
      </c>
      <c r="F178" s="18" t="s">
        <v>11</v>
      </c>
      <c r="G178" s="18" t="s"/>
      <c r="H178" t="s">
        <f>=_xlfn.TEXTJOIN("-",TRUE,C178,D178,E178,F178,G178)</f>
        <v>343</v>
      </c>
      <c r="I178" t="s">
        <v>117</v>
      </c>
      <c r="J178">
        <v>2616</v>
      </c>
      <c r="K178" s="142" t="s">
        <v>1174</v>
      </c>
    </row>
    <row r="179" spans="1:8">
      <c r="A179" s="140" t="s">
        <v>1175</v>
      </c>
      <c r="B179" s="18" t="s">
        <v>1176</v>
      </c>
      <c r="C179" s="18" t="s">
        <v>929</v>
      </c>
      <c r="D179" s="18" t="s">
        <v>1177</v>
      </c>
      <c r="E179" s="18" t="s">
        <v>10</v>
      </c>
      <c r="F179" s="18" t="s">
        <v>11</v>
      </c>
      <c r="G179" s="18" t="s"/>
      <c r="H179" t="s">
        <f>=_xlfn.TEXTJOIN("-",TRUE,C179,D179,E179,F179,G179)</f>
        <v>1178</v>
      </c>
    </row>
    <row r="180" spans="1:8">
      <c r="A180" s="140" t="s">
        <v>1179</v>
      </c>
      <c r="B180" s="18" t="s">
        <v>1180</v>
      </c>
      <c r="C180" s="18" t="s">
        <v>839</v>
      </c>
      <c r="D180" s="18" t="s">
        <v>1181</v>
      </c>
      <c r="E180" s="18" t="s">
        <v>10</v>
      </c>
      <c r="F180" s="18" t="s">
        <v>1029</v>
      </c>
      <c r="G180" s="18" t="s"/>
      <c r="H180" t="s">
        <f>=_xlfn.TEXTJOIN("-",TRUE,C180,D180,E180,F180,G180)</f>
        <v>376</v>
      </c>
    </row>
    <row r="181" spans="1:8">
      <c r="A181" s="140" t="s">
        <v>1182</v>
      </c>
      <c r="B181" s="18" t="s">
        <v>1183</v>
      </c>
      <c r="C181" s="18" t="s">
        <v>1087</v>
      </c>
      <c r="D181" s="18" t="s">
        <v>1184</v>
      </c>
      <c r="E181" s="18" t="s">
        <v>649</v>
      </c>
      <c r="F181" s="18" t="s">
        <v>34</v>
      </c>
      <c r="G181" s="18" t="s"/>
      <c r="H181" t="s">
        <f>=_xlfn.TEXTJOIN("-",TRUE,C181,D181,E181,F181,G181)</f>
        <v>1185</v>
      </c>
    </row>
    <row r="182" spans="1:9">
      <c r="A182" s="140" t="s">
        <v>1186</v>
      </c>
      <c r="B182" s="18" t="s">
        <v>1187</v>
      </c>
      <c r="C182" s="18" t="s">
        <v>914</v>
      </c>
      <c r="D182" s="18" t="s">
        <v>915</v>
      </c>
      <c r="E182" s="18" t="s">
        <v>10</v>
      </c>
      <c r="F182" s="18" t="s">
        <v>11</v>
      </c>
      <c r="G182" s="18" t="s"/>
      <c r="H182" s="157" t="s">
        <f>=_xlfn.TEXTJOIN("-",TRUE,C182,D182,E182,F182,G182)</f>
        <v>357</v>
      </c>
      <c r="I182" t="s">
        <v>1080</v>
      </c>
    </row>
    <row r="183" spans="1:8">
      <c r="A183" s="140" t="s">
        <v>1188</v>
      </c>
      <c r="B183" s="18" t="s">
        <v>1189</v>
      </c>
      <c r="C183" s="18" t="s">
        <v>1190</v>
      </c>
      <c r="D183" s="18" t="s">
        <v>1191</v>
      </c>
      <c r="E183" s="18" t="s">
        <v>940</v>
      </c>
      <c r="F183" s="18" t="s">
        <v>11</v>
      </c>
      <c r="G183" s="18" t="s"/>
      <c r="H183" t="s">
        <f>=_xlfn.TEXTJOIN("-",TRUE,C183,D183,E183,F183,G183)</f>
        <v>1192</v>
      </c>
    </row>
    <row r="184" spans="1:8">
      <c r="A184" s="140" t="s">
        <v>1193</v>
      </c>
      <c r="B184" s="18" t="s">
        <v>1194</v>
      </c>
      <c r="C184" s="18" t="s">
        <v>1190</v>
      </c>
      <c r="D184" s="18" t="s">
        <v>1191</v>
      </c>
      <c r="E184" s="18" t="s">
        <v>10</v>
      </c>
      <c r="F184" s="18" t="s">
        <v>11</v>
      </c>
      <c r="G184" s="18" t="s"/>
      <c r="H184" t="s">
        <f>=_xlfn.TEXTJOIN("-",TRUE,C184,D184,E184,F184,G184)</f>
        <v>1195</v>
      </c>
    </row>
    <row r="185" spans="1:11">
      <c r="A185" s="140" t="s">
        <v>1196</v>
      </c>
      <c r="B185" s="18" t="s">
        <v>1197</v>
      </c>
      <c r="C185" s="18" t="s">
        <v>1198</v>
      </c>
      <c r="D185" s="18" t="s">
        <v>1199</v>
      </c>
      <c r="E185" s="18" t="s">
        <v>940</v>
      </c>
      <c r="F185" s="18" t="s">
        <v>34</v>
      </c>
      <c r="G185" s="18" t="s"/>
      <c r="H185" t="s">
        <f>=_xlfn.TEXTJOIN("-",TRUE,C185,D185,E185,F185,G185)</f>
        <v>345</v>
      </c>
      <c r="I185" t="s">
        <v>117</v>
      </c>
      <c r="J185">
        <v>2615</v>
      </c>
      <c r="K185" s="142" t="s">
        <v>1200</v>
      </c>
    </row>
    <row r="186" spans="1:11">
      <c r="A186" s="140" t="s">
        <v>1201</v>
      </c>
      <c r="B186" s="18" t="s">
        <v>1202</v>
      </c>
      <c r="C186" s="18" t="s">
        <v>1198</v>
      </c>
      <c r="D186" s="18" t="s">
        <v>1199</v>
      </c>
      <c r="E186" s="18" t="s">
        <v>10</v>
      </c>
      <c r="F186" s="18" t="s">
        <v>34</v>
      </c>
      <c r="G186" s="18" t="s"/>
      <c r="H186" t="s">
        <f>=_xlfn.TEXTJOIN("-",TRUE,C186,D186,E186,F186,G186)</f>
        <v>347</v>
      </c>
      <c r="I186" t="s">
        <v>117</v>
      </c>
      <c r="J186">
        <v>2615</v>
      </c>
      <c r="K186" s="142" t="s">
        <v>1203</v>
      </c>
    </row>
    <row r="187" spans="1:8">
      <c r="A187" s="140" t="s">
        <v>1204</v>
      </c>
      <c r="B187" s="18" t="s">
        <v>1205</v>
      </c>
      <c r="C187" s="18" t="s">
        <v>1206</v>
      </c>
      <c r="D187" s="18" t="s">
        <v>1207</v>
      </c>
      <c r="E187" s="18" t="s">
        <v>10</v>
      </c>
      <c r="F187" s="18" t="s">
        <v>1067</v>
      </c>
      <c r="G187" s="18" t="s"/>
      <c r="H187" t="s">
        <f>=_xlfn.TEXTJOIN("-",TRUE,C187,D187,E187,F187,G187)</f>
        <v>1208</v>
      </c>
    </row>
    <row r="188" spans="1:8">
      <c r="A188" s="140" t="s">
        <v>1209</v>
      </c>
      <c r="B188" s="18" t="s">
        <v>1210</v>
      </c>
      <c r="C188" s="18" t="s">
        <v>1206</v>
      </c>
      <c r="D188" s="18" t="s">
        <v>1207</v>
      </c>
      <c r="E188" s="164" t="s">
        <v>98</v>
      </c>
      <c r="F188" s="18" t="s">
        <v>1067</v>
      </c>
      <c r="G188" s="18" t="s"/>
      <c r="H188" t="s">
        <f>=_xlfn.TEXTJOIN("-",TRUE,C188,D188,E188,F188,G188)</f>
        <v>1211</v>
      </c>
    </row>
    <row r="189" spans="1:11">
      <c r="A189" s="140" t="s">
        <v>1212</v>
      </c>
      <c r="B189" s="18" t="s">
        <v>1213</v>
      </c>
      <c r="C189" s="18" t="s">
        <v>1087</v>
      </c>
      <c r="D189" s="18" t="s">
        <v>1150</v>
      </c>
      <c r="E189" s="18" t="s">
        <v>1214</v>
      </c>
      <c r="F189" s="18" t="s">
        <v>34</v>
      </c>
      <c r="G189" s="18" t="s"/>
      <c r="H189" t="s">
        <f>=_xlfn.TEXTJOIN("-",TRUE,C189,D189,E189,F189,G189)</f>
        <v>349</v>
      </c>
      <c r="I189" t="s">
        <v>117</v>
      </c>
      <c r="J189">
        <v>2615</v>
      </c>
      <c r="K189" s="142" t="s">
        <v>1215</v>
      </c>
    </row>
    <row r="190" spans="1:9">
      <c r="A190" s="140" t="s">
        <v>1216</v>
      </c>
      <c r="B190" s="18" t="s">
        <v>1217</v>
      </c>
      <c r="C190" s="18" t="s">
        <v>87</v>
      </c>
      <c r="D190" s="150" t="s">
        <v>94</v>
      </c>
      <c r="E190" s="18" t="s">
        <v>649</v>
      </c>
      <c r="F190" s="18" t="s">
        <v>34</v>
      </c>
      <c r="G190" s="18" t="s"/>
      <c r="H190" s="157" t="s">
        <f>=_xlfn.TEXTJOIN("-",TRUE,C190,D190,E190,F190,G190)</f>
        <v>359</v>
      </c>
      <c r="I190" t="s">
        <v>1080</v>
      </c>
    </row>
    <row r="191" spans="1:9">
      <c r="A191" s="140" t="s">
        <v>1218</v>
      </c>
      <c r="B191" s="18" t="s">
        <v>1219</v>
      </c>
      <c r="C191" s="18" t="s">
        <v>87</v>
      </c>
      <c r="D191" s="150" t="s">
        <v>94</v>
      </c>
      <c r="E191" s="18" t="s">
        <v>940</v>
      </c>
      <c r="F191" s="18" t="s">
        <v>34</v>
      </c>
      <c r="G191" s="18" t="s"/>
      <c r="H191" s="157" t="s">
        <f>=_xlfn.TEXTJOIN("-",TRUE,C191,D191,E191,F191,G191)</f>
        <v>361</v>
      </c>
      <c r="I191" t="s">
        <v>1080</v>
      </c>
    </row>
    <row r="192" spans="1:9">
      <c r="A192" s="140" t="s">
        <v>1220</v>
      </c>
      <c r="B192" s="18" t="s">
        <v>1221</v>
      </c>
      <c r="C192" s="18" t="s">
        <v>87</v>
      </c>
      <c r="D192" s="150" t="s">
        <v>94</v>
      </c>
      <c r="E192" s="18" t="s">
        <v>10</v>
      </c>
      <c r="F192" s="18" t="s">
        <v>34</v>
      </c>
      <c r="G192" s="18" t="s"/>
      <c r="H192" s="157" t="s">
        <f>=_xlfn.TEXTJOIN("-",TRUE,C192,D192,E192,F192,G192)</f>
        <v>363</v>
      </c>
      <c r="I192" t="s">
        <v>1080</v>
      </c>
    </row>
    <row r="193" spans="1:8">
      <c r="A193" s="140" t="s"/>
      <c r="B193" s="152" t="s">
        <v>1222</v>
      </c>
      <c r="C193" s="18" t="s">
        <v>647</v>
      </c>
      <c r="D193" s="18" t="s">
        <v>1223</v>
      </c>
      <c r="E193" s="18" t="s">
        <v>649</v>
      </c>
      <c r="F193" s="18" t="s">
        <v>877</v>
      </c>
      <c r="G193" s="18" t="s"/>
      <c r="H193" t="s">
        <f>=_xlfn.TEXTJOIN("-",TRUE,C193,D193,E193,F193,G193)</f>
        <v>1224</v>
      </c>
    </row>
    <row r="194" spans="1:9">
      <c r="A194" s="140" t="s"/>
      <c r="B194" s="18" t="s">
        <v>1225</v>
      </c>
      <c r="C194" s="18" t="s">
        <v>87</v>
      </c>
      <c r="D194" s="18" t="s">
        <v>94</v>
      </c>
      <c r="E194" s="18" t="s">
        <v>1226</v>
      </c>
      <c r="F194" s="18" t="s">
        <v>1067</v>
      </c>
      <c r="G194" s="18" t="s"/>
      <c r="H194" s="157" t="s">
        <f>=_xlfn.TEXTJOIN("-",TRUE,C194,D194,E194,F194,G194)</f>
        <v>1227</v>
      </c>
      <c r="I194" t="s">
        <v>1080</v>
      </c>
    </row>
    <row r="195" spans="1:8">
      <c r="A195" s="140" t="s"/>
      <c r="B195" s="18" t="s">
        <v>1228</v>
      </c>
      <c r="C195" s="18" t="s">
        <v>1087</v>
      </c>
      <c r="D195" s="18" t="s">
        <v>1229</v>
      </c>
      <c r="E195" s="18" t="s">
        <v>649</v>
      </c>
      <c r="F195" s="18" t="s">
        <v>34</v>
      </c>
      <c r="G195" s="18" t="s"/>
      <c r="H195" t="s">
        <f>=_xlfn.TEXTJOIN("-",TRUE,C195,D195,E195,F195,G195)</f>
        <v>417</v>
      </c>
    </row>
    <row r="196" spans="1:9">
      <c r="A196" s="140" t="s"/>
      <c r="B196" s="18" t="s">
        <v>1230</v>
      </c>
      <c r="C196" s="18" t="s">
        <v>1087</v>
      </c>
      <c r="D196" s="18" t="s">
        <v>1231</v>
      </c>
      <c r="E196" s="18" t="s">
        <v>649</v>
      </c>
      <c r="F196" s="18" t="s">
        <v>34</v>
      </c>
      <c r="G196" s="18" t="s"/>
      <c r="H196" s="157" t="s">
        <f>=_xlfn.TEXTJOIN("-",TRUE,C196,D196,E196,F196,G196)</f>
        <v>367</v>
      </c>
      <c r="I196" t="s">
        <v>1080</v>
      </c>
    </row>
    <row r="197" spans="1:9">
      <c r="A197" s="140" t="s"/>
      <c r="B197" s="18" t="s">
        <v>1232</v>
      </c>
      <c r="C197" s="18" t="s">
        <v>647</v>
      </c>
      <c r="D197" s="18" t="s">
        <v>1233</v>
      </c>
      <c r="E197" s="18" t="s">
        <v>940</v>
      </c>
      <c r="F197" s="18" t="s">
        <v>11</v>
      </c>
      <c r="G197" s="18" t="s"/>
      <c r="H197" s="157" t="s">
        <f>=_xlfn.TEXTJOIN("-",TRUE,C197,D197,E197,F197,G197)</f>
        <v>1234</v>
      </c>
      <c r="I197" t="s">
        <v>1235</v>
      </c>
    </row>
    <row r="198" spans="1:8">
      <c r="A198" s="140" t="s"/>
      <c r="B198" s="18" t="s">
        <v>1236</v>
      </c>
      <c r="C198" s="18" t="s">
        <v>821</v>
      </c>
      <c r="D198" s="18" t="s">
        <v>1237</v>
      </c>
      <c r="E198" s="18" t="s">
        <v>649</v>
      </c>
      <c r="F198" s="18" t="s">
        <v>1067</v>
      </c>
      <c r="G198" s="18" t="s"/>
      <c r="H198" t="s">
        <f>=_xlfn.TEXTJOIN("-",TRUE,C198,D198,E198,F198,G198)</f>
        <v>1238</v>
      </c>
    </row>
    <row r="199" spans="1:9">
      <c r="A199" s="140" t="s"/>
      <c r="B199" s="18" t="s">
        <v>1239</v>
      </c>
      <c r="C199" s="18" t="s">
        <v>821</v>
      </c>
      <c r="D199" s="18" t="s">
        <v>1240</v>
      </c>
      <c r="E199" s="18" t="s">
        <v>649</v>
      </c>
      <c r="F199" s="18" t="s">
        <v>1067</v>
      </c>
      <c r="G199" s="18" t="s"/>
      <c r="H199" s="157" t="s">
        <f>=_xlfn.TEXTJOIN("-",TRUE,C199,D199,E199,F199,G199)</f>
        <v>1241</v>
      </c>
      <c r="I199" t="s">
        <v>1235</v>
      </c>
    </row>
    <row r="200" spans="1:8">
      <c r="A200" s="140" t="s"/>
      <c r="B200" s="152" t="s">
        <v>1242</v>
      </c>
      <c r="C200" s="18" t="s">
        <v>1064</v>
      </c>
      <c r="D200" s="18" t="s">
        <v>1243</v>
      </c>
      <c r="E200" s="18" t="s">
        <v>940</v>
      </c>
      <c r="F200" s="18" t="s">
        <v>1067</v>
      </c>
      <c r="G200" s="18" t="s"/>
      <c r="H200" t="s">
        <f>=_xlfn.TEXTJOIN("-",TRUE,C200,D200,E200,F200,G200)</f>
        <v>1244</v>
      </c>
    </row>
    <row r="201" spans="1:9">
      <c r="A201" s="140" t="s"/>
      <c r="B201" s="18" t="s">
        <v>1245</v>
      </c>
      <c r="C201" s="18" t="s">
        <v>1064</v>
      </c>
      <c r="D201" s="18" t="s">
        <v>1246</v>
      </c>
      <c r="E201" s="18" t="s">
        <v>10</v>
      </c>
      <c r="F201" s="18" t="s">
        <v>1067</v>
      </c>
      <c r="G201" s="18" t="s"/>
      <c r="H201" s="157" t="s">
        <f>=_xlfn.TEXTJOIN("-",TRUE,C201,D201,E201,F201,G201)</f>
        <v>370</v>
      </c>
      <c r="I201" t="s">
        <v>1080</v>
      </c>
    </row>
    <row r="202" spans="1:8">
      <c r="A202" s="140" t="s"/>
      <c r="B202" s="18" t="s">
        <v>1247</v>
      </c>
      <c r="C202" s="18" t="s">
        <v>1064</v>
      </c>
      <c r="D202" s="18" t="s">
        <v>1248</v>
      </c>
      <c r="E202" s="18" t="s">
        <v>649</v>
      </c>
      <c r="F202" s="18" t="s">
        <v>1067</v>
      </c>
      <c r="G202" s="18" t="s"/>
      <c r="H202" t="s">
        <f>=_xlfn.TEXTJOIN("-",TRUE,C202,D202,E202,F202,G202)</f>
        <v>1249</v>
      </c>
    </row>
    <row r="203" spans="1:8">
      <c r="A203" s="140" t="s"/>
      <c r="B203" s="18" t="s">
        <v>1250</v>
      </c>
      <c r="C203" s="18" t="s">
        <v>1250</v>
      </c>
      <c r="D203" s="18" t="s">
        <v>1250</v>
      </c>
      <c r="E203" s="18" t="s">
        <v>1250</v>
      </c>
      <c r="F203" s="18" t="s">
        <v>1250</v>
      </c>
      <c r="G203" s="18" t="s"/>
      <c r="H203" t="s">
        <f>=_xlfn.TEXTJOIN("-",TRUE,C203,D203,E203,F203,G203)</f>
        <v>1251</v>
      </c>
    </row>
    <row r="204" spans="1:9">
      <c r="A204" s="140" t="s"/>
      <c r="B204" s="18" t="s">
        <v>1252</v>
      </c>
      <c r="C204" s="18" t="s">
        <v>1253</v>
      </c>
      <c r="D204" s="18" t="s">
        <v>1254</v>
      </c>
      <c r="E204" s="18" t="s">
        <v>871</v>
      </c>
      <c r="F204" s="18" t="s">
        <v>34</v>
      </c>
      <c r="G204" s="18" t="s"/>
      <c r="H204" s="157" t="s">
        <f>=_xlfn.TEXTJOIN("-",TRUE,C204,D204,E204,F204,G204)</f>
        <v>372</v>
      </c>
      <c r="I204" t="s">
        <v>1080</v>
      </c>
    </row>
    <row r="205" spans="1:8">
      <c r="A205" s="140" t="s"/>
      <c r="B205" s="18" t="s"/>
      <c r="C205" s="18" t="s"/>
      <c r="D205" s="18" t="s"/>
      <c r="E205" s="18" t="s"/>
      <c r="F205" s="18" t="s"/>
      <c r="G205" s="18" t="s"/>
      <c r="H205" t="s">
        <f>=_xlfn.TEXTJOIN("-",TRUE,C205,D205,E205,F205,G205)</f>
      </c>
    </row>
  </sheetData>
  <conditionalFormatting sqref="E153:E154 E158">
    <cfRule type="duplicateValues" dxfId="1" priority="1"/>
  </conditionalFormatting>
  <hyperlinks>
    <hyperlink ref="H196" r:id="rId0"/>
  </hyperlink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2026-09-14T13:15:38Z</dcterms:created>
  <dcterms:modified xsi:type="dcterms:W3CDTF">2026-09-14T13:15:38Z</dcterms:modified>
</cp:coreProperties>
</file>