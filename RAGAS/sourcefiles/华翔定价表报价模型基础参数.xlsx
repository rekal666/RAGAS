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iaZhenYu\Desktop\RAG\"/>
    </mc:Choice>
  </mc:AlternateContent>
  <xr:revisionPtr revIDLastSave="0" documentId="8_{D9780E90-8926-426E-A579-06CEFD59A33D}" xr6:coauthVersionLast="36" xr6:coauthVersionMax="36" xr10:uidLastSave="{00000000-0000-0000-0000-000000000000}"/>
  <bookViews>
    <workbookView xWindow="0" yWindow="0" windowWidth="21600" windowHeight="9105" xr2:uid="{00000000-000D-0000-FFFF-FFFF00000000}"/>
  </bookViews>
  <sheets>
    <sheet name="树脂价格表" sheetId="1" r:id="rId1"/>
    <sheet name="模具系数表" sheetId="2" r:id="rId2"/>
    <sheet name="检具定价表" sheetId="3" r:id="rId3"/>
    <sheet name="夹具定价表" sheetId="4" r:id="rId4"/>
    <sheet name="工艺费率表" sheetId="5" r:id="rId5"/>
    <sheet name="零件成本公式参数" sheetId="6" r:id="rId6"/>
  </sheets>
  <calcPr calcId="191029"/>
</workbook>
</file>

<file path=xl/calcChain.xml><?xml version="1.0" encoding="utf-8"?>
<calcChain xmlns="http://schemas.openxmlformats.org/spreadsheetml/2006/main">
  <c r="C62" i="2" l="1"/>
  <c r="C55" i="2"/>
</calcChain>
</file>

<file path=xl/sharedStrings.xml><?xml version="1.0" encoding="utf-8"?>
<sst xmlns="http://schemas.openxmlformats.org/spreadsheetml/2006/main" count="729" uniqueCount="426">
  <si>
    <t>材料分类</t>
  </si>
  <si>
    <t>材料名称</t>
  </si>
  <si>
    <t>子分类/条件</t>
  </si>
  <si>
    <t>单价(RMB/kg)</t>
  </si>
  <si>
    <t>备注</t>
  </si>
  <si>
    <t>IM</t>
  </si>
  <si>
    <t>PP+LGF20</t>
  </si>
  <si>
    <t>Volume&gt;1500(高产量)</t>
  </si>
  <si>
    <t>长玻纤20%，高产量</t>
  </si>
  <si>
    <t>Volume≤1500(低产量)</t>
  </si>
  <si>
    <t>长玻纤20%，低产量</t>
  </si>
  <si>
    <t>PP+LGF30</t>
  </si>
  <si>
    <t>—</t>
  </si>
  <si>
    <t>长玻纤30%</t>
  </si>
  <si>
    <t>PP+GF</t>
  </si>
  <si>
    <t>短玻纤</t>
  </si>
  <si>
    <t>PP+HI</t>
  </si>
  <si>
    <t>高抗冲</t>
  </si>
  <si>
    <t>PP+EPDM</t>
  </si>
  <si>
    <t>PP+EPDM共混</t>
  </si>
  <si>
    <t>PP+T20</t>
  </si>
  <si>
    <t>含滑石粉20%</t>
  </si>
  <si>
    <t>PP(默认)</t>
  </si>
  <si>
    <t>以上PP均不匹配</t>
  </si>
  <si>
    <t>PP通用料</t>
  </si>
  <si>
    <t>ABS+PC</t>
  </si>
  <si>
    <t>IACRef=Chrome(电镀)</t>
  </si>
  <si>
    <t>PC/ABS电镀件</t>
  </si>
  <si>
    <t>IACRef≠Chrome(非电镀)</t>
  </si>
  <si>
    <t>PC/ABS非电镀</t>
  </si>
  <si>
    <t>ABS+PA</t>
  </si>
  <si>
    <t>ABS/PA合金</t>
  </si>
  <si>
    <t>ABS(电镀)</t>
  </si>
  <si>
    <t>IACRef=Chrome</t>
  </si>
  <si>
    <t>ABS电镀件</t>
  </si>
  <si>
    <t>ABS(默认)</t>
  </si>
  <si>
    <t>IACRef≠Chrome</t>
  </si>
  <si>
    <t>ABS通用料</t>
  </si>
  <si>
    <t>TPE</t>
  </si>
  <si>
    <t>热塑性弹性体</t>
  </si>
  <si>
    <t>TPO</t>
  </si>
  <si>
    <t>热塑性聚烯烃</t>
  </si>
  <si>
    <t>POM</t>
  </si>
  <si>
    <t>聚甲醛</t>
  </si>
  <si>
    <t>PA</t>
  </si>
  <si>
    <t>尼龙（非ABS+PA）</t>
  </si>
  <si>
    <t>IM默认</t>
  </si>
  <si>
    <t>所有IM均不匹配</t>
  </si>
  <si>
    <t>IM材料均值，触发红色标记</t>
  </si>
  <si>
    <t>FOAM</t>
  </si>
  <si>
    <t>Volume&lt;300(低产量)</t>
  </si>
  <si>
    <t>低产量发泡</t>
  </si>
  <si>
    <t>Volume≥300(高产量)</t>
  </si>
  <si>
    <t>高产量发泡</t>
  </si>
  <si>
    <t>COATING</t>
  </si>
  <si>
    <t>HOT+PU/REACT</t>
  </si>
  <si>
    <t>含PU或REACT</t>
  </si>
  <si>
    <t>热压+PU/反应型涂层</t>
  </si>
  <si>
    <t>HOT</t>
  </si>
  <si>
    <t>不含PU且不含REACT</t>
  </si>
  <si>
    <t>纯热压涂层</t>
  </si>
  <si>
    <t>其他</t>
  </si>
  <si>
    <t>不含HOT</t>
  </si>
  <si>
    <t>其他涂层工艺</t>
  </si>
  <si>
    <t>COVERSTK</t>
  </si>
  <si>
    <t>PVC+FOAM</t>
  </si>
  <si>
    <t>含PVC/VINYL且含FOAM</t>
  </si>
  <si>
    <t>PVC+发泡复合(RMB/m²)</t>
  </si>
  <si>
    <t>PVC</t>
  </si>
  <si>
    <t>含PVC/VINYL不含FOAM</t>
  </si>
  <si>
    <t>PVC单层(RMB/m²)</t>
  </si>
  <si>
    <t>FABRIC</t>
  </si>
  <si>
    <t>织物面料(RMB/m²)</t>
  </si>
  <si>
    <t>MESH/3D</t>
  </si>
  <si>
    <t>网布/3D面料(RMB/m²)</t>
  </si>
  <si>
    <t>SUEDE</t>
  </si>
  <si>
    <t>翻毛皮/麂皮(RMB/m²)</t>
  </si>
  <si>
    <t>PU+FOAM</t>
  </si>
  <si>
    <t>含PU(非PVC)且含FOAM</t>
  </si>
  <si>
    <t>PU+发泡复合(RMB/m²)</t>
  </si>
  <si>
    <t>PU</t>
  </si>
  <si>
    <t>含PU(非PVC)不含FOAM</t>
  </si>
  <si>
    <t>PU单层(RMB/m²)</t>
  </si>
  <si>
    <t>TPO面料(RMB/m²)</t>
  </si>
  <si>
    <t>默认</t>
  </si>
  <si>
    <t>以上均不匹配</t>
  </si>
  <si>
    <t>蒙皮均值(RMB/m²)</t>
  </si>
  <si>
    <t>SKINS</t>
  </si>
  <si>
    <t>PVC表皮(RMB/kg)</t>
  </si>
  <si>
    <t>其他表皮材料(RMB/kg)</t>
  </si>
  <si>
    <t>PURCH_RAW</t>
  </si>
  <si>
    <t>PA/THREAD</t>
  </si>
  <si>
    <t>含PA或THREAD</t>
  </si>
  <si>
    <t>尼龙线/缝纫线(RMB/kg)</t>
  </si>
  <si>
    <t>TAPE</t>
  </si>
  <si>
    <t>胶带类(RMB/kg)</t>
  </si>
  <si>
    <t>其他外购原材料(RMB/kg)</t>
  </si>
  <si>
    <t>全局默认</t>
  </si>
  <si>
    <t>不属于以上任何类型</t>
  </si>
  <si>
    <t>全局默认价格，触发红色标记</t>
  </si>
  <si>
    <t>MatCos=0兜底</t>
  </si>
  <si>
    <t>兜底保护，防止价格为零</t>
  </si>
  <si>
    <t>IM注塑模具基础系数</t>
  </si>
  <si>
    <t>#</t>
  </si>
  <si>
    <t>长度范围(mm)</t>
  </si>
  <si>
    <t>长度上限(mm)</t>
  </si>
  <si>
    <t>系数_L</t>
  </si>
  <si>
    <t>系数_W</t>
  </si>
  <si>
    <t>系数_H</t>
  </si>
  <si>
    <t>L≤100</t>
  </si>
  <si>
    <t>100&lt;L≤300</t>
  </si>
  <si>
    <t>300&lt;L≤500</t>
  </si>
  <si>
    <t>500&lt;L≤800</t>
  </si>
  <si>
    <t>800&lt;L≤1390</t>
  </si>
  <si>
    <t>L&gt;1390</t>
  </si>
  <si>
    <t>模腔乘数</t>
  </si>
  <si>
    <t>条件(BU列)</t>
  </si>
  <si>
    <t>乘数</t>
  </si>
  <si>
    <t>说明</t>
  </si>
  <si>
    <t>1腔*2套</t>
  </si>
  <si>
    <t>一腔两套模（左右对称件）</t>
  </si>
  <si>
    <t>1+1 或 2</t>
  </si>
  <si>
    <t>一模两腔或两套</t>
  </si>
  <si>
    <t>单腔标准</t>
  </si>
  <si>
    <t>PartGroup工艺乘数</t>
  </si>
  <si>
    <t>PartGroup/工艺(BF列)</t>
  </si>
  <si>
    <t>HPIM_Grain</t>
  </si>
  <si>
    <t>皮纹加工</t>
  </si>
  <si>
    <t>HPIM_Gas</t>
  </si>
  <si>
    <t>气辅注塑</t>
  </si>
  <si>
    <t>HPIM_2C</t>
  </si>
  <si>
    <t>双色注塑</t>
  </si>
  <si>
    <t>HPIM_EIPP</t>
  </si>
  <si>
    <t>EIPP工艺</t>
  </si>
  <si>
    <t>Chrome</t>
  </si>
  <si>
    <t>电镀件（模具精度高）</t>
  </si>
  <si>
    <t>Paint_*</t>
  </si>
  <si>
    <t>喷涂件（以Paint开头）</t>
  </si>
  <si>
    <t>IMD_INS</t>
  </si>
  <si>
    <t>膜内装饰</t>
  </si>
  <si>
    <t>无工艺加成</t>
  </si>
  <si>
    <t>Foam Tool 发泡模具</t>
  </si>
  <si>
    <t>固定价格，按长度分段</t>
  </si>
  <si>
    <t>条件/长度范围</t>
  </si>
  <si>
    <t>价格(RMB)</t>
  </si>
  <si>
    <t>L&lt;500</t>
  </si>
  <si>
    <t>500≤L&lt;800</t>
  </si>
  <si>
    <t>800≤L&lt;1000</t>
  </si>
  <si>
    <t>1000≤L&lt;1200</t>
  </si>
  <si>
    <t>1200≤L&lt;1800</t>
  </si>
  <si>
    <t>Die Cut 裁切模</t>
  </si>
  <si>
    <t>L≤500</t>
  </si>
  <si>
    <t>500&lt;L≤1000</t>
  </si>
  <si>
    <t>1000&lt;L≤1700</t>
  </si>
  <si>
    <t>EPP 发泡聚丙烯模具</t>
  </si>
  <si>
    <t>公式: L×500 + W×800 + 80000</t>
  </si>
  <si>
    <t>基础费</t>
  </si>
  <si>
    <t>Stamping 冲压模</t>
  </si>
  <si>
    <t>V=L×180+W×60+H×30，有保底逻辑</t>
  </si>
  <si>
    <t>V&lt;10000</t>
  </si>
  <si>
    <t>10000≤V≤20000</t>
  </si>
  <si>
    <t>V&gt;20000</t>
  </si>
  <si>
    <t>BlowMold 吹塑模</t>
  </si>
  <si>
    <t>公式: L×75 + W×13 + H×54，有保底</t>
  </si>
  <si>
    <t>计算值&lt;20000</t>
  </si>
  <si>
    <t>20000≤计算值&lt;30000</t>
  </si>
  <si>
    <t>计算值≥30000</t>
  </si>
  <si>
    <t>Cast 铸造模</t>
  </si>
  <si>
    <t>公式: (500×L+320×W)×系数</t>
  </si>
  <si>
    <t>单腔(BU=1)</t>
  </si>
  <si>
    <t>×0.9, 保底30000</t>
  </si>
  <si>
    <t>多腔(其他)</t>
  </si>
  <si>
    <t>×1.35, 保底30000</t>
  </si>
  <si>
    <t>Mold/Form 成型模</t>
  </si>
  <si>
    <t>L&lt;100</t>
  </si>
  <si>
    <t>100≤L&lt;800</t>
  </si>
  <si>
    <t>L≥800</t>
  </si>
  <si>
    <t>Extrude 挤出模</t>
  </si>
  <si>
    <t>固定价格</t>
  </si>
  <si>
    <t>任意尺寸</t>
  </si>
  <si>
    <t>MaleVacuum 阳模吸塑</t>
  </si>
  <si>
    <t>按设备类型</t>
  </si>
  <si>
    <t>吸模-单工位</t>
  </si>
  <si>
    <t>IMG 模内粒面成型</t>
  </si>
  <si>
    <t>任意</t>
  </si>
  <si>
    <t>Slush 搪塑模</t>
  </si>
  <si>
    <t>公式: 1057700 + 531500×BW/(30000×BU)</t>
  </si>
  <si>
    <t>镍壳费</t>
  </si>
  <si>
    <t>体积系数</t>
  </si>
  <si>
    <t>未识别类型</t>
  </si>
  <si>
    <t>标记值</t>
  </si>
  <si>
    <t>检具基础价格系数</t>
  </si>
  <si>
    <t>最高价(RMB)</t>
  </si>
  <si>
    <t>L≥1100</t>
  </si>
  <si>
    <t>200≤L&lt;1100</t>
  </si>
  <si>
    <t>100≤L&lt;200</t>
  </si>
  <si>
    <t>修正系数</t>
  </si>
  <si>
    <t>修正项</t>
  </si>
  <si>
    <t>条件</t>
  </si>
  <si>
    <t>系数</t>
  </si>
  <si>
    <t>CMM修正</t>
  </si>
  <si>
    <t>BX列含"CMM"</t>
  </si>
  <si>
    <t>三坐标检具打65折</t>
  </si>
  <si>
    <t>1L+1R修正</t>
  </si>
  <si>
    <t>BX列为"1L+1R Gage/CMM"</t>
  </si>
  <si>
    <t>左右件各一套，价格翻倍</t>
  </si>
  <si>
    <t>1L+1R CMM复合</t>
  </si>
  <si>
    <t>同时满足两项</t>
  </si>
  <si>
    <t>0.65×2=1.3</t>
  </si>
  <si>
    <t>舍入规则</t>
  </si>
  <si>
    <t>ROUND到千元: Round(gagePrice/1000,0)*1000</t>
  </si>
  <si>
    <t>最低保底: gagePrice&lt;999且不为0时，设为999元</t>
  </si>
  <si>
    <t>按夹具类型(BX列)定价</t>
  </si>
  <si>
    <t>夹具类型(BX列)</t>
  </si>
  <si>
    <t>设备/长度条件</t>
  </si>
  <si>
    <t>End of Arm</t>
  </si>
  <si>
    <t>注塑机-200t</t>
  </si>
  <si>
    <t>注塑机-300t</t>
  </si>
  <si>
    <t>注塑机-500t</t>
  </si>
  <si>
    <t>双色注塑机-450t</t>
  </si>
  <si>
    <t>注塑机-700t</t>
  </si>
  <si>
    <t>注塑机-800t</t>
  </si>
  <si>
    <t>注塑机-1000t</t>
  </si>
  <si>
    <t>注塑机-1500t</t>
  </si>
  <si>
    <t>低压注塑机-1400t</t>
  </si>
  <si>
    <t>双色注塑机-1400t</t>
  </si>
  <si>
    <t>注塑机-1800t</t>
  </si>
  <si>
    <t>化学发泡注塑机-1600t</t>
  </si>
  <si>
    <t>注塑机-2000t</t>
  </si>
  <si>
    <t>注塑机-2500t</t>
  </si>
  <si>
    <t>其他/未匹配</t>
  </si>
  <si>
    <t>Table</t>
  </si>
  <si>
    <t>Align Fixture</t>
  </si>
  <si>
    <t>L≤400</t>
  </si>
  <si>
    <t>400&lt;L≤800</t>
  </si>
  <si>
    <t>800&lt;L≤1400</t>
  </si>
  <si>
    <t>L&gt;1400</t>
  </si>
  <si>
    <t>Punch-2D</t>
  </si>
  <si>
    <t>L≤1000</t>
  </si>
  <si>
    <t>L&gt;1000</t>
  </si>
  <si>
    <t>Punch-3D</t>
  </si>
  <si>
    <t>Open/Close test</t>
  </si>
  <si>
    <t>E-test</t>
  </si>
  <si>
    <t>L≤600</t>
  </si>
  <si>
    <t>600&lt;L≤1300</t>
  </si>
  <si>
    <t>L&gt;1300</t>
  </si>
  <si>
    <t>按设备类型(BT列)定价 — BX列未匹配时使用</t>
  </si>
  <si>
    <t>设备类型(BT列)</t>
  </si>
  <si>
    <t>长度条件</t>
  </si>
  <si>
    <t>模腔修正(1+1/2时)</t>
  </si>
  <si>
    <t>表面处理</t>
  </si>
  <si>
    <t>×1.2</t>
  </si>
  <si>
    <t>1000&lt;L≤1300</t>
  </si>
  <si>
    <t>包覆设备-手动</t>
  </si>
  <si>
    <t>包覆设备-滚压</t>
  </si>
  <si>
    <t>包覆设备-真空包</t>
  </si>
  <si>
    <t>铣刀设备</t>
  </si>
  <si>
    <t>总装部-logo烫印</t>
  </si>
  <si>
    <t>水性胶水胶+滚压</t>
  </si>
  <si>
    <t>水性胶水胶+滚压-自动</t>
  </si>
  <si>
    <t>反应热胶-自动</t>
  </si>
  <si>
    <t>热合枪-手动</t>
  </si>
  <si>
    <t>焊接</t>
  </si>
  <si>
    <t>低压设备</t>
  </si>
  <si>
    <t>L≤800</t>
  </si>
  <si>
    <t>800&lt;L≤1200</t>
  </si>
  <si>
    <t>L&gt;1200</t>
  </si>
  <si>
    <t>高周波焊接枪</t>
  </si>
  <si>
    <t>600&lt;L≤1200</t>
  </si>
  <si>
    <t>超声波设备-小于1m</t>
  </si>
  <si>
    <t>L≤300</t>
  </si>
  <si>
    <t>300&lt;L≤600</t>
  </si>
  <si>
    <t>L&gt;600</t>
  </si>
  <si>
    <t>辊压热压</t>
  </si>
  <si>
    <t>模内覆皮辊压热压</t>
  </si>
  <si>
    <t>旋转热压+低压</t>
  </si>
  <si>
    <t>精确热压上料ESL</t>
  </si>
  <si>
    <t>铣床</t>
  </si>
  <si>
    <t>机器人切割</t>
  </si>
  <si>
    <t>拉毛设备-小于1m</t>
  </si>
  <si>
    <t>拉毛设备-大于1m</t>
  </si>
  <si>
    <t>超声波设备-大于1m</t>
  </si>
  <si>
    <t>固定</t>
  </si>
  <si>
    <t>超声波设备-自动化流水线</t>
  </si>
  <si>
    <t>超声波设备-转盘</t>
  </si>
  <si>
    <t>摩擦焊接机-大</t>
  </si>
  <si>
    <t>摩擦焊接机-小</t>
  </si>
  <si>
    <t>L&lt;300</t>
  </si>
  <si>
    <t>300≤L&lt;600</t>
  </si>
  <si>
    <t>L≥600</t>
  </si>
  <si>
    <t>热板焊接</t>
  </si>
  <si>
    <t>L&lt;600</t>
  </si>
  <si>
    <t>激光焊接</t>
  </si>
  <si>
    <t>植绒-手工</t>
  </si>
  <si>
    <t>植绒-自动</t>
  </si>
  <si>
    <t>铆钉枪-手动/半自动</t>
  </si>
  <si>
    <t>800&lt;L≤1000</t>
  </si>
  <si>
    <t>1000&lt;L≤1400</t>
  </si>
  <si>
    <t>自动装配夹子机器人</t>
  </si>
  <si>
    <t>自动装铆钉机器人</t>
  </si>
  <si>
    <t>Cockpit/IP总成装配</t>
  </si>
  <si>
    <t>仪表板蒙皮总成装配</t>
  </si>
  <si>
    <t>传送带-固定式</t>
  </si>
  <si>
    <t>传送带-手推</t>
  </si>
  <si>
    <t>未匹配类型</t>
  </si>
  <si>
    <t>费用项</t>
  </si>
  <si>
    <t>单位</t>
  </si>
  <si>
    <t>基准费率</t>
  </si>
  <si>
    <t>人工费率</t>
  </si>
  <si>
    <t>RMB/小时</t>
  </si>
  <si>
    <t>标准工时费率</t>
  </si>
  <si>
    <t>能源费率</t>
  </si>
  <si>
    <t>RMB/kWh</t>
  </si>
  <si>
    <t>工业电价</t>
  </si>
  <si>
    <t>设施费比例</t>
  </si>
  <si>
    <t>%</t>
  </si>
  <si>
    <t>占直接成本的比例</t>
  </si>
  <si>
    <t>折旧年限</t>
  </si>
  <si>
    <t>年</t>
  </si>
  <si>
    <t>模具/设备折旧年限</t>
  </si>
  <si>
    <t>喷漆费率</t>
  </si>
  <si>
    <t>RMB/dm²</t>
  </si>
  <si>
    <t>单层喷漆费率</t>
  </si>
  <si>
    <t>喷漆损耗系数</t>
  </si>
  <si>
    <t>含喷漆前处理损耗</t>
  </si>
  <si>
    <t>注塑基体喷漆系数</t>
  </si>
  <si>
    <t>电镀挂架费</t>
  </si>
  <si>
    <t>RMB/挂架</t>
  </si>
  <si>
    <t>每挂架电镀费用</t>
  </si>
  <si>
    <t>电镀挂架有效长度</t>
  </si>
  <si>
    <t>mm</t>
  </si>
  <si>
    <t>挂架长度方向</t>
  </si>
  <si>
    <t>电镀挂架有效宽度</t>
  </si>
  <si>
    <t>挂架宽度方向</t>
  </si>
  <si>
    <t>电镀零件间距</t>
  </si>
  <si>
    <t>L和W方向间距</t>
  </si>
  <si>
    <t>金属材料单价</t>
  </si>
  <si>
    <t>RMB/kg</t>
  </si>
  <si>
    <t>金属件通用单价</t>
  </si>
  <si>
    <t>金属加工系数</t>
  </si>
  <si>
    <t>金属件加工倍率</t>
  </si>
  <si>
    <t>电泳单价</t>
  </si>
  <si>
    <t>E-Coat电泳涂装</t>
  </si>
  <si>
    <t>吹塑系数</t>
  </si>
  <si>
    <t>BlowMold加工费含损耗</t>
  </si>
  <si>
    <t>植绒费率</t>
  </si>
  <si>
    <t>植绒表面处理</t>
  </si>
  <si>
    <t>IMD膜片标准宽度</t>
  </si>
  <si>
    <t>膜片宽度</t>
  </si>
  <si>
    <t>IMD膜片单价</t>
  </si>
  <si>
    <t>RMB/m²</t>
  </si>
  <si>
    <t>膜片材料</t>
  </si>
  <si>
    <t>IMD良率</t>
  </si>
  <si>
    <t>膜片利用率70%</t>
  </si>
  <si>
    <t>EPDM单价</t>
  </si>
  <si>
    <t>EPDM泡棉</t>
  </si>
  <si>
    <t>普通毛毡单价</t>
  </si>
  <si>
    <t>无模具普通毛毡</t>
  </si>
  <si>
    <t>有模具毛毡系数</t>
  </si>
  <si>
    <t>RMB/g</t>
  </si>
  <si>
    <t>按重量计价</t>
  </si>
  <si>
    <t>模压件固定成本</t>
  </si>
  <si>
    <t>RMB</t>
  </si>
  <si>
    <t>Mold Press</t>
  </si>
  <si>
    <t>装配工序固定成本</t>
  </si>
  <si>
    <t>Assembly</t>
  </si>
  <si>
    <t>弹簧固定成本</t>
  </si>
  <si>
    <t>Spring</t>
  </si>
  <si>
    <t>imPartRate — 注塑材料利用率</t>
  </si>
  <si>
    <t>重量下限(g)</t>
  </si>
  <si>
    <t>重量上限(g)</t>
  </si>
  <si>
    <t>利用率(imPartRate)</t>
  </si>
  <si>
    <t>极小零件，浇口/流道占比大</t>
  </si>
  <si>
    <t>小零件</t>
  </si>
  <si>
    <t>中等零件（默认值）</t>
  </si>
  <si>
    <t>大零件，材料利用率高</t>
  </si>
  <si>
    <t>Chrome电镀良率</t>
  </si>
  <si>
    <t>Finish类型</t>
  </si>
  <si>
    <t>良率(yield)</t>
  </si>
  <si>
    <t>High Gloss</t>
  </si>
  <si>
    <t>高光</t>
  </si>
  <si>
    <t>Low Gloss</t>
  </si>
  <si>
    <t>低光/亚光</t>
  </si>
  <si>
    <t>PVD</t>
  </si>
  <si>
    <t>物理气相沉积</t>
  </si>
  <si>
    <t>其他(默认)</t>
  </si>
  <si>
    <t>未匹配Finish</t>
  </si>
  <si>
    <t>NVH_Pad费率表</t>
  </si>
  <si>
    <t>Finish规格</t>
  </si>
  <si>
    <t>费率(RMB/m²)</t>
  </si>
  <si>
    <t>含PSA</t>
  </si>
  <si>
    <t>LnP,&lt;300gsm,woPSA</t>
  </si>
  <si>
    <t>否</t>
  </si>
  <si>
    <t>低克重，无PSA背胶</t>
  </si>
  <si>
    <t>LwP,&lt;300gsm,wPSA</t>
  </si>
  <si>
    <t>是</t>
  </si>
  <si>
    <t>低克重，有PSA(8.5×2)</t>
  </si>
  <si>
    <t>HnP,&gt;=300gsm,woPSA</t>
  </si>
  <si>
    <t>高克重，无PSA背胶</t>
  </si>
  <si>
    <t>HwP,&gt;=300gsm,wPSA</t>
  </si>
  <si>
    <t>高克重+PSA(13+8.5)</t>
  </si>
  <si>
    <t>同高克重+PSA</t>
  </si>
  <si>
    <t>Fastener紧固件价格表</t>
  </si>
  <si>
    <t>类型/关键词</t>
  </si>
  <si>
    <t>单价(RMB)</t>
  </si>
  <si>
    <t>匹配关键词</t>
  </si>
  <si>
    <t>卡扣类</t>
  </si>
  <si>
    <t>CLIP、卡、扣</t>
  </si>
  <si>
    <t>螺母</t>
  </si>
  <si>
    <t>NUT、WELD、螺母</t>
  </si>
  <si>
    <t>螺栓/螺钉</t>
  </si>
  <si>
    <t>BOLT、SCREW、M4、自攻、ST、螺钉</t>
  </si>
  <si>
    <t>Purch_AQR</t>
  </si>
  <si>
    <t>气囊螺钉</t>
  </si>
  <si>
    <t>含AIR或安</t>
  </si>
  <si>
    <t>优先于普通螺钉</t>
  </si>
  <si>
    <t>胶带类</t>
  </si>
  <si>
    <t>TAPE、FLOCK、MYLAR</t>
  </si>
  <si>
    <t>Foam_Felt泡棉/毛毡利用率</t>
  </si>
  <si>
    <t>面积范围(mm²)</t>
  </si>
  <si>
    <t>面积上限(mm²)</t>
  </si>
  <si>
    <t>feltRate(利用率系数)</t>
  </si>
  <si>
    <t>&lt;20,000</t>
  </si>
  <si>
    <t>20,000~60,000</t>
  </si>
  <si>
    <t>60,000~80,000</t>
  </si>
  <si>
    <t>≥80,000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</si>
</sst>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2"/>
      <name val="宋体"/>
      <charset val="134"/>
    </font>
    <font>
      <i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3" fontId="0" fillId="0" borderId="1" xfId="0" applyNumberFormat="1" applyBorder="1"/>
    <xf numFmtId="0" fontId="2" fillId="3" borderId="0" xfId="0" applyFont="1" applyFill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3"/>
  <cols>
    <col min="1" max="1" width="12" customWidth="1"/>
    <col min="2" max="2" width="15" customWidth="1"/>
    <col min="3" max="3" width="24" customWidth="1"/>
    <col min="4" max="4" width="15" customWidth="1"/>
    <col min="5" max="5" width="2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3">
        <v>15.81</v>
      </c>
      <c r="E2" s="2" t="s">
        <v>8</v>
      </c>
    </row>
    <row r="3" spans="1:5" x14ac:dyDescent="0.3">
      <c r="A3" s="2" t="s">
        <v>5</v>
      </c>
      <c r="B3" s="2" t="s">
        <v>6</v>
      </c>
      <c r="C3" s="2" t="s">
        <v>9</v>
      </c>
      <c r="D3" s="3">
        <v>12.86</v>
      </c>
      <c r="E3" s="2" t="s">
        <v>10</v>
      </c>
    </row>
    <row r="4" spans="1:5" x14ac:dyDescent="0.3">
      <c r="A4" s="2" t="s">
        <v>5</v>
      </c>
      <c r="B4" s="2" t="s">
        <v>11</v>
      </c>
      <c r="C4" s="2" t="s">
        <v>12</v>
      </c>
      <c r="D4" s="3">
        <v>13.3</v>
      </c>
      <c r="E4" s="2" t="s">
        <v>13</v>
      </c>
    </row>
    <row r="5" spans="1:5" x14ac:dyDescent="0.3">
      <c r="A5" s="2" t="s">
        <v>5</v>
      </c>
      <c r="B5" s="2" t="s">
        <v>14</v>
      </c>
      <c r="C5" s="2" t="s">
        <v>12</v>
      </c>
      <c r="D5" s="3">
        <v>12.2</v>
      </c>
      <c r="E5" s="2" t="s">
        <v>15</v>
      </c>
    </row>
    <row r="6" spans="1:5" x14ac:dyDescent="0.3">
      <c r="A6" s="2" t="s">
        <v>5</v>
      </c>
      <c r="B6" s="2" t="s">
        <v>16</v>
      </c>
      <c r="C6" s="2" t="s">
        <v>12</v>
      </c>
      <c r="D6" s="3">
        <v>16</v>
      </c>
      <c r="E6" s="2" t="s">
        <v>17</v>
      </c>
    </row>
    <row r="7" spans="1:5" x14ac:dyDescent="0.3">
      <c r="A7" s="2" t="s">
        <v>5</v>
      </c>
      <c r="B7" s="2" t="s">
        <v>18</v>
      </c>
      <c r="C7" s="2" t="s">
        <v>12</v>
      </c>
      <c r="D7" s="3">
        <v>12.5</v>
      </c>
      <c r="E7" s="2" t="s">
        <v>19</v>
      </c>
    </row>
    <row r="8" spans="1:5" x14ac:dyDescent="0.3">
      <c r="A8" s="2" t="s">
        <v>5</v>
      </c>
      <c r="B8" s="2" t="s">
        <v>20</v>
      </c>
      <c r="C8" s="2" t="s">
        <v>12</v>
      </c>
      <c r="D8" s="3">
        <v>9.8800000000000008</v>
      </c>
      <c r="E8" s="2" t="s">
        <v>21</v>
      </c>
    </row>
    <row r="9" spans="1:5" x14ac:dyDescent="0.3">
      <c r="A9" s="2" t="s">
        <v>5</v>
      </c>
      <c r="B9" s="2" t="s">
        <v>22</v>
      </c>
      <c r="C9" s="2" t="s">
        <v>23</v>
      </c>
      <c r="D9" s="3">
        <v>9.8800000000000008</v>
      </c>
      <c r="E9" s="2" t="s">
        <v>24</v>
      </c>
    </row>
    <row r="10" spans="1:5" x14ac:dyDescent="0.3">
      <c r="A10" s="2" t="s">
        <v>5</v>
      </c>
      <c r="B10" s="2" t="s">
        <v>25</v>
      </c>
      <c r="C10" s="2" t="s">
        <v>26</v>
      </c>
      <c r="D10" s="3">
        <v>20</v>
      </c>
      <c r="E10" s="2" t="s">
        <v>27</v>
      </c>
    </row>
    <row r="11" spans="1:5" x14ac:dyDescent="0.3">
      <c r="A11" s="2" t="s">
        <v>5</v>
      </c>
      <c r="B11" s="2" t="s">
        <v>25</v>
      </c>
      <c r="C11" s="2" t="s">
        <v>28</v>
      </c>
      <c r="D11" s="3">
        <v>17.07</v>
      </c>
      <c r="E11" s="2" t="s">
        <v>29</v>
      </c>
    </row>
    <row r="12" spans="1:5" x14ac:dyDescent="0.3">
      <c r="A12" s="2" t="s">
        <v>5</v>
      </c>
      <c r="B12" s="2" t="s">
        <v>30</v>
      </c>
      <c r="C12" s="2" t="s">
        <v>12</v>
      </c>
      <c r="D12" s="3">
        <v>18.5</v>
      </c>
      <c r="E12" s="2" t="s">
        <v>31</v>
      </c>
    </row>
    <row r="13" spans="1:5" x14ac:dyDescent="0.3">
      <c r="A13" s="2" t="s">
        <v>5</v>
      </c>
      <c r="B13" s="2" t="s">
        <v>32</v>
      </c>
      <c r="C13" s="2" t="s">
        <v>33</v>
      </c>
      <c r="D13" s="3">
        <v>18</v>
      </c>
      <c r="E13" s="2" t="s">
        <v>34</v>
      </c>
    </row>
    <row r="14" spans="1:5" x14ac:dyDescent="0.3">
      <c r="A14" s="2" t="s">
        <v>5</v>
      </c>
      <c r="B14" s="2" t="s">
        <v>35</v>
      </c>
      <c r="C14" s="2" t="s">
        <v>36</v>
      </c>
      <c r="D14" s="3">
        <v>14.84</v>
      </c>
      <c r="E14" s="2" t="s">
        <v>37</v>
      </c>
    </row>
    <row r="15" spans="1:5" x14ac:dyDescent="0.3">
      <c r="A15" s="2" t="s">
        <v>5</v>
      </c>
      <c r="B15" s="2" t="s">
        <v>38</v>
      </c>
      <c r="C15" s="2" t="s">
        <v>12</v>
      </c>
      <c r="D15" s="3">
        <v>28</v>
      </c>
      <c r="E15" s="2" t="s">
        <v>39</v>
      </c>
    </row>
    <row r="16" spans="1:5" x14ac:dyDescent="0.3">
      <c r="A16" s="2" t="s">
        <v>5</v>
      </c>
      <c r="B16" s="2" t="s">
        <v>40</v>
      </c>
      <c r="C16" s="2" t="s">
        <v>12</v>
      </c>
      <c r="D16" s="3">
        <v>31</v>
      </c>
      <c r="E16" s="2" t="s">
        <v>41</v>
      </c>
    </row>
    <row r="17" spans="1:5" x14ac:dyDescent="0.3">
      <c r="A17" s="2" t="s">
        <v>5</v>
      </c>
      <c r="B17" s="2" t="s">
        <v>42</v>
      </c>
      <c r="C17" s="2" t="s">
        <v>12</v>
      </c>
      <c r="D17" s="3">
        <v>20</v>
      </c>
      <c r="E17" s="2" t="s">
        <v>43</v>
      </c>
    </row>
    <row r="18" spans="1:5" x14ac:dyDescent="0.3">
      <c r="A18" s="2" t="s">
        <v>5</v>
      </c>
      <c r="B18" s="2" t="s">
        <v>44</v>
      </c>
      <c r="C18" s="2" t="s">
        <v>12</v>
      </c>
      <c r="D18" s="3">
        <v>17.5</v>
      </c>
      <c r="E18" s="2" t="s">
        <v>45</v>
      </c>
    </row>
    <row r="19" spans="1:5" x14ac:dyDescent="0.3">
      <c r="A19" s="2" t="s">
        <v>5</v>
      </c>
      <c r="B19" s="2" t="s">
        <v>46</v>
      </c>
      <c r="C19" s="2" t="s">
        <v>47</v>
      </c>
      <c r="D19" s="3">
        <v>17.29</v>
      </c>
      <c r="E19" s="2" t="s">
        <v>48</v>
      </c>
    </row>
    <row r="20" spans="1:5" x14ac:dyDescent="0.3">
      <c r="A20" s="2" t="s">
        <v>49</v>
      </c>
      <c r="B20" s="2" t="s">
        <v>49</v>
      </c>
      <c r="C20" s="2" t="s">
        <v>50</v>
      </c>
      <c r="D20" s="3">
        <v>21.55</v>
      </c>
      <c r="E20" s="2" t="s">
        <v>51</v>
      </c>
    </row>
    <row r="21" spans="1:5" x14ac:dyDescent="0.3">
      <c r="A21" s="2" t="s">
        <v>49</v>
      </c>
      <c r="B21" s="2" t="s">
        <v>49</v>
      </c>
      <c r="C21" s="2" t="s">
        <v>52</v>
      </c>
      <c r="D21" s="3">
        <v>25.56</v>
      </c>
      <c r="E21" s="2" t="s">
        <v>53</v>
      </c>
    </row>
    <row r="22" spans="1:5" x14ac:dyDescent="0.3">
      <c r="A22" s="2" t="s">
        <v>54</v>
      </c>
      <c r="B22" s="2" t="s">
        <v>55</v>
      </c>
      <c r="C22" s="2" t="s">
        <v>56</v>
      </c>
      <c r="D22" s="3">
        <v>67.819999999999993</v>
      </c>
      <c r="E22" s="2" t="s">
        <v>57</v>
      </c>
    </row>
    <row r="23" spans="1:5" x14ac:dyDescent="0.3">
      <c r="A23" s="2" t="s">
        <v>54</v>
      </c>
      <c r="B23" s="2" t="s">
        <v>58</v>
      </c>
      <c r="C23" s="2" t="s">
        <v>59</v>
      </c>
      <c r="D23" s="3">
        <v>44.44</v>
      </c>
      <c r="E23" s="2" t="s">
        <v>60</v>
      </c>
    </row>
    <row r="24" spans="1:5" x14ac:dyDescent="0.3">
      <c r="A24" s="2" t="s">
        <v>54</v>
      </c>
      <c r="B24" s="2" t="s">
        <v>61</v>
      </c>
      <c r="C24" s="2" t="s">
        <v>62</v>
      </c>
      <c r="D24" s="3">
        <v>38.5</v>
      </c>
      <c r="E24" s="2" t="s">
        <v>63</v>
      </c>
    </row>
    <row r="25" spans="1:5" x14ac:dyDescent="0.3">
      <c r="A25" s="2" t="s">
        <v>64</v>
      </c>
      <c r="B25" s="2" t="s">
        <v>65</v>
      </c>
      <c r="C25" s="2" t="s">
        <v>66</v>
      </c>
      <c r="D25" s="3">
        <v>65</v>
      </c>
      <c r="E25" s="2" t="s">
        <v>67</v>
      </c>
    </row>
    <row r="26" spans="1:5" x14ac:dyDescent="0.3">
      <c r="A26" s="2" t="s">
        <v>64</v>
      </c>
      <c r="B26" s="2" t="s">
        <v>68</v>
      </c>
      <c r="C26" s="2" t="s">
        <v>69</v>
      </c>
      <c r="D26" s="3">
        <v>40</v>
      </c>
      <c r="E26" s="2" t="s">
        <v>70</v>
      </c>
    </row>
    <row r="27" spans="1:5" x14ac:dyDescent="0.3">
      <c r="A27" s="2" t="s">
        <v>64</v>
      </c>
      <c r="B27" s="2" t="s">
        <v>71</v>
      </c>
      <c r="C27" s="2" t="s">
        <v>12</v>
      </c>
      <c r="D27" s="3">
        <v>22.55</v>
      </c>
      <c r="E27" s="2" t="s">
        <v>72</v>
      </c>
    </row>
    <row r="28" spans="1:5" x14ac:dyDescent="0.3">
      <c r="A28" s="2" t="s">
        <v>64</v>
      </c>
      <c r="B28" s="2" t="s">
        <v>73</v>
      </c>
      <c r="C28" s="2" t="s">
        <v>12</v>
      </c>
      <c r="D28" s="3">
        <v>23</v>
      </c>
      <c r="E28" s="2" t="s">
        <v>74</v>
      </c>
    </row>
    <row r="29" spans="1:5" x14ac:dyDescent="0.3">
      <c r="A29" s="2" t="s">
        <v>64</v>
      </c>
      <c r="B29" s="2" t="s">
        <v>75</v>
      </c>
      <c r="C29" s="2" t="s">
        <v>12</v>
      </c>
      <c r="D29" s="3">
        <v>189.67</v>
      </c>
      <c r="E29" s="2" t="s">
        <v>76</v>
      </c>
    </row>
    <row r="30" spans="1:5" x14ac:dyDescent="0.3">
      <c r="A30" s="2" t="s">
        <v>64</v>
      </c>
      <c r="B30" s="2" t="s">
        <v>77</v>
      </c>
      <c r="C30" s="2" t="s">
        <v>78</v>
      </c>
      <c r="D30" s="3">
        <v>84.23</v>
      </c>
      <c r="E30" s="2" t="s">
        <v>79</v>
      </c>
    </row>
    <row r="31" spans="1:5" x14ac:dyDescent="0.3">
      <c r="A31" s="2" t="s">
        <v>64</v>
      </c>
      <c r="B31" s="2" t="s">
        <v>80</v>
      </c>
      <c r="C31" s="2" t="s">
        <v>81</v>
      </c>
      <c r="D31" s="3">
        <v>62.23</v>
      </c>
      <c r="E31" s="2" t="s">
        <v>82</v>
      </c>
    </row>
    <row r="32" spans="1:5" x14ac:dyDescent="0.3">
      <c r="A32" s="2" t="s">
        <v>64</v>
      </c>
      <c r="B32" s="2" t="s">
        <v>40</v>
      </c>
      <c r="C32" s="2" t="s">
        <v>12</v>
      </c>
      <c r="D32" s="3">
        <v>67</v>
      </c>
      <c r="E32" s="2" t="s">
        <v>83</v>
      </c>
    </row>
    <row r="33" spans="1:5" x14ac:dyDescent="0.3">
      <c r="A33" s="2" t="s">
        <v>64</v>
      </c>
      <c r="B33" s="2" t="s">
        <v>84</v>
      </c>
      <c r="C33" s="2" t="s">
        <v>85</v>
      </c>
      <c r="D33" s="3">
        <v>50</v>
      </c>
      <c r="E33" s="2" t="s">
        <v>86</v>
      </c>
    </row>
    <row r="34" spans="1:5" x14ac:dyDescent="0.3">
      <c r="A34" s="2" t="s">
        <v>87</v>
      </c>
      <c r="B34" s="2" t="s">
        <v>68</v>
      </c>
      <c r="C34" s="2" t="s">
        <v>12</v>
      </c>
      <c r="D34" s="3">
        <v>27</v>
      </c>
      <c r="E34" s="2" t="s">
        <v>88</v>
      </c>
    </row>
    <row r="35" spans="1:5" x14ac:dyDescent="0.3">
      <c r="A35" s="2" t="s">
        <v>87</v>
      </c>
      <c r="B35" s="2" t="s">
        <v>61</v>
      </c>
      <c r="C35" s="2" t="s">
        <v>84</v>
      </c>
      <c r="D35" s="3">
        <v>70</v>
      </c>
      <c r="E35" s="2" t="s">
        <v>89</v>
      </c>
    </row>
    <row r="36" spans="1:5" x14ac:dyDescent="0.3">
      <c r="A36" s="2" t="s">
        <v>90</v>
      </c>
      <c r="B36" s="2" t="s">
        <v>91</v>
      </c>
      <c r="C36" s="2" t="s">
        <v>92</v>
      </c>
      <c r="D36" s="3">
        <v>0.05</v>
      </c>
      <c r="E36" s="2" t="s">
        <v>93</v>
      </c>
    </row>
    <row r="37" spans="1:5" x14ac:dyDescent="0.3">
      <c r="A37" s="2" t="s">
        <v>90</v>
      </c>
      <c r="B37" s="2" t="s">
        <v>94</v>
      </c>
      <c r="C37" s="2" t="s">
        <v>12</v>
      </c>
      <c r="D37" s="3">
        <v>0.4</v>
      </c>
      <c r="E37" s="2" t="s">
        <v>95</v>
      </c>
    </row>
    <row r="38" spans="1:5" x14ac:dyDescent="0.3">
      <c r="A38" s="2" t="s">
        <v>90</v>
      </c>
      <c r="B38" s="2" t="s">
        <v>61</v>
      </c>
      <c r="C38" s="2" t="s">
        <v>84</v>
      </c>
      <c r="D38" s="3">
        <v>10.98</v>
      </c>
      <c r="E38" s="2" t="s">
        <v>96</v>
      </c>
    </row>
    <row r="39" spans="1:5" x14ac:dyDescent="0.3">
      <c r="A39" s="2" t="s">
        <v>97</v>
      </c>
      <c r="B39" s="2" t="s">
        <v>12</v>
      </c>
      <c r="C39" s="2" t="s">
        <v>98</v>
      </c>
      <c r="D39" s="3">
        <v>18.989999999999998</v>
      </c>
      <c r="E39" s="2" t="s">
        <v>99</v>
      </c>
    </row>
    <row r="40" spans="1:5" x14ac:dyDescent="0.3">
      <c r="A40" s="2" t="s">
        <v>97</v>
      </c>
      <c r="B40" s="2" t="s">
        <v>12</v>
      </c>
      <c r="C40" s="2" t="s">
        <v>100</v>
      </c>
      <c r="D40" s="3">
        <v>18.989999999999998</v>
      </c>
      <c r="E40" s="2" t="s">
        <v>101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39" customWidth="1"/>
    <col min="2" max="2" width="15" customWidth="1"/>
    <col min="3" max="3" width="26" customWidth="1"/>
    <col min="4" max="4" width="11" customWidth="1"/>
    <col min="5" max="5" width="9" customWidth="1"/>
    <col min="6" max="6" width="10" customWidth="1"/>
  </cols>
  <sheetData>
    <row r="1" spans="1:6" ht="15.75" x14ac:dyDescent="0.4">
      <c r="A1" s="6" t="s">
        <v>102</v>
      </c>
      <c r="B1" s="7"/>
      <c r="C1" s="7"/>
      <c r="D1" s="7"/>
      <c r="E1" s="7"/>
      <c r="F1" s="7"/>
    </row>
    <row r="2" spans="1:6" x14ac:dyDescent="0.3">
      <c r="A2" s="1" t="s">
        <v>103</v>
      </c>
      <c r="B2" s="1" t="s">
        <v>104</v>
      </c>
      <c r="C2" s="1" t="s">
        <v>105</v>
      </c>
      <c r="D2" s="1" t="s">
        <v>106</v>
      </c>
      <c r="E2" s="1" t="s">
        <v>107</v>
      </c>
      <c r="F2" s="1" t="s">
        <v>108</v>
      </c>
    </row>
    <row r="3" spans="1:6" x14ac:dyDescent="0.3">
      <c r="A3" s="3">
        <v>1</v>
      </c>
      <c r="B3" s="2" t="s">
        <v>109</v>
      </c>
      <c r="C3" s="3">
        <v>100</v>
      </c>
      <c r="D3" s="3">
        <v>620</v>
      </c>
      <c r="E3" s="3">
        <v>380</v>
      </c>
      <c r="F3" s="3">
        <v>0</v>
      </c>
    </row>
    <row r="4" spans="1:6" x14ac:dyDescent="0.3">
      <c r="A4" s="3">
        <v>2</v>
      </c>
      <c r="B4" s="2" t="s">
        <v>110</v>
      </c>
      <c r="C4" s="3">
        <v>300</v>
      </c>
      <c r="D4" s="3">
        <v>587.18439999999998</v>
      </c>
      <c r="E4" s="3">
        <v>87.149000000000001</v>
      </c>
      <c r="F4" s="3">
        <v>56.8703</v>
      </c>
    </row>
    <row r="5" spans="1:6" x14ac:dyDescent="0.3">
      <c r="A5" s="3">
        <v>3</v>
      </c>
      <c r="B5" s="2" t="s">
        <v>111</v>
      </c>
      <c r="C5" s="3">
        <v>500</v>
      </c>
      <c r="D5" s="3">
        <v>528.4</v>
      </c>
      <c r="E5" s="3">
        <v>10</v>
      </c>
      <c r="F5" s="3">
        <v>1118</v>
      </c>
    </row>
    <row r="6" spans="1:6" x14ac:dyDescent="0.3">
      <c r="A6" s="3">
        <v>4</v>
      </c>
      <c r="B6" s="2" t="s">
        <v>112</v>
      </c>
      <c r="C6" s="3">
        <v>800</v>
      </c>
      <c r="D6" s="3">
        <v>530.5</v>
      </c>
      <c r="E6" s="3">
        <v>36.5</v>
      </c>
      <c r="F6" s="3">
        <v>1121.4000000000001</v>
      </c>
    </row>
    <row r="7" spans="1:6" x14ac:dyDescent="0.3">
      <c r="A7" s="3">
        <v>5</v>
      </c>
      <c r="B7" s="2" t="s">
        <v>113</v>
      </c>
      <c r="C7" s="3">
        <v>1390</v>
      </c>
      <c r="D7" s="3">
        <v>354.1</v>
      </c>
      <c r="E7" s="3">
        <v>714.5</v>
      </c>
      <c r="F7" s="3">
        <v>1466.4</v>
      </c>
    </row>
    <row r="8" spans="1:6" x14ac:dyDescent="0.3">
      <c r="A8" s="3">
        <v>6</v>
      </c>
      <c r="B8" s="2" t="s">
        <v>114</v>
      </c>
      <c r="C8" s="3">
        <v>99999</v>
      </c>
      <c r="D8" s="3">
        <v>476.8</v>
      </c>
      <c r="E8" s="3">
        <v>867.8</v>
      </c>
      <c r="F8" s="3">
        <v>1070.5</v>
      </c>
    </row>
    <row r="10" spans="1:6" ht="15.75" x14ac:dyDescent="0.4">
      <c r="A10" s="6" t="s">
        <v>115</v>
      </c>
      <c r="B10" s="7"/>
      <c r="C10" s="7"/>
      <c r="D10" s="7"/>
    </row>
    <row r="11" spans="1:6" x14ac:dyDescent="0.3">
      <c r="A11" s="1" t="s">
        <v>116</v>
      </c>
      <c r="B11" s="1" t="s">
        <v>117</v>
      </c>
      <c r="C11" s="1" t="s">
        <v>118</v>
      </c>
    </row>
    <row r="12" spans="1:6" x14ac:dyDescent="0.3">
      <c r="A12" s="2" t="s">
        <v>119</v>
      </c>
      <c r="B12" s="3">
        <v>1.95</v>
      </c>
      <c r="C12" s="2" t="s">
        <v>120</v>
      </c>
    </row>
    <row r="13" spans="1:6" x14ac:dyDescent="0.3">
      <c r="A13" s="2" t="s">
        <v>121</v>
      </c>
      <c r="B13" s="3">
        <v>1.3</v>
      </c>
      <c r="C13" s="2" t="s">
        <v>122</v>
      </c>
    </row>
    <row r="14" spans="1:6" x14ac:dyDescent="0.3">
      <c r="A14" s="2" t="s">
        <v>61</v>
      </c>
      <c r="B14" s="3">
        <v>1</v>
      </c>
      <c r="C14" s="2" t="s">
        <v>123</v>
      </c>
    </row>
    <row r="16" spans="1:6" ht="15.75" x14ac:dyDescent="0.4">
      <c r="A16" s="6" t="s">
        <v>124</v>
      </c>
      <c r="B16" s="7"/>
      <c r="C16" s="7"/>
      <c r="D16" s="7"/>
    </row>
    <row r="17" spans="1:4" x14ac:dyDescent="0.3">
      <c r="A17" s="1" t="s">
        <v>125</v>
      </c>
      <c r="B17" s="1" t="s">
        <v>117</v>
      </c>
      <c r="C17" s="1" t="s">
        <v>118</v>
      </c>
    </row>
    <row r="18" spans="1:4" x14ac:dyDescent="0.3">
      <c r="A18" s="2" t="s">
        <v>126</v>
      </c>
      <c r="B18" s="3">
        <v>1.07</v>
      </c>
      <c r="C18" s="2" t="s">
        <v>127</v>
      </c>
    </row>
    <row r="19" spans="1:4" x14ac:dyDescent="0.3">
      <c r="A19" s="2" t="s">
        <v>128</v>
      </c>
      <c r="B19" s="3">
        <v>1.07</v>
      </c>
      <c r="C19" s="2" t="s">
        <v>129</v>
      </c>
    </row>
    <row r="20" spans="1:4" x14ac:dyDescent="0.3">
      <c r="A20" s="2" t="s">
        <v>130</v>
      </c>
      <c r="B20" s="3">
        <v>1.07</v>
      </c>
      <c r="C20" s="2" t="s">
        <v>131</v>
      </c>
    </row>
    <row r="21" spans="1:4" x14ac:dyDescent="0.3">
      <c r="A21" s="2" t="s">
        <v>132</v>
      </c>
      <c r="B21" s="3">
        <v>1.07</v>
      </c>
      <c r="C21" s="2" t="s">
        <v>133</v>
      </c>
    </row>
    <row r="22" spans="1:4" x14ac:dyDescent="0.3">
      <c r="A22" s="2" t="s">
        <v>134</v>
      </c>
      <c r="B22" s="3">
        <v>1.58</v>
      </c>
      <c r="C22" s="2" t="s">
        <v>135</v>
      </c>
    </row>
    <row r="23" spans="1:4" x14ac:dyDescent="0.3">
      <c r="A23" s="2" t="s">
        <v>136</v>
      </c>
      <c r="B23" s="3">
        <v>1.05</v>
      </c>
      <c r="C23" s="2" t="s">
        <v>137</v>
      </c>
    </row>
    <row r="24" spans="1:4" x14ac:dyDescent="0.3">
      <c r="A24" s="2" t="s">
        <v>138</v>
      </c>
      <c r="B24" s="3">
        <v>1.38</v>
      </c>
      <c r="C24" s="2" t="s">
        <v>139</v>
      </c>
    </row>
    <row r="25" spans="1:4" x14ac:dyDescent="0.3">
      <c r="A25" s="2" t="s">
        <v>61</v>
      </c>
      <c r="B25" s="3">
        <v>1</v>
      </c>
      <c r="C25" s="2" t="s">
        <v>140</v>
      </c>
    </row>
    <row r="27" spans="1:4" ht="15.75" x14ac:dyDescent="0.4">
      <c r="A27" s="6" t="s">
        <v>141</v>
      </c>
      <c r="B27" s="7"/>
      <c r="C27" s="7"/>
      <c r="D27" s="7"/>
    </row>
    <row r="28" spans="1:4" x14ac:dyDescent="0.3">
      <c r="A28" s="4" t="s">
        <v>142</v>
      </c>
    </row>
    <row r="29" spans="1:4" x14ac:dyDescent="0.3">
      <c r="A29" s="1" t="s">
        <v>143</v>
      </c>
      <c r="B29" s="1" t="s">
        <v>105</v>
      </c>
      <c r="C29" s="1" t="s">
        <v>144</v>
      </c>
    </row>
    <row r="30" spans="1:4" x14ac:dyDescent="0.3">
      <c r="A30" s="2" t="s">
        <v>145</v>
      </c>
      <c r="B30" s="5">
        <v>500</v>
      </c>
      <c r="C30" s="5">
        <v>80000</v>
      </c>
    </row>
    <row r="31" spans="1:4" x14ac:dyDescent="0.3">
      <c r="A31" s="2" t="s">
        <v>146</v>
      </c>
      <c r="B31" s="5">
        <v>800</v>
      </c>
      <c r="C31" s="5">
        <v>160000</v>
      </c>
    </row>
    <row r="32" spans="1:4" x14ac:dyDescent="0.3">
      <c r="A32" s="2" t="s">
        <v>147</v>
      </c>
      <c r="B32" s="5">
        <v>1000</v>
      </c>
      <c r="C32" s="5">
        <v>200000</v>
      </c>
    </row>
    <row r="33" spans="1:4" x14ac:dyDescent="0.3">
      <c r="A33" s="2" t="s">
        <v>148</v>
      </c>
      <c r="B33" s="5">
        <v>1200</v>
      </c>
      <c r="C33" s="5">
        <v>800000</v>
      </c>
    </row>
    <row r="34" spans="1:4" x14ac:dyDescent="0.3">
      <c r="A34" s="2" t="s">
        <v>149</v>
      </c>
      <c r="B34" s="5">
        <v>1800</v>
      </c>
      <c r="C34" s="5">
        <v>1200000</v>
      </c>
    </row>
    <row r="36" spans="1:4" ht="15.75" x14ac:dyDescent="0.4">
      <c r="A36" s="6" t="s">
        <v>150</v>
      </c>
      <c r="B36" s="7"/>
      <c r="C36" s="7"/>
      <c r="D36" s="7"/>
    </row>
    <row r="37" spans="1:4" x14ac:dyDescent="0.3">
      <c r="A37" s="4" t="s">
        <v>142</v>
      </c>
    </row>
    <row r="38" spans="1:4" x14ac:dyDescent="0.3">
      <c r="A38" s="1" t="s">
        <v>143</v>
      </c>
      <c r="B38" s="1" t="s">
        <v>105</v>
      </c>
      <c r="C38" s="1" t="s">
        <v>144</v>
      </c>
    </row>
    <row r="39" spans="1:4" x14ac:dyDescent="0.3">
      <c r="A39" s="2" t="s">
        <v>151</v>
      </c>
      <c r="B39" s="5">
        <v>500</v>
      </c>
      <c r="C39" s="5">
        <v>2000</v>
      </c>
    </row>
    <row r="40" spans="1:4" x14ac:dyDescent="0.3">
      <c r="A40" s="2" t="s">
        <v>152</v>
      </c>
      <c r="B40" s="5">
        <v>1000</v>
      </c>
      <c r="C40" s="5">
        <v>5000</v>
      </c>
    </row>
    <row r="41" spans="1:4" x14ac:dyDescent="0.3">
      <c r="A41" s="2" t="s">
        <v>153</v>
      </c>
      <c r="B41" s="5">
        <v>1700</v>
      </c>
      <c r="C41" s="5">
        <v>10000</v>
      </c>
    </row>
    <row r="43" spans="1:4" ht="15.75" x14ac:dyDescent="0.4">
      <c r="A43" s="6" t="s">
        <v>154</v>
      </c>
      <c r="B43" s="7"/>
      <c r="C43" s="7"/>
      <c r="D43" s="7"/>
    </row>
    <row r="44" spans="1:4" x14ac:dyDescent="0.3">
      <c r="A44" s="4" t="s">
        <v>155</v>
      </c>
    </row>
    <row r="45" spans="1:4" x14ac:dyDescent="0.3">
      <c r="A45" s="1" t="s">
        <v>143</v>
      </c>
      <c r="B45" s="1" t="s">
        <v>105</v>
      </c>
      <c r="C45" s="1" t="s">
        <v>144</v>
      </c>
    </row>
    <row r="46" spans="1:4" x14ac:dyDescent="0.3">
      <c r="A46" s="2" t="s">
        <v>106</v>
      </c>
      <c r="B46" s="2"/>
      <c r="C46" s="5">
        <v>500</v>
      </c>
    </row>
    <row r="47" spans="1:4" x14ac:dyDescent="0.3">
      <c r="A47" s="2" t="s">
        <v>107</v>
      </c>
      <c r="B47" s="2"/>
      <c r="C47" s="5">
        <v>800</v>
      </c>
    </row>
    <row r="48" spans="1:4" x14ac:dyDescent="0.3">
      <c r="A48" s="2" t="s">
        <v>156</v>
      </c>
      <c r="B48" s="2"/>
      <c r="C48" s="5">
        <v>80000</v>
      </c>
    </row>
    <row r="50" spans="1:4" ht="15.75" x14ac:dyDescent="0.4">
      <c r="A50" s="6" t="s">
        <v>157</v>
      </c>
      <c r="B50" s="7"/>
      <c r="C50" s="7"/>
      <c r="D50" s="7"/>
    </row>
    <row r="51" spans="1:4" x14ac:dyDescent="0.3">
      <c r="A51" s="4" t="s">
        <v>158</v>
      </c>
    </row>
    <row r="52" spans="1:4" x14ac:dyDescent="0.3">
      <c r="A52" s="1" t="s">
        <v>143</v>
      </c>
      <c r="B52" s="1" t="s">
        <v>105</v>
      </c>
      <c r="C52" s="1" t="s">
        <v>144</v>
      </c>
    </row>
    <row r="53" spans="1:4" x14ac:dyDescent="0.3">
      <c r="A53" s="2" t="s">
        <v>159</v>
      </c>
      <c r="B53" s="2"/>
      <c r="C53" s="5">
        <v>10000</v>
      </c>
    </row>
    <row r="54" spans="1:4" x14ac:dyDescent="0.3">
      <c r="A54" s="2" t="s">
        <v>160</v>
      </c>
      <c r="B54" s="2"/>
      <c r="C54" s="5">
        <v>20000</v>
      </c>
    </row>
    <row r="55" spans="1:4" x14ac:dyDescent="0.3">
      <c r="A55" s="2" t="s">
        <v>161</v>
      </c>
      <c r="B55" s="2"/>
      <c r="C55" s="2" t="e">
        <f ca="1">V(按原始值)</f>
        <v>#NAME?</v>
      </c>
    </row>
    <row r="57" spans="1:4" ht="15.75" x14ac:dyDescent="0.4">
      <c r="A57" s="6" t="s">
        <v>162</v>
      </c>
      <c r="B57" s="7"/>
      <c r="C57" s="7"/>
      <c r="D57" s="7"/>
    </row>
    <row r="58" spans="1:4" x14ac:dyDescent="0.3">
      <c r="A58" s="4" t="s">
        <v>163</v>
      </c>
    </row>
    <row r="59" spans="1:4" x14ac:dyDescent="0.3">
      <c r="A59" s="1" t="s">
        <v>143</v>
      </c>
      <c r="B59" s="1" t="s">
        <v>105</v>
      </c>
      <c r="C59" s="1" t="s">
        <v>144</v>
      </c>
    </row>
    <row r="60" spans="1:4" x14ac:dyDescent="0.3">
      <c r="A60" s="2" t="s">
        <v>164</v>
      </c>
      <c r="B60" s="2"/>
      <c r="C60" s="5">
        <v>20000</v>
      </c>
    </row>
    <row r="61" spans="1:4" x14ac:dyDescent="0.3">
      <c r="A61" s="2" t="s">
        <v>165</v>
      </c>
      <c r="B61" s="2"/>
      <c r="C61" s="5">
        <v>30000</v>
      </c>
    </row>
    <row r="62" spans="1:4" x14ac:dyDescent="0.3">
      <c r="A62" s="2" t="s">
        <v>166</v>
      </c>
      <c r="B62" s="2"/>
      <c r="C62" s="2" t="e">
        <f>计算值</f>
        <v>#NAME?</v>
      </c>
    </row>
    <row r="64" spans="1:4" ht="15.75" x14ac:dyDescent="0.4">
      <c r="A64" s="6" t="s">
        <v>167</v>
      </c>
      <c r="B64" s="7"/>
      <c r="C64" s="7"/>
      <c r="D64" s="7"/>
    </row>
    <row r="65" spans="1:4" x14ac:dyDescent="0.3">
      <c r="A65" s="4" t="s">
        <v>168</v>
      </c>
    </row>
    <row r="66" spans="1:4" x14ac:dyDescent="0.3">
      <c r="A66" s="1" t="s">
        <v>143</v>
      </c>
      <c r="B66" s="1" t="s">
        <v>105</v>
      </c>
      <c r="C66" s="1" t="s">
        <v>144</v>
      </c>
    </row>
    <row r="67" spans="1:4" x14ac:dyDescent="0.3">
      <c r="A67" s="2" t="s">
        <v>169</v>
      </c>
      <c r="B67" s="2"/>
      <c r="C67" s="2" t="s">
        <v>170</v>
      </c>
    </row>
    <row r="68" spans="1:4" x14ac:dyDescent="0.3">
      <c r="A68" s="2" t="s">
        <v>171</v>
      </c>
      <c r="B68" s="2"/>
      <c r="C68" s="2" t="s">
        <v>172</v>
      </c>
    </row>
    <row r="70" spans="1:4" ht="15.75" x14ac:dyDescent="0.4">
      <c r="A70" s="6" t="s">
        <v>173</v>
      </c>
      <c r="B70" s="7"/>
      <c r="C70" s="7"/>
      <c r="D70" s="7"/>
    </row>
    <row r="71" spans="1:4" x14ac:dyDescent="0.3">
      <c r="A71" s="4" t="s">
        <v>142</v>
      </c>
    </row>
    <row r="72" spans="1:4" x14ac:dyDescent="0.3">
      <c r="A72" s="1" t="s">
        <v>143</v>
      </c>
      <c r="B72" s="1" t="s">
        <v>105</v>
      </c>
      <c r="C72" s="1" t="s">
        <v>144</v>
      </c>
    </row>
    <row r="73" spans="1:4" x14ac:dyDescent="0.3">
      <c r="A73" s="2" t="s">
        <v>174</v>
      </c>
      <c r="B73" s="5">
        <v>100</v>
      </c>
      <c r="C73" s="5">
        <v>10000</v>
      </c>
    </row>
    <row r="74" spans="1:4" x14ac:dyDescent="0.3">
      <c r="A74" s="2" t="s">
        <v>175</v>
      </c>
      <c r="B74" s="5">
        <v>800</v>
      </c>
      <c r="C74" s="5">
        <v>30000</v>
      </c>
    </row>
    <row r="75" spans="1:4" x14ac:dyDescent="0.3">
      <c r="A75" s="2" t="s">
        <v>176</v>
      </c>
      <c r="B75" s="5">
        <v>99999</v>
      </c>
      <c r="C75" s="5">
        <v>40000</v>
      </c>
    </row>
    <row r="77" spans="1:4" ht="15.75" x14ac:dyDescent="0.4">
      <c r="A77" s="6" t="s">
        <v>177</v>
      </c>
      <c r="B77" s="7"/>
      <c r="C77" s="7"/>
      <c r="D77" s="7"/>
    </row>
    <row r="78" spans="1:4" x14ac:dyDescent="0.3">
      <c r="A78" s="4" t="s">
        <v>178</v>
      </c>
    </row>
    <row r="79" spans="1:4" x14ac:dyDescent="0.3">
      <c r="A79" s="1" t="s">
        <v>143</v>
      </c>
      <c r="B79" s="1" t="s">
        <v>105</v>
      </c>
      <c r="C79" s="1" t="s">
        <v>144</v>
      </c>
    </row>
    <row r="80" spans="1:4" x14ac:dyDescent="0.3">
      <c r="A80" s="2" t="s">
        <v>179</v>
      </c>
      <c r="B80" s="2"/>
      <c r="C80" s="5">
        <v>10000</v>
      </c>
    </row>
    <row r="82" spans="1:4" ht="15.75" x14ac:dyDescent="0.4">
      <c r="A82" s="6" t="s">
        <v>180</v>
      </c>
      <c r="B82" s="7"/>
      <c r="C82" s="7"/>
      <c r="D82" s="7"/>
    </row>
    <row r="83" spans="1:4" x14ac:dyDescent="0.3">
      <c r="A83" s="4" t="s">
        <v>181</v>
      </c>
    </row>
    <row r="84" spans="1:4" x14ac:dyDescent="0.3">
      <c r="A84" s="1" t="s">
        <v>143</v>
      </c>
      <c r="B84" s="1" t="s">
        <v>105</v>
      </c>
      <c r="C84" s="1" t="s">
        <v>144</v>
      </c>
    </row>
    <row r="85" spans="1:4" x14ac:dyDescent="0.3">
      <c r="A85" s="2" t="s">
        <v>182</v>
      </c>
      <c r="B85" s="2"/>
      <c r="C85" s="5">
        <v>250000</v>
      </c>
    </row>
    <row r="86" spans="1:4" x14ac:dyDescent="0.3">
      <c r="A86" s="2" t="s">
        <v>61</v>
      </c>
      <c r="B86" s="2"/>
      <c r="C86" s="5">
        <v>500000</v>
      </c>
    </row>
    <row r="88" spans="1:4" ht="15.75" x14ac:dyDescent="0.4">
      <c r="A88" s="6" t="s">
        <v>183</v>
      </c>
      <c r="B88" s="7"/>
      <c r="C88" s="7"/>
      <c r="D88" s="7"/>
    </row>
    <row r="89" spans="1:4" x14ac:dyDescent="0.3">
      <c r="A89" s="4" t="s">
        <v>178</v>
      </c>
    </row>
    <row r="90" spans="1:4" x14ac:dyDescent="0.3">
      <c r="A90" s="1" t="s">
        <v>143</v>
      </c>
      <c r="B90" s="1" t="s">
        <v>105</v>
      </c>
      <c r="C90" s="1" t="s">
        <v>144</v>
      </c>
    </row>
    <row r="91" spans="1:4" x14ac:dyDescent="0.3">
      <c r="A91" s="2" t="s">
        <v>184</v>
      </c>
      <c r="B91" s="2"/>
      <c r="C91" s="5">
        <v>1200000</v>
      </c>
    </row>
    <row r="93" spans="1:4" ht="15.75" x14ac:dyDescent="0.4">
      <c r="A93" s="6" t="s">
        <v>185</v>
      </c>
      <c r="B93" s="7"/>
      <c r="C93" s="7"/>
      <c r="D93" s="7"/>
    </row>
    <row r="94" spans="1:4" x14ac:dyDescent="0.3">
      <c r="A94" s="4" t="s">
        <v>186</v>
      </c>
    </row>
    <row r="95" spans="1:4" x14ac:dyDescent="0.3">
      <c r="A95" s="1" t="s">
        <v>143</v>
      </c>
      <c r="B95" s="1" t="s">
        <v>105</v>
      </c>
      <c r="C95" s="1" t="s">
        <v>144</v>
      </c>
    </row>
    <row r="96" spans="1:4" x14ac:dyDescent="0.3">
      <c r="A96" s="2" t="s">
        <v>156</v>
      </c>
      <c r="B96" s="2"/>
      <c r="C96" s="5">
        <v>500000</v>
      </c>
    </row>
    <row r="97" spans="1:4" x14ac:dyDescent="0.3">
      <c r="A97" s="2" t="s">
        <v>187</v>
      </c>
      <c r="B97" s="2"/>
      <c r="C97" s="5">
        <v>557700</v>
      </c>
    </row>
    <row r="98" spans="1:4" x14ac:dyDescent="0.3">
      <c r="A98" s="2" t="s">
        <v>188</v>
      </c>
      <c r="B98" s="2"/>
      <c r="C98" s="5">
        <v>531500</v>
      </c>
    </row>
    <row r="100" spans="1:4" ht="15.75" x14ac:dyDescent="0.4">
      <c r="A100" s="6" t="s">
        <v>189</v>
      </c>
      <c r="B100" s="7"/>
      <c r="C100" s="7"/>
      <c r="D100" s="7"/>
    </row>
    <row r="101" spans="1:4" x14ac:dyDescent="0.3">
      <c r="A101" s="4" t="s">
        <v>190</v>
      </c>
    </row>
    <row r="102" spans="1:4" x14ac:dyDescent="0.3">
      <c r="A102" s="1" t="s">
        <v>143</v>
      </c>
      <c r="B102" s="1" t="s">
        <v>105</v>
      </c>
      <c r="C102" s="1" t="s">
        <v>144</v>
      </c>
    </row>
    <row r="103" spans="1:4" x14ac:dyDescent="0.3">
      <c r="A103" s="2" t="s">
        <v>84</v>
      </c>
      <c r="B103" s="2"/>
      <c r="C103" s="5">
        <v>9999</v>
      </c>
    </row>
  </sheetData>
  <mergeCells count="15">
    <mergeCell ref="A1:F1"/>
    <mergeCell ref="A100:D100"/>
    <mergeCell ref="A64:D64"/>
    <mergeCell ref="A82:D82"/>
    <mergeCell ref="A43:D43"/>
    <mergeCell ref="A57:D57"/>
    <mergeCell ref="A16:D16"/>
    <mergeCell ref="A10:D10"/>
    <mergeCell ref="A93:D93"/>
    <mergeCell ref="A36:D36"/>
    <mergeCell ref="A70:D70"/>
    <mergeCell ref="A27:D27"/>
    <mergeCell ref="A77:D77"/>
    <mergeCell ref="A88:D88"/>
    <mergeCell ref="A50:D50"/>
  </mergeCells>
  <phoneticPr fontId="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45" customWidth="1"/>
    <col min="2" max="2" width="25" customWidth="1"/>
    <col min="3" max="3" width="9" customWidth="1"/>
    <col min="4" max="4" width="24" customWidth="1"/>
    <col min="5" max="5" width="9" customWidth="1"/>
    <col min="6" max="6" width="14" customWidth="1"/>
  </cols>
  <sheetData>
    <row r="1" spans="1:6" ht="15.75" x14ac:dyDescent="0.4">
      <c r="A1" s="6" t="s">
        <v>191</v>
      </c>
      <c r="B1" s="7"/>
      <c r="C1" s="7"/>
      <c r="D1" s="7"/>
      <c r="E1" s="7"/>
      <c r="F1" s="7"/>
    </row>
    <row r="2" spans="1:6" x14ac:dyDescent="0.3">
      <c r="A2" s="1" t="s">
        <v>103</v>
      </c>
      <c r="B2" s="1" t="s">
        <v>104</v>
      </c>
      <c r="C2" s="1" t="s">
        <v>106</v>
      </c>
      <c r="D2" s="1" t="s">
        <v>107</v>
      </c>
      <c r="E2" s="1" t="s">
        <v>108</v>
      </c>
      <c r="F2" s="1" t="s">
        <v>192</v>
      </c>
    </row>
    <row r="3" spans="1:6" x14ac:dyDescent="0.3">
      <c r="A3" s="3">
        <v>1</v>
      </c>
      <c r="B3" s="2" t="s">
        <v>193</v>
      </c>
      <c r="C3" s="3">
        <v>46.3</v>
      </c>
      <c r="D3" s="3">
        <v>16.559999999999999</v>
      </c>
      <c r="E3" s="3">
        <v>150.19999999999999</v>
      </c>
      <c r="F3" s="3">
        <v>180000</v>
      </c>
    </row>
    <row r="4" spans="1:6" x14ac:dyDescent="0.3">
      <c r="A4" s="3">
        <v>2</v>
      </c>
      <c r="B4" s="2" t="s">
        <v>194</v>
      </c>
      <c r="C4" s="3">
        <v>44.5</v>
      </c>
      <c r="D4" s="3">
        <v>11.11</v>
      </c>
      <c r="E4" s="3">
        <v>48.25</v>
      </c>
      <c r="F4" s="3">
        <v>130000</v>
      </c>
    </row>
    <row r="5" spans="1:6" x14ac:dyDescent="0.3">
      <c r="A5" s="3">
        <v>3</v>
      </c>
      <c r="B5" s="2" t="s">
        <v>195</v>
      </c>
      <c r="C5" s="2"/>
      <c r="D5" s="2"/>
      <c r="E5" s="2"/>
      <c r="F5" s="3">
        <v>10000</v>
      </c>
    </row>
    <row r="6" spans="1:6" x14ac:dyDescent="0.3">
      <c r="A6" s="3">
        <v>4</v>
      </c>
      <c r="B6" s="2" t="s">
        <v>174</v>
      </c>
      <c r="C6" s="2"/>
      <c r="D6" s="2"/>
      <c r="E6" s="2"/>
      <c r="F6" s="3">
        <v>6800</v>
      </c>
    </row>
    <row r="8" spans="1:6" ht="15.75" x14ac:dyDescent="0.4">
      <c r="A8" s="6" t="s">
        <v>196</v>
      </c>
      <c r="B8" s="7"/>
      <c r="C8" s="7"/>
      <c r="D8" s="7"/>
    </row>
    <row r="9" spans="1:6" x14ac:dyDescent="0.3">
      <c r="A9" s="1" t="s">
        <v>197</v>
      </c>
      <c r="B9" s="1" t="s">
        <v>198</v>
      </c>
      <c r="C9" s="1" t="s">
        <v>199</v>
      </c>
      <c r="D9" s="1" t="s">
        <v>118</v>
      </c>
    </row>
    <row r="10" spans="1:6" x14ac:dyDescent="0.3">
      <c r="A10" s="2" t="s">
        <v>200</v>
      </c>
      <c r="B10" s="2" t="s">
        <v>201</v>
      </c>
      <c r="C10" s="3">
        <v>0.65</v>
      </c>
      <c r="D10" s="2" t="s">
        <v>202</v>
      </c>
    </row>
    <row r="11" spans="1:6" x14ac:dyDescent="0.3">
      <c r="A11" s="2" t="s">
        <v>203</v>
      </c>
      <c r="B11" s="2" t="s">
        <v>204</v>
      </c>
      <c r="C11" s="3">
        <v>2</v>
      </c>
      <c r="D11" s="2" t="s">
        <v>205</v>
      </c>
    </row>
    <row r="12" spans="1:6" x14ac:dyDescent="0.3">
      <c r="A12" s="2" t="s">
        <v>206</v>
      </c>
      <c r="B12" s="2" t="s">
        <v>207</v>
      </c>
      <c r="C12" s="3">
        <v>1.3</v>
      </c>
      <c r="D12" s="2" t="s">
        <v>208</v>
      </c>
    </row>
    <row r="14" spans="1:6" ht="15.75" x14ac:dyDescent="0.4">
      <c r="A14" s="6" t="s">
        <v>209</v>
      </c>
      <c r="B14" s="7"/>
      <c r="C14" s="7"/>
      <c r="D14" s="7"/>
    </row>
    <row r="15" spans="1:6" x14ac:dyDescent="0.3">
      <c r="A15" t="s">
        <v>210</v>
      </c>
    </row>
    <row r="16" spans="1:6" x14ac:dyDescent="0.3">
      <c r="A16" t="s">
        <v>211</v>
      </c>
    </row>
  </sheetData>
  <mergeCells count="3">
    <mergeCell ref="A1:F1"/>
    <mergeCell ref="A8:D8"/>
    <mergeCell ref="A14:D14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3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42" customWidth="1"/>
    <col min="2" max="2" width="23" customWidth="1"/>
    <col min="3" max="3" width="12" customWidth="1"/>
    <col min="4" max="4" width="20" customWidth="1"/>
    <col min="5" max="5" width="11" customWidth="1"/>
  </cols>
  <sheetData>
    <row r="1" spans="1:4" ht="15.75" x14ac:dyDescent="0.4">
      <c r="A1" s="6" t="s">
        <v>212</v>
      </c>
      <c r="B1" s="7"/>
      <c r="C1" s="7"/>
      <c r="D1" s="7"/>
    </row>
    <row r="2" spans="1:4" x14ac:dyDescent="0.3">
      <c r="A2" s="1" t="s">
        <v>213</v>
      </c>
      <c r="B2" s="1" t="s">
        <v>214</v>
      </c>
      <c r="C2" s="1" t="s">
        <v>144</v>
      </c>
      <c r="D2" s="1" t="s">
        <v>118</v>
      </c>
    </row>
    <row r="3" spans="1:4" x14ac:dyDescent="0.3">
      <c r="A3" s="2" t="s">
        <v>215</v>
      </c>
      <c r="B3" s="2" t="s">
        <v>216</v>
      </c>
      <c r="C3" s="5">
        <v>6000</v>
      </c>
      <c r="D3" s="2"/>
    </row>
    <row r="4" spans="1:4" x14ac:dyDescent="0.3">
      <c r="A4" s="2" t="s">
        <v>215</v>
      </c>
      <c r="B4" s="2" t="s">
        <v>217</v>
      </c>
      <c r="C4" s="5">
        <v>6000</v>
      </c>
      <c r="D4" s="2"/>
    </row>
    <row r="5" spans="1:4" x14ac:dyDescent="0.3">
      <c r="A5" s="2" t="s">
        <v>215</v>
      </c>
      <c r="B5" s="2" t="s">
        <v>218</v>
      </c>
      <c r="C5" s="5">
        <v>8000</v>
      </c>
      <c r="D5" s="2"/>
    </row>
    <row r="6" spans="1:4" x14ac:dyDescent="0.3">
      <c r="A6" s="2" t="s">
        <v>215</v>
      </c>
      <c r="B6" s="2" t="s">
        <v>219</v>
      </c>
      <c r="C6" s="5">
        <v>8000</v>
      </c>
      <c r="D6" s="2"/>
    </row>
    <row r="7" spans="1:4" x14ac:dyDescent="0.3">
      <c r="A7" s="2" t="s">
        <v>215</v>
      </c>
      <c r="B7" s="2" t="s">
        <v>220</v>
      </c>
      <c r="C7" s="5">
        <v>10000</v>
      </c>
      <c r="D7" s="2"/>
    </row>
    <row r="8" spans="1:4" x14ac:dyDescent="0.3">
      <c r="A8" s="2" t="s">
        <v>215</v>
      </c>
      <c r="B8" s="2" t="s">
        <v>221</v>
      </c>
      <c r="C8" s="5">
        <v>12000</v>
      </c>
      <c r="D8" s="2"/>
    </row>
    <row r="9" spans="1:4" x14ac:dyDescent="0.3">
      <c r="A9" s="2" t="s">
        <v>215</v>
      </c>
      <c r="B9" s="2" t="s">
        <v>222</v>
      </c>
      <c r="C9" s="5">
        <v>15000</v>
      </c>
      <c r="D9" s="2"/>
    </row>
    <row r="10" spans="1:4" x14ac:dyDescent="0.3">
      <c r="A10" s="2" t="s">
        <v>215</v>
      </c>
      <c r="B10" s="2" t="s">
        <v>223</v>
      </c>
      <c r="C10" s="5">
        <v>25000</v>
      </c>
      <c r="D10" s="2"/>
    </row>
    <row r="11" spans="1:4" x14ac:dyDescent="0.3">
      <c r="A11" s="2" t="s">
        <v>215</v>
      </c>
      <c r="B11" s="2" t="s">
        <v>224</v>
      </c>
      <c r="C11" s="5">
        <v>25000</v>
      </c>
      <c r="D11" s="2"/>
    </row>
    <row r="12" spans="1:4" x14ac:dyDescent="0.3">
      <c r="A12" s="2" t="s">
        <v>215</v>
      </c>
      <c r="B12" s="2" t="s">
        <v>225</v>
      </c>
      <c r="C12" s="5">
        <v>25000</v>
      </c>
      <c r="D12" s="2"/>
    </row>
    <row r="13" spans="1:4" x14ac:dyDescent="0.3">
      <c r="A13" s="2" t="s">
        <v>215</v>
      </c>
      <c r="B13" s="2" t="s">
        <v>226</v>
      </c>
      <c r="C13" s="5">
        <v>28000</v>
      </c>
      <c r="D13" s="2"/>
    </row>
    <row r="14" spans="1:4" x14ac:dyDescent="0.3">
      <c r="A14" s="2" t="s">
        <v>215</v>
      </c>
      <c r="B14" s="2" t="s">
        <v>227</v>
      </c>
      <c r="C14" s="5">
        <v>28000</v>
      </c>
      <c r="D14" s="2"/>
    </row>
    <row r="15" spans="1:4" x14ac:dyDescent="0.3">
      <c r="A15" s="2" t="s">
        <v>215</v>
      </c>
      <c r="B15" s="2" t="s">
        <v>228</v>
      </c>
      <c r="C15" s="5">
        <v>32000</v>
      </c>
      <c r="D15" s="2"/>
    </row>
    <row r="16" spans="1:4" x14ac:dyDescent="0.3">
      <c r="A16" s="2" t="s">
        <v>215</v>
      </c>
      <c r="B16" s="2" t="s">
        <v>229</v>
      </c>
      <c r="C16" s="5">
        <v>40000</v>
      </c>
      <c r="D16" s="2"/>
    </row>
    <row r="17" spans="1:5" x14ac:dyDescent="0.3">
      <c r="A17" s="2" t="s">
        <v>215</v>
      </c>
      <c r="B17" s="2" t="s">
        <v>230</v>
      </c>
      <c r="C17" s="5">
        <v>60000</v>
      </c>
      <c r="D17" s="2"/>
    </row>
    <row r="18" spans="1:5" x14ac:dyDescent="0.3">
      <c r="A18" s="2" t="s">
        <v>231</v>
      </c>
      <c r="B18" s="2" t="s">
        <v>12</v>
      </c>
      <c r="C18" s="5">
        <v>8000</v>
      </c>
      <c r="D18" s="2" t="s">
        <v>178</v>
      </c>
    </row>
    <row r="19" spans="1:5" x14ac:dyDescent="0.3">
      <c r="A19" s="2" t="s">
        <v>232</v>
      </c>
      <c r="B19" s="2" t="s">
        <v>233</v>
      </c>
      <c r="C19" s="5">
        <v>25000</v>
      </c>
      <c r="D19" s="2"/>
    </row>
    <row r="20" spans="1:5" x14ac:dyDescent="0.3">
      <c r="A20" s="2" t="s">
        <v>232</v>
      </c>
      <c r="B20" s="2" t="s">
        <v>234</v>
      </c>
      <c r="C20" s="5">
        <v>50000</v>
      </c>
      <c r="D20" s="2"/>
    </row>
    <row r="21" spans="1:5" x14ac:dyDescent="0.3">
      <c r="A21" s="2" t="s">
        <v>232</v>
      </c>
      <c r="B21" s="2" t="s">
        <v>235</v>
      </c>
      <c r="C21" s="5">
        <v>100000</v>
      </c>
      <c r="D21" s="2"/>
    </row>
    <row r="22" spans="1:5" x14ac:dyDescent="0.3">
      <c r="A22" s="2" t="s">
        <v>232</v>
      </c>
      <c r="B22" s="2" t="s">
        <v>236</v>
      </c>
      <c r="C22" s="5">
        <v>180000</v>
      </c>
      <c r="D22" s="2"/>
    </row>
    <row r="23" spans="1:5" x14ac:dyDescent="0.3">
      <c r="A23" s="2" t="s">
        <v>237</v>
      </c>
      <c r="B23" s="2" t="s">
        <v>238</v>
      </c>
      <c r="C23" s="5">
        <v>120000</v>
      </c>
      <c r="D23" s="2"/>
    </row>
    <row r="24" spans="1:5" x14ac:dyDescent="0.3">
      <c r="A24" s="2" t="s">
        <v>237</v>
      </c>
      <c r="B24" s="2" t="s">
        <v>239</v>
      </c>
      <c r="C24" s="5">
        <v>200000</v>
      </c>
      <c r="D24" s="2"/>
    </row>
    <row r="25" spans="1:5" x14ac:dyDescent="0.3">
      <c r="A25" s="2" t="s">
        <v>240</v>
      </c>
      <c r="B25" s="2" t="s">
        <v>12</v>
      </c>
      <c r="C25" s="5">
        <v>1500000</v>
      </c>
      <c r="D25" s="2" t="s">
        <v>178</v>
      </c>
    </row>
    <row r="26" spans="1:5" x14ac:dyDescent="0.3">
      <c r="A26" s="2" t="s">
        <v>241</v>
      </c>
      <c r="B26" s="2" t="s">
        <v>12</v>
      </c>
      <c r="C26" s="5">
        <v>150000</v>
      </c>
      <c r="D26" s="2" t="s">
        <v>178</v>
      </c>
    </row>
    <row r="27" spans="1:5" x14ac:dyDescent="0.3">
      <c r="A27" s="2" t="s">
        <v>242</v>
      </c>
      <c r="B27" s="2" t="s">
        <v>243</v>
      </c>
      <c r="C27" s="5">
        <v>20000</v>
      </c>
      <c r="D27" s="2"/>
    </row>
    <row r="28" spans="1:5" x14ac:dyDescent="0.3">
      <c r="A28" s="2" t="s">
        <v>242</v>
      </c>
      <c r="B28" s="2" t="s">
        <v>244</v>
      </c>
      <c r="C28" s="5">
        <v>40000</v>
      </c>
      <c r="D28" s="2"/>
    </row>
    <row r="29" spans="1:5" x14ac:dyDescent="0.3">
      <c r="A29" s="2" t="s">
        <v>242</v>
      </c>
      <c r="B29" s="2" t="s">
        <v>245</v>
      </c>
      <c r="C29" s="5">
        <v>60000</v>
      </c>
      <c r="D29" s="2"/>
    </row>
    <row r="31" spans="1:5" ht="15.75" x14ac:dyDescent="0.4">
      <c r="A31" s="6" t="s">
        <v>246</v>
      </c>
      <c r="B31" s="7"/>
      <c r="C31" s="7"/>
      <c r="D31" s="7"/>
      <c r="E31" s="7"/>
    </row>
    <row r="32" spans="1:5" x14ac:dyDescent="0.3">
      <c r="A32" s="1" t="s">
        <v>247</v>
      </c>
      <c r="B32" s="1" t="s">
        <v>248</v>
      </c>
      <c r="C32" s="1" t="s">
        <v>144</v>
      </c>
      <c r="D32" s="1" t="s">
        <v>249</v>
      </c>
      <c r="E32" s="1" t="s">
        <v>118</v>
      </c>
    </row>
    <row r="33" spans="1:5" x14ac:dyDescent="0.3">
      <c r="A33" s="2" t="s">
        <v>250</v>
      </c>
      <c r="B33" s="2" t="s">
        <v>151</v>
      </c>
      <c r="C33" s="5">
        <v>10000</v>
      </c>
      <c r="D33" s="2" t="s">
        <v>251</v>
      </c>
      <c r="E33" s="2"/>
    </row>
    <row r="34" spans="1:5" x14ac:dyDescent="0.3">
      <c r="A34" s="2" t="s">
        <v>250</v>
      </c>
      <c r="B34" s="2" t="s">
        <v>152</v>
      </c>
      <c r="C34" s="5">
        <v>30000</v>
      </c>
      <c r="D34" s="2" t="s">
        <v>251</v>
      </c>
      <c r="E34" s="2"/>
    </row>
    <row r="35" spans="1:5" x14ac:dyDescent="0.3">
      <c r="A35" s="2" t="s">
        <v>250</v>
      </c>
      <c r="B35" s="2" t="s">
        <v>252</v>
      </c>
      <c r="C35" s="5">
        <v>50000</v>
      </c>
      <c r="D35" s="2" t="s">
        <v>251</v>
      </c>
      <c r="E35" s="2"/>
    </row>
    <row r="36" spans="1:5" x14ac:dyDescent="0.3">
      <c r="A36" s="2" t="s">
        <v>250</v>
      </c>
      <c r="B36" s="2" t="s">
        <v>245</v>
      </c>
      <c r="C36" s="5">
        <v>70000</v>
      </c>
      <c r="D36" s="2" t="s">
        <v>251</v>
      </c>
      <c r="E36" s="2"/>
    </row>
    <row r="37" spans="1:5" x14ac:dyDescent="0.3">
      <c r="A37" s="2" t="s">
        <v>253</v>
      </c>
      <c r="B37" s="2" t="s">
        <v>12</v>
      </c>
      <c r="C37" s="5">
        <v>1000000</v>
      </c>
      <c r="D37" s="2" t="s">
        <v>12</v>
      </c>
      <c r="E37" s="2"/>
    </row>
    <row r="38" spans="1:5" x14ac:dyDescent="0.3">
      <c r="A38" s="2" t="s">
        <v>254</v>
      </c>
      <c r="B38" s="2" t="s">
        <v>12</v>
      </c>
      <c r="C38" s="5">
        <v>250000</v>
      </c>
      <c r="D38" s="2" t="s">
        <v>12</v>
      </c>
      <c r="E38" s="2"/>
    </row>
    <row r="39" spans="1:5" x14ac:dyDescent="0.3">
      <c r="A39" s="2" t="s">
        <v>255</v>
      </c>
      <c r="B39" s="2" t="s">
        <v>12</v>
      </c>
      <c r="C39" s="5">
        <v>300000</v>
      </c>
      <c r="D39" s="2" t="s">
        <v>12</v>
      </c>
      <c r="E39" s="2"/>
    </row>
    <row r="40" spans="1:5" x14ac:dyDescent="0.3">
      <c r="A40" s="2" t="s">
        <v>256</v>
      </c>
      <c r="B40" s="2" t="s">
        <v>12</v>
      </c>
      <c r="C40" s="5">
        <v>450000</v>
      </c>
      <c r="D40" s="2" t="s">
        <v>12</v>
      </c>
      <c r="E40" s="2" t="s">
        <v>178</v>
      </c>
    </row>
    <row r="41" spans="1:5" x14ac:dyDescent="0.3">
      <c r="A41" s="2" t="s">
        <v>257</v>
      </c>
      <c r="B41" s="2" t="s">
        <v>12</v>
      </c>
      <c r="C41" s="5">
        <v>20000</v>
      </c>
      <c r="D41" s="2" t="s">
        <v>12</v>
      </c>
      <c r="E41" s="2"/>
    </row>
    <row r="42" spans="1:5" x14ac:dyDescent="0.3">
      <c r="A42" s="2" t="s">
        <v>258</v>
      </c>
      <c r="B42" s="2" t="s">
        <v>12</v>
      </c>
      <c r="C42" s="5">
        <v>7000</v>
      </c>
      <c r="D42" s="2" t="s">
        <v>12</v>
      </c>
      <c r="E42" s="2"/>
    </row>
    <row r="43" spans="1:5" x14ac:dyDescent="0.3">
      <c r="A43" s="2" t="s">
        <v>259</v>
      </c>
      <c r="B43" s="2" t="s">
        <v>12</v>
      </c>
      <c r="C43" s="5">
        <v>10000</v>
      </c>
      <c r="D43" s="2" t="s">
        <v>12</v>
      </c>
      <c r="E43" s="2"/>
    </row>
    <row r="44" spans="1:5" x14ac:dyDescent="0.3">
      <c r="A44" s="2" t="s">
        <v>260</v>
      </c>
      <c r="B44" s="2" t="s">
        <v>12</v>
      </c>
      <c r="C44" s="5">
        <v>10000</v>
      </c>
      <c r="D44" s="2" t="s">
        <v>12</v>
      </c>
      <c r="E44" s="2"/>
    </row>
    <row r="45" spans="1:5" x14ac:dyDescent="0.3">
      <c r="A45" s="2" t="s">
        <v>261</v>
      </c>
      <c r="B45" s="2" t="s">
        <v>233</v>
      </c>
      <c r="C45" s="5">
        <v>15000</v>
      </c>
      <c r="D45" s="2" t="s">
        <v>12</v>
      </c>
      <c r="E45" s="2"/>
    </row>
    <row r="46" spans="1:5" x14ac:dyDescent="0.3">
      <c r="A46" s="2" t="s">
        <v>261</v>
      </c>
      <c r="B46" s="2" t="s">
        <v>234</v>
      </c>
      <c r="C46" s="5">
        <v>30000</v>
      </c>
      <c r="D46" s="2" t="s">
        <v>12</v>
      </c>
      <c r="E46" s="2"/>
    </row>
    <row r="47" spans="1:5" x14ac:dyDescent="0.3">
      <c r="A47" s="2" t="s">
        <v>261</v>
      </c>
      <c r="B47" s="2" t="s">
        <v>235</v>
      </c>
      <c r="C47" s="5">
        <v>50000</v>
      </c>
      <c r="D47" s="2" t="s">
        <v>12</v>
      </c>
      <c r="E47" s="2"/>
    </row>
    <row r="48" spans="1:5" x14ac:dyDescent="0.3">
      <c r="A48" s="2" t="s">
        <v>261</v>
      </c>
      <c r="B48" s="2" t="s">
        <v>236</v>
      </c>
      <c r="C48" s="5">
        <v>120000</v>
      </c>
      <c r="D48" s="2" t="s">
        <v>12</v>
      </c>
      <c r="E48" s="2"/>
    </row>
    <row r="49" spans="1:5" x14ac:dyDescent="0.3">
      <c r="A49" s="2" t="s">
        <v>262</v>
      </c>
      <c r="B49" s="2" t="s">
        <v>233</v>
      </c>
      <c r="C49" s="5">
        <v>13500</v>
      </c>
      <c r="D49" s="2" t="s">
        <v>251</v>
      </c>
      <c r="E49" s="2"/>
    </row>
    <row r="50" spans="1:5" x14ac:dyDescent="0.3">
      <c r="A50" s="2" t="s">
        <v>262</v>
      </c>
      <c r="B50" s="2" t="s">
        <v>234</v>
      </c>
      <c r="C50" s="5">
        <v>23000</v>
      </c>
      <c r="D50" s="2" t="s">
        <v>251</v>
      </c>
      <c r="E50" s="2"/>
    </row>
    <row r="51" spans="1:5" x14ac:dyDescent="0.3">
      <c r="A51" s="2" t="s">
        <v>262</v>
      </c>
      <c r="B51" s="2" t="s">
        <v>235</v>
      </c>
      <c r="C51" s="5">
        <v>46000</v>
      </c>
      <c r="D51" s="2" t="s">
        <v>251</v>
      </c>
      <c r="E51" s="2"/>
    </row>
    <row r="52" spans="1:5" x14ac:dyDescent="0.3">
      <c r="A52" s="2" t="s">
        <v>262</v>
      </c>
      <c r="B52" s="2" t="s">
        <v>236</v>
      </c>
      <c r="C52" s="5">
        <v>60000</v>
      </c>
      <c r="D52" s="2" t="s">
        <v>251</v>
      </c>
      <c r="E52" s="2"/>
    </row>
    <row r="53" spans="1:5" x14ac:dyDescent="0.3">
      <c r="A53" s="2" t="s">
        <v>263</v>
      </c>
      <c r="B53" s="2" t="s">
        <v>264</v>
      </c>
      <c r="C53" s="5">
        <v>170000</v>
      </c>
      <c r="D53" s="2" t="s">
        <v>251</v>
      </c>
      <c r="E53" s="2"/>
    </row>
    <row r="54" spans="1:5" x14ac:dyDescent="0.3">
      <c r="A54" s="2" t="s">
        <v>263</v>
      </c>
      <c r="B54" s="2" t="s">
        <v>265</v>
      </c>
      <c r="C54" s="5">
        <v>240000</v>
      </c>
      <c r="D54" s="2" t="s">
        <v>251</v>
      </c>
      <c r="E54" s="2"/>
    </row>
    <row r="55" spans="1:5" x14ac:dyDescent="0.3">
      <c r="A55" s="2" t="s">
        <v>263</v>
      </c>
      <c r="B55" s="2" t="s">
        <v>266</v>
      </c>
      <c r="C55" s="5">
        <v>300000</v>
      </c>
      <c r="D55" s="2" t="s">
        <v>251</v>
      </c>
      <c r="E55" s="2"/>
    </row>
    <row r="56" spans="1:5" x14ac:dyDescent="0.3">
      <c r="A56" s="2" t="s">
        <v>267</v>
      </c>
      <c r="B56" s="2" t="s">
        <v>243</v>
      </c>
      <c r="C56" s="5">
        <v>20000</v>
      </c>
      <c r="D56" s="2" t="s">
        <v>12</v>
      </c>
      <c r="E56" s="2"/>
    </row>
    <row r="57" spans="1:5" x14ac:dyDescent="0.3">
      <c r="A57" s="2" t="s">
        <v>267</v>
      </c>
      <c r="B57" s="2" t="s">
        <v>268</v>
      </c>
      <c r="C57" s="5">
        <v>40000</v>
      </c>
      <c r="D57" s="2" t="s">
        <v>12</v>
      </c>
      <c r="E57" s="2"/>
    </row>
    <row r="58" spans="1:5" x14ac:dyDescent="0.3">
      <c r="A58" s="2" t="s">
        <v>267</v>
      </c>
      <c r="B58" s="2" t="s">
        <v>266</v>
      </c>
      <c r="C58" s="5">
        <v>60000</v>
      </c>
      <c r="D58" s="2" t="s">
        <v>12</v>
      </c>
      <c r="E58" s="2"/>
    </row>
    <row r="59" spans="1:5" x14ac:dyDescent="0.3">
      <c r="A59" s="2" t="s">
        <v>269</v>
      </c>
      <c r="B59" s="2" t="s">
        <v>270</v>
      </c>
      <c r="C59" s="5">
        <v>30000</v>
      </c>
      <c r="D59" s="2" t="s">
        <v>251</v>
      </c>
      <c r="E59" s="2"/>
    </row>
    <row r="60" spans="1:5" x14ac:dyDescent="0.3">
      <c r="A60" s="2" t="s">
        <v>269</v>
      </c>
      <c r="B60" s="2" t="s">
        <v>271</v>
      </c>
      <c r="C60" s="5">
        <v>90000</v>
      </c>
      <c r="D60" s="2" t="s">
        <v>251</v>
      </c>
      <c r="E60" s="2"/>
    </row>
    <row r="61" spans="1:5" x14ac:dyDescent="0.3">
      <c r="A61" s="2" t="s">
        <v>269</v>
      </c>
      <c r="B61" s="2" t="s">
        <v>272</v>
      </c>
      <c r="C61" s="5">
        <v>120000</v>
      </c>
      <c r="D61" s="2" t="s">
        <v>251</v>
      </c>
      <c r="E61" s="2"/>
    </row>
    <row r="62" spans="1:5" x14ac:dyDescent="0.3">
      <c r="A62" s="2" t="s">
        <v>273</v>
      </c>
      <c r="B62" s="2" t="s">
        <v>12</v>
      </c>
      <c r="C62" s="5">
        <v>800000</v>
      </c>
      <c r="D62" s="2" t="s">
        <v>12</v>
      </c>
      <c r="E62" s="2"/>
    </row>
    <row r="63" spans="1:5" x14ac:dyDescent="0.3">
      <c r="A63" s="2" t="s">
        <v>274</v>
      </c>
      <c r="B63" s="2" t="s">
        <v>12</v>
      </c>
      <c r="C63" s="5">
        <v>1200000</v>
      </c>
      <c r="D63" s="2" t="s">
        <v>12</v>
      </c>
      <c r="E63" s="2"/>
    </row>
    <row r="64" spans="1:5" x14ac:dyDescent="0.3">
      <c r="A64" s="2" t="s">
        <v>275</v>
      </c>
      <c r="B64" s="2" t="s">
        <v>12</v>
      </c>
      <c r="C64" s="5">
        <v>1650000</v>
      </c>
      <c r="D64" s="2" t="s">
        <v>12</v>
      </c>
      <c r="E64" s="2"/>
    </row>
    <row r="65" spans="1:5" x14ac:dyDescent="0.3">
      <c r="A65" s="2" t="s">
        <v>276</v>
      </c>
      <c r="B65" s="2" t="s">
        <v>12</v>
      </c>
      <c r="C65" s="5">
        <v>1050000</v>
      </c>
      <c r="D65" s="2" t="s">
        <v>12</v>
      </c>
      <c r="E65" s="2"/>
    </row>
    <row r="66" spans="1:5" x14ac:dyDescent="0.3">
      <c r="A66" s="2" t="s">
        <v>277</v>
      </c>
      <c r="B66" s="2" t="s">
        <v>12</v>
      </c>
      <c r="C66" s="5">
        <v>160000</v>
      </c>
      <c r="D66" s="2" t="s">
        <v>12</v>
      </c>
      <c r="E66" s="2"/>
    </row>
    <row r="67" spans="1:5" x14ac:dyDescent="0.3">
      <c r="A67" s="2" t="s">
        <v>278</v>
      </c>
      <c r="B67" s="2" t="s">
        <v>12</v>
      </c>
      <c r="C67" s="5">
        <v>180000</v>
      </c>
      <c r="D67" s="2" t="s">
        <v>12</v>
      </c>
      <c r="E67" s="2"/>
    </row>
    <row r="68" spans="1:5" x14ac:dyDescent="0.3">
      <c r="A68" s="2" t="s">
        <v>279</v>
      </c>
      <c r="B68" s="2" t="s">
        <v>12</v>
      </c>
      <c r="C68" s="5">
        <v>90000</v>
      </c>
      <c r="D68" s="2" t="s">
        <v>12</v>
      </c>
      <c r="E68" s="2"/>
    </row>
    <row r="69" spans="1:5" x14ac:dyDescent="0.3">
      <c r="A69" s="2" t="s">
        <v>280</v>
      </c>
      <c r="B69" s="2" t="s">
        <v>12</v>
      </c>
      <c r="C69" s="5">
        <v>150000</v>
      </c>
      <c r="D69" s="2" t="s">
        <v>12</v>
      </c>
      <c r="E69" s="2"/>
    </row>
    <row r="70" spans="1:5" x14ac:dyDescent="0.3">
      <c r="A70" s="2" t="s">
        <v>281</v>
      </c>
      <c r="B70" s="2" t="s">
        <v>12</v>
      </c>
      <c r="C70" s="5">
        <v>320000</v>
      </c>
      <c r="D70" s="2" t="s">
        <v>12</v>
      </c>
      <c r="E70" s="2" t="s">
        <v>282</v>
      </c>
    </row>
    <row r="71" spans="1:5" x14ac:dyDescent="0.3">
      <c r="A71" s="2" t="s">
        <v>283</v>
      </c>
      <c r="B71" s="2" t="s">
        <v>12</v>
      </c>
      <c r="C71" s="5">
        <v>200000</v>
      </c>
      <c r="D71" s="2" t="s">
        <v>12</v>
      </c>
      <c r="E71" s="2" t="s">
        <v>282</v>
      </c>
    </row>
    <row r="72" spans="1:5" x14ac:dyDescent="0.3">
      <c r="A72" s="2" t="s">
        <v>284</v>
      </c>
      <c r="B72" s="2" t="s">
        <v>12</v>
      </c>
      <c r="C72" s="5">
        <v>200000</v>
      </c>
      <c r="D72" s="2" t="s">
        <v>12</v>
      </c>
      <c r="E72" s="2" t="s">
        <v>282</v>
      </c>
    </row>
    <row r="73" spans="1:5" x14ac:dyDescent="0.3">
      <c r="A73" s="2" t="s">
        <v>285</v>
      </c>
      <c r="B73" s="2" t="s">
        <v>12</v>
      </c>
      <c r="C73" s="5">
        <v>300000</v>
      </c>
      <c r="D73" s="2" t="s">
        <v>12</v>
      </c>
      <c r="E73" s="2" t="s">
        <v>282</v>
      </c>
    </row>
    <row r="74" spans="1:5" x14ac:dyDescent="0.3">
      <c r="A74" s="2" t="s">
        <v>286</v>
      </c>
      <c r="B74" s="2" t="s">
        <v>287</v>
      </c>
      <c r="C74" s="5">
        <v>30000</v>
      </c>
      <c r="D74" s="2" t="s">
        <v>12</v>
      </c>
      <c r="E74" s="2"/>
    </row>
    <row r="75" spans="1:5" x14ac:dyDescent="0.3">
      <c r="A75" s="2" t="s">
        <v>286</v>
      </c>
      <c r="B75" s="2" t="s">
        <v>288</v>
      </c>
      <c r="C75" s="5">
        <v>100000</v>
      </c>
      <c r="D75" s="2" t="s">
        <v>12</v>
      </c>
      <c r="E75" s="2"/>
    </row>
    <row r="76" spans="1:5" x14ac:dyDescent="0.3">
      <c r="A76" s="2" t="s">
        <v>286</v>
      </c>
      <c r="B76" s="2" t="s">
        <v>289</v>
      </c>
      <c r="C76" s="5">
        <v>150000</v>
      </c>
      <c r="D76" s="2" t="s">
        <v>12</v>
      </c>
      <c r="E76" s="2"/>
    </row>
    <row r="77" spans="1:5" x14ac:dyDescent="0.3">
      <c r="A77" s="2" t="s">
        <v>290</v>
      </c>
      <c r="B77" s="2" t="s">
        <v>291</v>
      </c>
      <c r="C77" s="5">
        <v>150000</v>
      </c>
      <c r="D77" s="2" t="s">
        <v>12</v>
      </c>
      <c r="E77" s="2"/>
    </row>
    <row r="78" spans="1:5" x14ac:dyDescent="0.3">
      <c r="A78" s="2" t="s">
        <v>290</v>
      </c>
      <c r="B78" s="2" t="s">
        <v>289</v>
      </c>
      <c r="C78" s="5">
        <v>320000</v>
      </c>
      <c r="D78" s="2" t="s">
        <v>12</v>
      </c>
      <c r="E78" s="2"/>
    </row>
    <row r="79" spans="1:5" x14ac:dyDescent="0.3">
      <c r="A79" s="2" t="s">
        <v>292</v>
      </c>
      <c r="B79" s="2" t="s">
        <v>12</v>
      </c>
      <c r="C79" s="5">
        <v>1200000</v>
      </c>
      <c r="D79" s="2" t="s">
        <v>12</v>
      </c>
      <c r="E79" s="2" t="s">
        <v>282</v>
      </c>
    </row>
    <row r="80" spans="1:5" x14ac:dyDescent="0.3">
      <c r="A80" s="2" t="s">
        <v>293</v>
      </c>
      <c r="B80" s="2" t="s">
        <v>12</v>
      </c>
      <c r="C80" s="5">
        <v>50000</v>
      </c>
      <c r="D80" s="2" t="s">
        <v>12</v>
      </c>
      <c r="E80" s="2"/>
    </row>
    <row r="81" spans="1:5" x14ac:dyDescent="0.3">
      <c r="A81" s="2" t="s">
        <v>294</v>
      </c>
      <c r="B81" s="2" t="s">
        <v>12</v>
      </c>
      <c r="C81" s="5">
        <v>150000</v>
      </c>
      <c r="D81" s="2" t="s">
        <v>12</v>
      </c>
      <c r="E81" s="2"/>
    </row>
    <row r="82" spans="1:5" x14ac:dyDescent="0.3">
      <c r="A82" s="2" t="s">
        <v>295</v>
      </c>
      <c r="B82" s="2" t="s">
        <v>151</v>
      </c>
      <c r="C82" s="5">
        <v>20000</v>
      </c>
      <c r="D82" s="2" t="s">
        <v>12</v>
      </c>
      <c r="E82" s="2"/>
    </row>
    <row r="83" spans="1:5" x14ac:dyDescent="0.3">
      <c r="A83" s="2" t="s">
        <v>295</v>
      </c>
      <c r="B83" s="2" t="s">
        <v>112</v>
      </c>
      <c r="C83" s="5">
        <v>40000</v>
      </c>
      <c r="D83" s="2" t="s">
        <v>12</v>
      </c>
      <c r="E83" s="2"/>
    </row>
    <row r="84" spans="1:5" x14ac:dyDescent="0.3">
      <c r="A84" s="2" t="s">
        <v>295</v>
      </c>
      <c r="B84" s="2" t="s">
        <v>296</v>
      </c>
      <c r="C84" s="5">
        <v>50000</v>
      </c>
      <c r="D84" s="2" t="s">
        <v>12</v>
      </c>
      <c r="E84" s="2"/>
    </row>
    <row r="85" spans="1:5" x14ac:dyDescent="0.3">
      <c r="A85" s="2" t="s">
        <v>295</v>
      </c>
      <c r="B85" s="2" t="s">
        <v>297</v>
      </c>
      <c r="C85" s="5">
        <v>60000</v>
      </c>
      <c r="D85" s="2" t="s">
        <v>12</v>
      </c>
      <c r="E85" s="2"/>
    </row>
    <row r="86" spans="1:5" x14ac:dyDescent="0.3">
      <c r="A86" s="2" t="s">
        <v>295</v>
      </c>
      <c r="B86" s="2" t="s">
        <v>236</v>
      </c>
      <c r="C86" s="5">
        <v>80000</v>
      </c>
      <c r="D86" s="2" t="s">
        <v>12</v>
      </c>
      <c r="E86" s="2"/>
    </row>
    <row r="87" spans="1:5" x14ac:dyDescent="0.3">
      <c r="A87" s="2" t="s">
        <v>298</v>
      </c>
      <c r="B87" s="2" t="s">
        <v>12</v>
      </c>
      <c r="C87" s="5">
        <v>160000</v>
      </c>
      <c r="D87" s="2" t="s">
        <v>12</v>
      </c>
      <c r="E87" s="2"/>
    </row>
    <row r="88" spans="1:5" x14ac:dyDescent="0.3">
      <c r="A88" s="2" t="s">
        <v>299</v>
      </c>
      <c r="B88" s="2" t="s">
        <v>12</v>
      </c>
      <c r="C88" s="5">
        <v>160000</v>
      </c>
      <c r="D88" s="2" t="s">
        <v>12</v>
      </c>
      <c r="E88" s="2"/>
    </row>
    <row r="89" spans="1:5" x14ac:dyDescent="0.3">
      <c r="A89" s="2" t="s">
        <v>300</v>
      </c>
      <c r="B89" s="2" t="s">
        <v>12</v>
      </c>
      <c r="C89" s="5">
        <v>100000</v>
      </c>
      <c r="D89" s="2" t="s">
        <v>12</v>
      </c>
      <c r="E89" s="2"/>
    </row>
    <row r="90" spans="1:5" x14ac:dyDescent="0.3">
      <c r="A90" s="2" t="s">
        <v>301</v>
      </c>
      <c r="B90" s="2" t="s">
        <v>12</v>
      </c>
      <c r="C90" s="5">
        <v>100000</v>
      </c>
      <c r="D90" s="2" t="s">
        <v>12</v>
      </c>
      <c r="E90" s="2"/>
    </row>
    <row r="91" spans="1:5" x14ac:dyDescent="0.3">
      <c r="A91" s="2" t="s">
        <v>302</v>
      </c>
      <c r="B91" s="2" t="s">
        <v>12</v>
      </c>
      <c r="C91" s="5">
        <v>60000</v>
      </c>
      <c r="D91" s="2" t="s">
        <v>12</v>
      </c>
      <c r="E91" s="2"/>
    </row>
    <row r="92" spans="1:5" x14ac:dyDescent="0.3">
      <c r="A92" s="2" t="s">
        <v>303</v>
      </c>
      <c r="B92" s="2" t="s">
        <v>12</v>
      </c>
      <c r="C92" s="5">
        <v>70000</v>
      </c>
      <c r="D92" s="2" t="s">
        <v>12</v>
      </c>
      <c r="E92" s="2"/>
    </row>
    <row r="93" spans="1:5" x14ac:dyDescent="0.3">
      <c r="A93" s="2" t="s">
        <v>304</v>
      </c>
      <c r="B93" s="2" t="s">
        <v>12</v>
      </c>
      <c r="C93" s="5">
        <v>999</v>
      </c>
      <c r="D93" s="2" t="s">
        <v>12</v>
      </c>
      <c r="E93" s="2" t="s">
        <v>190</v>
      </c>
    </row>
  </sheetData>
  <mergeCells count="2">
    <mergeCell ref="A1:D1"/>
    <mergeCell ref="A31:E3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9" customWidth="1"/>
    <col min="2" max="3" width="11" customWidth="1"/>
    <col min="4" max="4" width="23" customWidth="1"/>
  </cols>
  <sheetData>
    <row r="1" spans="1:4" x14ac:dyDescent="0.3">
      <c r="A1" s="1" t="s">
        <v>305</v>
      </c>
      <c r="B1" s="1" t="s">
        <v>306</v>
      </c>
      <c r="C1" s="1" t="s">
        <v>307</v>
      </c>
      <c r="D1" s="1" t="s">
        <v>118</v>
      </c>
    </row>
    <row r="2" spans="1:4" x14ac:dyDescent="0.3">
      <c r="A2" s="2" t="s">
        <v>308</v>
      </c>
      <c r="B2" s="2" t="s">
        <v>309</v>
      </c>
      <c r="C2" s="3">
        <v>35</v>
      </c>
      <c r="D2" s="2" t="s">
        <v>310</v>
      </c>
    </row>
    <row r="3" spans="1:4" x14ac:dyDescent="0.3">
      <c r="A3" s="2" t="s">
        <v>311</v>
      </c>
      <c r="B3" s="2" t="s">
        <v>312</v>
      </c>
      <c r="C3" s="3">
        <v>0.85</v>
      </c>
      <c r="D3" s="2" t="s">
        <v>313</v>
      </c>
    </row>
    <row r="4" spans="1:4" x14ac:dyDescent="0.3">
      <c r="A4" s="2" t="s">
        <v>314</v>
      </c>
      <c r="B4" s="2" t="s">
        <v>315</v>
      </c>
      <c r="C4" s="3">
        <v>15</v>
      </c>
      <c r="D4" s="2" t="s">
        <v>316</v>
      </c>
    </row>
    <row r="5" spans="1:4" x14ac:dyDescent="0.3">
      <c r="A5" s="2" t="s">
        <v>317</v>
      </c>
      <c r="B5" s="2" t="s">
        <v>318</v>
      </c>
      <c r="C5" s="3">
        <v>5</v>
      </c>
      <c r="D5" s="2" t="s">
        <v>319</v>
      </c>
    </row>
    <row r="6" spans="1:4" x14ac:dyDescent="0.3">
      <c r="A6" s="2" t="s">
        <v>320</v>
      </c>
      <c r="B6" s="2" t="s">
        <v>321</v>
      </c>
      <c r="C6" s="3">
        <v>70</v>
      </c>
      <c r="D6" s="2" t="s">
        <v>322</v>
      </c>
    </row>
    <row r="7" spans="1:4" x14ac:dyDescent="0.3">
      <c r="A7" s="2" t="s">
        <v>323</v>
      </c>
      <c r="B7" s="2" t="s">
        <v>12</v>
      </c>
      <c r="C7" s="3">
        <v>1.1499999999999999</v>
      </c>
      <c r="D7" s="2" t="s">
        <v>324</v>
      </c>
    </row>
    <row r="8" spans="1:4" x14ac:dyDescent="0.3">
      <c r="A8" s="2" t="s">
        <v>325</v>
      </c>
      <c r="B8" s="2" t="s">
        <v>12</v>
      </c>
      <c r="C8" s="3">
        <v>1.115</v>
      </c>
      <c r="D8" s="2" t="s">
        <v>324</v>
      </c>
    </row>
    <row r="9" spans="1:4" x14ac:dyDescent="0.3">
      <c r="A9" s="2" t="s">
        <v>326</v>
      </c>
      <c r="B9" s="2" t="s">
        <v>327</v>
      </c>
      <c r="C9" s="3">
        <v>800</v>
      </c>
      <c r="D9" s="2" t="s">
        <v>328</v>
      </c>
    </row>
    <row r="10" spans="1:4" x14ac:dyDescent="0.3">
      <c r="A10" s="2" t="s">
        <v>329</v>
      </c>
      <c r="B10" s="2" t="s">
        <v>330</v>
      </c>
      <c r="C10" s="3">
        <v>2250</v>
      </c>
      <c r="D10" s="2" t="s">
        <v>331</v>
      </c>
    </row>
    <row r="11" spans="1:4" x14ac:dyDescent="0.3">
      <c r="A11" s="2" t="s">
        <v>332</v>
      </c>
      <c r="B11" s="2" t="s">
        <v>330</v>
      </c>
      <c r="C11" s="3">
        <v>1400</v>
      </c>
      <c r="D11" s="2" t="s">
        <v>333</v>
      </c>
    </row>
    <row r="12" spans="1:4" x14ac:dyDescent="0.3">
      <c r="A12" s="2" t="s">
        <v>334</v>
      </c>
      <c r="B12" s="2" t="s">
        <v>330</v>
      </c>
      <c r="C12" s="3">
        <v>30</v>
      </c>
      <c r="D12" s="2" t="s">
        <v>335</v>
      </c>
    </row>
    <row r="13" spans="1:4" x14ac:dyDescent="0.3">
      <c r="A13" s="2" t="s">
        <v>336</v>
      </c>
      <c r="B13" s="2" t="s">
        <v>337</v>
      </c>
      <c r="C13" s="3">
        <v>4.5</v>
      </c>
      <c r="D13" s="2" t="s">
        <v>338</v>
      </c>
    </row>
    <row r="14" spans="1:4" x14ac:dyDescent="0.3">
      <c r="A14" s="2" t="s">
        <v>339</v>
      </c>
      <c r="B14" s="2" t="s">
        <v>12</v>
      </c>
      <c r="C14" s="3">
        <v>4</v>
      </c>
      <c r="D14" s="2" t="s">
        <v>340</v>
      </c>
    </row>
    <row r="15" spans="1:4" x14ac:dyDescent="0.3">
      <c r="A15" s="2" t="s">
        <v>341</v>
      </c>
      <c r="B15" s="2" t="s">
        <v>337</v>
      </c>
      <c r="C15" s="3">
        <v>15</v>
      </c>
      <c r="D15" s="2" t="s">
        <v>342</v>
      </c>
    </row>
    <row r="16" spans="1:4" x14ac:dyDescent="0.3">
      <c r="A16" s="2" t="s">
        <v>343</v>
      </c>
      <c r="B16" s="2" t="s">
        <v>12</v>
      </c>
      <c r="C16" s="3">
        <v>2.5</v>
      </c>
      <c r="D16" s="2" t="s">
        <v>344</v>
      </c>
    </row>
    <row r="17" spans="1:4" x14ac:dyDescent="0.3">
      <c r="A17" s="2" t="s">
        <v>345</v>
      </c>
      <c r="B17" s="2" t="s">
        <v>321</v>
      </c>
      <c r="C17" s="3">
        <v>70</v>
      </c>
      <c r="D17" s="2" t="s">
        <v>346</v>
      </c>
    </row>
    <row r="18" spans="1:4" x14ac:dyDescent="0.3">
      <c r="A18" s="2" t="s">
        <v>347</v>
      </c>
      <c r="B18" s="2" t="s">
        <v>330</v>
      </c>
      <c r="C18" s="3">
        <v>686</v>
      </c>
      <c r="D18" s="2" t="s">
        <v>348</v>
      </c>
    </row>
    <row r="19" spans="1:4" x14ac:dyDescent="0.3">
      <c r="A19" s="2" t="s">
        <v>349</v>
      </c>
      <c r="B19" s="2" t="s">
        <v>350</v>
      </c>
      <c r="C19" s="3">
        <v>115</v>
      </c>
      <c r="D19" s="2" t="s">
        <v>351</v>
      </c>
    </row>
    <row r="20" spans="1:4" x14ac:dyDescent="0.3">
      <c r="A20" s="2" t="s">
        <v>352</v>
      </c>
      <c r="B20" s="2" t="s">
        <v>12</v>
      </c>
      <c r="C20" s="3">
        <v>0.7</v>
      </c>
      <c r="D20" s="2" t="s">
        <v>353</v>
      </c>
    </row>
    <row r="21" spans="1:4" x14ac:dyDescent="0.3">
      <c r="A21" s="2" t="s">
        <v>354</v>
      </c>
      <c r="B21" s="2" t="s">
        <v>350</v>
      </c>
      <c r="C21" s="3">
        <v>60</v>
      </c>
      <c r="D21" s="2" t="s">
        <v>355</v>
      </c>
    </row>
    <row r="22" spans="1:4" x14ac:dyDescent="0.3">
      <c r="A22" s="2" t="s">
        <v>356</v>
      </c>
      <c r="B22" s="2" t="s">
        <v>350</v>
      </c>
      <c r="C22" s="3">
        <v>25</v>
      </c>
      <c r="D22" s="2" t="s">
        <v>357</v>
      </c>
    </row>
    <row r="23" spans="1:4" x14ac:dyDescent="0.3">
      <c r="A23" s="2" t="s">
        <v>358</v>
      </c>
      <c r="B23" s="2" t="s">
        <v>359</v>
      </c>
      <c r="C23" s="3">
        <v>0.09</v>
      </c>
      <c r="D23" s="2" t="s">
        <v>360</v>
      </c>
    </row>
    <row r="24" spans="1:4" x14ac:dyDescent="0.3">
      <c r="A24" s="2" t="s">
        <v>361</v>
      </c>
      <c r="B24" s="2" t="s">
        <v>362</v>
      </c>
      <c r="C24" s="3">
        <v>0.5</v>
      </c>
      <c r="D24" s="2" t="s">
        <v>363</v>
      </c>
    </row>
    <row r="25" spans="1:4" x14ac:dyDescent="0.3">
      <c r="A25" s="2" t="s">
        <v>364</v>
      </c>
      <c r="B25" s="2" t="s">
        <v>362</v>
      </c>
      <c r="C25" s="3">
        <v>0.98</v>
      </c>
      <c r="D25" s="2" t="s">
        <v>365</v>
      </c>
    </row>
    <row r="26" spans="1:4" x14ac:dyDescent="0.3">
      <c r="A26" s="2" t="s">
        <v>366</v>
      </c>
      <c r="B26" s="2" t="s">
        <v>362</v>
      </c>
      <c r="C26" s="3">
        <v>1</v>
      </c>
      <c r="D26" s="2" t="s">
        <v>367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30" customWidth="1"/>
    <col min="2" max="2" width="16" customWidth="1"/>
    <col min="3" max="3" width="29" customWidth="1"/>
    <col min="4" max="4" width="28" customWidth="1"/>
  </cols>
  <sheetData>
    <row r="1" spans="1:4" ht="15.75" x14ac:dyDescent="0.4">
      <c r="A1" s="6" t="s">
        <v>368</v>
      </c>
      <c r="B1" s="7"/>
      <c r="C1" s="7"/>
      <c r="D1" s="7"/>
    </row>
    <row r="2" spans="1:4" x14ac:dyDescent="0.3">
      <c r="A2" s="1" t="s">
        <v>369</v>
      </c>
      <c r="B2" s="1" t="s">
        <v>370</v>
      </c>
      <c r="C2" s="1" t="s">
        <v>371</v>
      </c>
      <c r="D2" s="1" t="s">
        <v>118</v>
      </c>
    </row>
    <row r="3" spans="1:4" x14ac:dyDescent="0.3">
      <c r="A3" s="3">
        <v>0</v>
      </c>
      <c r="B3" s="3">
        <v>20</v>
      </c>
      <c r="C3" s="3">
        <v>0.1</v>
      </c>
      <c r="D3" s="2" t="s">
        <v>372</v>
      </c>
    </row>
    <row r="4" spans="1:4" x14ac:dyDescent="0.3">
      <c r="A4" s="3">
        <v>20</v>
      </c>
      <c r="B4" s="3">
        <v>50</v>
      </c>
      <c r="C4" s="3">
        <v>0.3</v>
      </c>
      <c r="D4" s="2" t="s">
        <v>373</v>
      </c>
    </row>
    <row r="5" spans="1:4" x14ac:dyDescent="0.3">
      <c r="A5" s="3">
        <v>50</v>
      </c>
      <c r="B5" s="3">
        <v>500</v>
      </c>
      <c r="C5" s="3">
        <v>0.5</v>
      </c>
      <c r="D5" s="2" t="s">
        <v>374</v>
      </c>
    </row>
    <row r="6" spans="1:4" x14ac:dyDescent="0.3">
      <c r="A6" s="3">
        <v>500</v>
      </c>
      <c r="B6" s="3">
        <v>99999</v>
      </c>
      <c r="C6" s="3">
        <v>0.7</v>
      </c>
      <c r="D6" s="2" t="s">
        <v>375</v>
      </c>
    </row>
    <row r="8" spans="1:4" ht="15.75" x14ac:dyDescent="0.4">
      <c r="A8" s="6" t="s">
        <v>376</v>
      </c>
      <c r="B8" s="7"/>
      <c r="C8" s="7"/>
    </row>
    <row r="9" spans="1:4" x14ac:dyDescent="0.3">
      <c r="A9" s="1" t="s">
        <v>377</v>
      </c>
      <c r="B9" s="1" t="s">
        <v>378</v>
      </c>
      <c r="C9" s="1" t="s">
        <v>118</v>
      </c>
    </row>
    <row r="10" spans="1:4" x14ac:dyDescent="0.3">
      <c r="A10" s="2" t="s">
        <v>379</v>
      </c>
      <c r="B10" s="3">
        <v>0.9</v>
      </c>
      <c r="C10" s="2" t="s">
        <v>380</v>
      </c>
    </row>
    <row r="11" spans="1:4" x14ac:dyDescent="0.3">
      <c r="A11" s="2" t="s">
        <v>381</v>
      </c>
      <c r="B11" s="3">
        <v>0.8</v>
      </c>
      <c r="C11" s="2" t="s">
        <v>382</v>
      </c>
    </row>
    <row r="12" spans="1:4" x14ac:dyDescent="0.3">
      <c r="A12" s="2" t="s">
        <v>383</v>
      </c>
      <c r="B12" s="3">
        <v>0.6</v>
      </c>
      <c r="C12" s="2" t="s">
        <v>384</v>
      </c>
    </row>
    <row r="13" spans="1:4" x14ac:dyDescent="0.3">
      <c r="A13" s="2" t="s">
        <v>385</v>
      </c>
      <c r="B13" s="3">
        <v>0.7</v>
      </c>
      <c r="C13" s="2" t="s">
        <v>386</v>
      </c>
    </row>
    <row r="15" spans="1:4" ht="15.75" x14ac:dyDescent="0.4">
      <c r="A15" s="6" t="s">
        <v>387</v>
      </c>
      <c r="B15" s="7"/>
      <c r="C15" s="7"/>
      <c r="D15" s="7"/>
    </row>
    <row r="16" spans="1:4" x14ac:dyDescent="0.3">
      <c r="A16" s="1" t="s">
        <v>388</v>
      </c>
      <c r="B16" s="1" t="s">
        <v>389</v>
      </c>
      <c r="C16" s="1" t="s">
        <v>390</v>
      </c>
      <c r="D16" s="1" t="s">
        <v>118</v>
      </c>
    </row>
    <row r="17" spans="1:4" x14ac:dyDescent="0.3">
      <c r="A17" s="2" t="s">
        <v>391</v>
      </c>
      <c r="B17" s="3">
        <v>8.5</v>
      </c>
      <c r="C17" s="2" t="s">
        <v>392</v>
      </c>
      <c r="D17" s="2" t="s">
        <v>393</v>
      </c>
    </row>
    <row r="18" spans="1:4" x14ac:dyDescent="0.3">
      <c r="A18" s="2" t="s">
        <v>394</v>
      </c>
      <c r="B18" s="3">
        <v>17</v>
      </c>
      <c r="C18" s="2" t="s">
        <v>395</v>
      </c>
      <c r="D18" s="2" t="s">
        <v>396</v>
      </c>
    </row>
    <row r="19" spans="1:4" x14ac:dyDescent="0.3">
      <c r="A19" s="2" t="s">
        <v>397</v>
      </c>
      <c r="B19" s="3">
        <v>13</v>
      </c>
      <c r="C19" s="2" t="s">
        <v>392</v>
      </c>
      <c r="D19" s="2" t="s">
        <v>398</v>
      </c>
    </row>
    <row r="20" spans="1:4" x14ac:dyDescent="0.3">
      <c r="A20" s="2" t="s">
        <v>399</v>
      </c>
      <c r="B20" s="3">
        <v>21.5</v>
      </c>
      <c r="C20" s="2" t="s">
        <v>395</v>
      </c>
      <c r="D20" s="2" t="s">
        <v>400</v>
      </c>
    </row>
    <row r="21" spans="1:4" x14ac:dyDescent="0.3">
      <c r="A21" s="2" t="s">
        <v>385</v>
      </c>
      <c r="B21" s="3">
        <v>21.5</v>
      </c>
      <c r="C21" s="2" t="s">
        <v>395</v>
      </c>
      <c r="D21" s="2" t="s">
        <v>401</v>
      </c>
    </row>
    <row r="23" spans="1:4" ht="15.75" x14ac:dyDescent="0.4">
      <c r="A23" s="6" t="s">
        <v>402</v>
      </c>
      <c r="B23" s="7"/>
      <c r="C23" s="7"/>
      <c r="D23" s="7"/>
    </row>
    <row r="24" spans="1:4" x14ac:dyDescent="0.3">
      <c r="A24" s="1" t="s">
        <v>403</v>
      </c>
      <c r="B24" s="1" t="s">
        <v>404</v>
      </c>
      <c r="C24" s="1" t="s">
        <v>405</v>
      </c>
      <c r="D24" s="1" t="s">
        <v>118</v>
      </c>
    </row>
    <row r="25" spans="1:4" x14ac:dyDescent="0.3">
      <c r="A25" s="2" t="s">
        <v>406</v>
      </c>
      <c r="B25" s="3">
        <v>0.2</v>
      </c>
      <c r="C25" s="2" t="s">
        <v>407</v>
      </c>
      <c r="D25" s="2"/>
    </row>
    <row r="26" spans="1:4" x14ac:dyDescent="0.3">
      <c r="A26" s="2" t="s">
        <v>408</v>
      </c>
      <c r="B26" s="3">
        <v>0.5</v>
      </c>
      <c r="C26" s="2" t="s">
        <v>409</v>
      </c>
      <c r="D26" s="2"/>
    </row>
    <row r="27" spans="1:4" x14ac:dyDescent="0.3">
      <c r="A27" s="2" t="s">
        <v>410</v>
      </c>
      <c r="B27" s="3">
        <v>0.08</v>
      </c>
      <c r="C27" s="2" t="s">
        <v>411</v>
      </c>
      <c r="D27" s="2" t="s">
        <v>412</v>
      </c>
    </row>
    <row r="28" spans="1:4" x14ac:dyDescent="0.3">
      <c r="A28" s="2" t="s">
        <v>413</v>
      </c>
      <c r="B28" s="3">
        <v>1.1100000000000001</v>
      </c>
      <c r="C28" s="2" t="s">
        <v>414</v>
      </c>
      <c r="D28" s="2" t="s">
        <v>415</v>
      </c>
    </row>
    <row r="29" spans="1:4" x14ac:dyDescent="0.3">
      <c r="A29" s="2" t="s">
        <v>416</v>
      </c>
      <c r="B29" s="3">
        <v>0.2</v>
      </c>
      <c r="C29" s="2" t="s">
        <v>417</v>
      </c>
      <c r="D29" s="2"/>
    </row>
    <row r="30" spans="1:4" x14ac:dyDescent="0.3">
      <c r="A30" s="2" t="s">
        <v>84</v>
      </c>
      <c r="B30" s="3">
        <v>0.48</v>
      </c>
      <c r="C30" s="2" t="s">
        <v>85</v>
      </c>
      <c r="D30" s="2"/>
    </row>
    <row r="32" spans="1:4" ht="15.75" x14ac:dyDescent="0.4">
      <c r="A32" s="6" t="s">
        <v>418</v>
      </c>
      <c r="B32" s="7"/>
      <c r="C32" s="7"/>
    </row>
    <row r="33" spans="1:3" x14ac:dyDescent="0.3">
      <c r="A33" s="1" t="s">
        <v>419</v>
      </c>
      <c r="B33" s="1" t="s">
        <v>420</v>
      </c>
      <c r="C33" s="1" t="s">
        <v>421</v>
      </c>
    </row>
    <row r="34" spans="1:3" x14ac:dyDescent="0.3">
      <c r="A34" s="2" t="s">
        <v>422</v>
      </c>
      <c r="B34" s="3">
        <v>20000</v>
      </c>
      <c r="C34" s="3">
        <v>1.8</v>
      </c>
    </row>
    <row r="35" spans="1:3" x14ac:dyDescent="0.3">
      <c r="A35" s="2" t="s">
        <v>423</v>
      </c>
      <c r="B35" s="3">
        <v>60000</v>
      </c>
      <c r="C35" s="3">
        <v>1.5</v>
      </c>
    </row>
    <row r="36" spans="1:3" x14ac:dyDescent="0.3">
      <c r="A36" s="2" t="s">
        <v>424</v>
      </c>
      <c r="B36" s="3">
        <v>80000</v>
      </c>
      <c r="C36" s="3">
        <v>1.2</v>
      </c>
    </row>
    <row r="37" spans="1:3" x14ac:dyDescent="0.3">
      <c r="A37" s="2" t="s">
        <v>425</v>
      </c>
      <c r="B37" s="3">
        <v>99999</v>
      </c>
      <c r="C37" s="3">
        <v>1.1000000000000001</v>
      </c>
    </row>
  </sheetData>
  <mergeCells count="5">
    <mergeCell ref="A1:D1"/>
    <mergeCell ref="A23:D23"/>
    <mergeCell ref="A32:C32"/>
    <mergeCell ref="A8:C8"/>
    <mergeCell ref="A15:D1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树脂价格表</vt:lpstr>
      <vt:lpstr>模具系数表</vt:lpstr>
      <vt:lpstr>检具定价表</vt:lpstr>
      <vt:lpstr>夹具定价表</vt:lpstr>
      <vt:lpstr>工艺费率表</vt:lpstr>
      <vt:lpstr>零件成本公式参数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JiaZhenYu_贾振宇</cp:lastModifiedBy>
  <dcterms:created xsi:type="dcterms:W3CDTF">2026-03-24T16:44:15Z</dcterms:created>
  <dcterms:modified xsi:type="dcterms:W3CDTF">2026-09-14T05:17:51Z</dcterms:modified>
</cp:coreProperties>
</file>