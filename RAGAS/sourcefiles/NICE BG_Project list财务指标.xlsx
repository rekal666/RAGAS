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/>
  <bookViews>
    <workbookView activeTab="0"/>
  </bookViews>
  <sheets>
    <sheet name="全新项目" sheetId="1" r:id="rId4"/>
    <sheet name="工作表2" sheetId="2" r:id="rId5"/>
    <sheet name="工作表1" sheetId="3" r:id="rId6"/>
    <sheet name="改款项目" sheetId="4" state="hidden" r:id="rId7"/>
    <sheet name="other" sheetId="5" state="hidden" r:id="rId8"/>
  </sheets>
  <definedNames>
    <definedName name="_xlnm._FilterDatabase" localSheetId="0">全新项目!$A$1:$T$74</definedName>
  </definedNames>
  <calcPr calcId="191029"/>
</workbook>
</file>

<file path=xl/comments1.xml><?xml version="1.0" encoding="utf-8"?>
<comments xmlns="http://schemas.openxmlformats.org/spreadsheetml/2006/main">
  <authors>
    <author>tc={CB395B08-5DA0-43C5-A9A4-AF7596ED9E3C}</author>
  </authors>
  <commentList>
    <comment ref="L88" authorId="0">
      <text>
        <r>
          <t>原SOP时间2026/05/30，目前已延期到11/1</t>
        </r>
      </text>
    </comment>
  </commentList>
</comments>
</file>

<file path=xl/sharedStrings.xml><?xml version="1.0" encoding="utf-8"?>
<sst xmlns="http://schemas.openxmlformats.org/spreadsheetml/2006/main" count="661" uniqueCount="661">
  <si>
    <t/>
  </si>
  <si>
    <t>序</t>
  </si>
  <si>
    <t>负责人</t>
  </si>
  <si>
    <t>OEM</t>
  </si>
  <si>
    <t>项目名称</t>
  </si>
  <si>
    <t>产品</t>
  </si>
  <si>
    <t>量产地</t>
  </si>
  <si>
    <t>所属大区</t>
  </si>
  <si>
    <t>所属子公司</t>
  </si>
  <si>
    <t>科经理</t>
  </si>
  <si>
    <t>项目经理</t>
  </si>
  <si>
    <t>SOP-3日期</t>
  </si>
  <si>
    <t>SOP时间</t>
  </si>
  <si>
    <t>SOP+3日期</t>
  </si>
  <si>
    <t>RFQ</t>
  </si>
  <si>
    <t>IBP</t>
  </si>
  <si>
    <t>主变更</t>
  </si>
  <si>
    <t>内控</t>
  </si>
  <si>
    <t>SOP-3</t>
  </si>
  <si>
    <t>SOP</t>
  </si>
  <si>
    <t>汇报</t>
  </si>
  <si>
    <t>财务发出时间</t>
  </si>
  <si>
    <t>备注</t>
  </si>
  <si>
    <t>初始版利润率</t>
  </si>
  <si>
    <t>净利润</t>
  </si>
  <si>
    <t>净利润增加额</t>
  </si>
  <si>
    <t>SOP+3</t>
  </si>
  <si>
    <t>SOP+3结案-RFQ
效益提升</t>
  </si>
  <si>
    <t>赵琨</t>
  </si>
  <si>
    <t>奇瑞新能源</t>
  </si>
  <si>
    <t>V23</t>
  </si>
  <si>
    <t>顶棚</t>
  </si>
  <si>
    <t>芜湖</t>
  </si>
  <si>
    <t>华东一区</t>
  </si>
  <si>
    <t>华翔车顶</t>
  </si>
  <si>
    <t>赵文彪</t>
  </si>
  <si>
    <t>李泽旭</t>
  </si>
  <si>
    <t>×</t>
  </si>
  <si>
    <t>/</t>
  </si>
  <si>
    <t>老项目</t>
  </si>
  <si>
    <t>N</t>
  </si>
  <si>
    <t>X</t>
  </si>
  <si>
    <t>洪鑫浩</t>
  </si>
  <si>
    <t>北京奔驰</t>
  </si>
  <si>
    <t>V254 (GLC)</t>
  </si>
  <si>
    <t>注塑件</t>
  </si>
  <si>
    <t>沈阳</t>
  </si>
  <si>
    <t>北方区</t>
  </si>
  <si>
    <t>华翔内饰-trim</t>
  </si>
  <si>
    <t>赵辉</t>
  </si>
  <si>
    <t>杨贵宁</t>
  </si>
  <si>
    <t>市场、财务、项目确认中</t>
  </si>
  <si>
    <t>Y</t>
  </si>
  <si>
    <t>史文君</t>
  </si>
  <si>
    <t>长安</t>
  </si>
  <si>
    <t>B216-SUV充电小门（国标/欧标）</t>
  </si>
  <si>
    <t>小门</t>
  </si>
  <si>
    <t>西周</t>
  </si>
  <si>
    <t>华东二区</t>
  </si>
  <si>
    <t>华翔饰件</t>
  </si>
  <si>
    <t>周健</t>
  </si>
  <si>
    <t>韩凯挺</t>
  </si>
  <si>
    <t>结案+</t>
  </si>
  <si>
    <t>净利润率-9.78%，较IBP下降14%，项目经理确认差异中；另涉及客户增量，增加备模ECN，已接到商务通知，量纲预计6.26前确认</t>
  </si>
  <si>
    <t>一汽红旗</t>
  </si>
  <si>
    <t>P301</t>
  </si>
  <si>
    <t>长春</t>
  </si>
  <si>
    <t>李旭</t>
  </si>
  <si>
    <t>无IBP</t>
  </si>
  <si>
    <t>P301加油&amp;充电小门</t>
  </si>
  <si>
    <t>郑浩敏</t>
  </si>
  <si>
    <t>原项目经理离职，无人交接，无法更新</t>
  </si>
  <si>
    <t>斯堪尼亚</t>
  </si>
  <si>
    <t>Hero311</t>
  </si>
  <si>
    <t>李宁</t>
  </si>
  <si>
    <t>长安深蓝汽车</t>
  </si>
  <si>
    <t>D587-1（五座）</t>
  </si>
  <si>
    <t>天津</t>
  </si>
  <si>
    <t>上汽大众</t>
  </si>
  <si>
    <t>AERO B充电小门</t>
  </si>
  <si>
    <t>杨航宇</t>
  </si>
  <si>
    <t>项目暂停，BOM与工艺都为1年前试制状态，无法结案</t>
  </si>
  <si>
    <t>一汽奔腾</t>
  </si>
  <si>
    <t>E541</t>
  </si>
  <si>
    <t>隋尚峻</t>
  </si>
  <si>
    <t>项目经理离职，已姜系统数据发送至大区经理</t>
  </si>
  <si>
    <t>宋昱甫</t>
  </si>
  <si>
    <t>Polestar（极星）</t>
  </si>
  <si>
    <t>P61A IP</t>
  </si>
  <si>
    <t>仪表板</t>
  </si>
  <si>
    <t>重庆</t>
  </si>
  <si>
    <t>西南&amp;华南区</t>
  </si>
  <si>
    <t>华翔内饰</t>
  </si>
  <si>
    <t>徐勇</t>
  </si>
  <si>
    <t>曹文平</t>
  </si>
  <si>
    <t>已预结案</t>
  </si>
  <si>
    <t>P61A Parcel Shelf</t>
  </si>
  <si>
    <t>行李架</t>
  </si>
  <si>
    <t>一汽丰田</t>
  </si>
  <si>
    <t>312D</t>
  </si>
  <si>
    <t>程满</t>
  </si>
  <si>
    <t>安徽大众</t>
  </si>
  <si>
    <t>VW313</t>
  </si>
  <si>
    <t>合肥</t>
  </si>
  <si>
    <t>裴硕</t>
  </si>
  <si>
    <t>一汽奥迪</t>
  </si>
  <si>
    <t>AU591</t>
  </si>
  <si>
    <t>C100-10</t>
  </si>
  <si>
    <t>一汽大众（劳伦斯）</t>
  </si>
  <si>
    <t>AU591饰条</t>
  </si>
  <si>
    <t>饰条</t>
  </si>
  <si>
    <t>胡一田</t>
  </si>
  <si>
    <t>实际生产材料耗量、工时、合格率与项目预算差异较大，且销售价与成本不匹配；项目确认成本优化困难，市场与劳伦斯协商归还项目中</t>
  </si>
  <si>
    <t>比亚迪（劳伦斯）</t>
  </si>
  <si>
    <t>HT饰条</t>
  </si>
  <si>
    <t>项目自制困难，市场与劳伦斯协商归还项目中</t>
  </si>
  <si>
    <t>东风岚图</t>
  </si>
  <si>
    <t>H77 IP</t>
  </si>
  <si>
    <t>武汉</t>
  </si>
  <si>
    <t>刘顺达</t>
  </si>
  <si>
    <t>武汉正在核查BOM状态 准备结案</t>
  </si>
  <si>
    <t>金康赛力斯</t>
  </si>
  <si>
    <t>F1L/F1A-CKPT</t>
  </si>
  <si>
    <t>座舱</t>
  </si>
  <si>
    <t>TBD</t>
  </si>
  <si>
    <t>项目关闭</t>
  </si>
  <si>
    <t>小米汽车</t>
  </si>
  <si>
    <t>MS12 C下柱</t>
  </si>
  <si>
    <t>饰柱</t>
  </si>
  <si>
    <t>E007</t>
  </si>
  <si>
    <t>支架V</t>
  </si>
  <si>
    <t>VW416-9</t>
  </si>
  <si>
    <t>B SUV EREV
  6S加油&amp;充电小门</t>
  </si>
  <si>
    <t>SAP中BOM、工艺与IBP差异较大，弯柄生产合格率50%，发项目经理确认中</t>
  </si>
  <si>
    <t>C095-10</t>
  </si>
  <si>
    <t>项目经理无反馈；2月份，统计系统中BOM清单，工艺路线信息，邮件至项目经理处确认，无反馈</t>
  </si>
  <si>
    <t>大众安徽</t>
  </si>
  <si>
    <t>A SUVe_MY4225门板</t>
  </si>
  <si>
    <t>门板</t>
  </si>
  <si>
    <t>李武炯</t>
  </si>
  <si>
    <t>finish</t>
  </si>
  <si>
    <t>正式价格</t>
  </si>
  <si>
    <t>北京奔驰-C174-中央通道/门板-沈阳</t>
  </si>
  <si>
    <t>中央通道/门板</t>
  </si>
  <si>
    <t>长春格拉默-大众</t>
  </si>
  <si>
    <t>AU591（A6）</t>
  </si>
  <si>
    <t>饰条-中控台</t>
  </si>
  <si>
    <t>零跑</t>
  </si>
  <si>
    <t>D19</t>
  </si>
  <si>
    <t>金华</t>
  </si>
  <si>
    <t>当前系统BOM未更新，6.67%为理论值</t>
  </si>
  <si>
    <t>上汽奥迪</t>
  </si>
  <si>
    <t>Tiguan L pro PHEV门板</t>
  </si>
  <si>
    <t>中央通道</t>
  </si>
  <si>
    <t>常熟</t>
  </si>
  <si>
    <t>邵花丽</t>
  </si>
  <si>
    <t>ECN无成本卡</t>
  </si>
  <si>
    <t>AU427 CNSL</t>
  </si>
  <si>
    <t>Finish</t>
  </si>
  <si>
    <t>已结案w/o DB，相对准确的暂定价</t>
  </si>
  <si>
    <t>深汕比亚迪</t>
  </si>
  <si>
    <t>ST2H</t>
  </si>
  <si>
    <t>佛山</t>
  </si>
  <si>
    <t>H67A IP</t>
  </si>
  <si>
    <t>罗伟</t>
  </si>
  <si>
    <t>项目经理罗伟 工厂bom没锁定 SOP</t>
  </si>
  <si>
    <t>D21门板</t>
  </si>
  <si>
    <t>宁波</t>
  </si>
  <si>
    <t>符力华</t>
  </si>
  <si>
    <t>2026/07/03已汇报，非正式价格SOP+1,w/ DB12.23%,w/o DB 17.87%</t>
  </si>
  <si>
    <t>D21</t>
  </si>
  <si>
    <t>王国红</t>
  </si>
  <si>
    <t>商务谈判未完成，系统BOM未更新，当前为理论值</t>
  </si>
  <si>
    <t>P201加油&amp;充电小门</t>
  </si>
  <si>
    <t>李显杰</t>
  </si>
  <si>
    <t>结案-</t>
  </si>
  <si>
    <t>ECN项目经理更新中，原项目经理离职，新项目经理接手半个月无交接，进展困难</t>
  </si>
  <si>
    <t>Audi
  A7L  SB门板</t>
  </si>
  <si>
    <t>劳伦斯-大众</t>
  </si>
  <si>
    <t>A3PA （A3）</t>
  </si>
  <si>
    <t>饰条-仪表板</t>
  </si>
  <si>
    <t>王晓玉</t>
  </si>
  <si>
    <t>SOP待更新</t>
  </si>
  <si>
    <t>E702</t>
  </si>
  <si>
    <t>项目未同项目经理开展量产核查</t>
  </si>
  <si>
    <t>P567加油&amp;充电小门</t>
  </si>
  <si>
    <t>韩冰冰</t>
  </si>
  <si>
    <t>涉及模具重开，采购确认索赔后项目经理发起变更</t>
  </si>
  <si>
    <t>P601加油&amp;充电小门</t>
  </si>
  <si>
    <t>B SUV EREV
  5S加油&amp;充电小门</t>
  </si>
  <si>
    <t>ECN注塑机由470T变更为1000T，需委外生产，核算委外成本倒挂50%，待项目经理更新</t>
  </si>
  <si>
    <t>V25</t>
  </si>
  <si>
    <t>阿维塔</t>
  </si>
  <si>
    <t>E15充电电动&amp;加油小门</t>
  </si>
  <si>
    <t>方良</t>
  </si>
  <si>
    <t>SOP版已更新，净利润率提升至6.64%</t>
  </si>
  <si>
    <t>陶炳龙</t>
  </si>
  <si>
    <t>奇瑞汽车</t>
  </si>
  <si>
    <t>E0V CNSL</t>
  </si>
  <si>
    <t>孙中平</t>
  </si>
  <si>
    <t>SOP+</t>
  </si>
  <si>
    <t>内控更新</t>
  </si>
  <si>
    <t>墨西哥华翔-大众</t>
  </si>
  <si>
    <t>VW426</t>
  </si>
  <si>
    <t>陈卫亭</t>
  </si>
  <si>
    <t>广汽华望</t>
  </si>
  <si>
    <t>F03加油小门</t>
  </si>
  <si>
    <t>C100-10充电、加油口盖-在线</t>
  </si>
  <si>
    <t>P201充电、加油口盖-在线</t>
  </si>
  <si>
    <t>一汽大众</t>
  </si>
  <si>
    <t>CN0（ID4）门板</t>
  </si>
  <si>
    <t>奚聪聪</t>
  </si>
  <si>
    <t>内控更新&amp;成本比对中</t>
  </si>
  <si>
    <t>B216-轿车充电小门</t>
  </si>
  <si>
    <t>新增欧标充电口盖ECN，SOP时间260830；充电口盖国标、加油口盖结案版已更新，净利润率下降10%，项目经理确认差异中</t>
  </si>
  <si>
    <t>E16充电电动&amp;加油小门</t>
  </si>
  <si>
    <t>国标SOP版已完成，ECN欧标SOP时间260830，待更新</t>
  </si>
  <si>
    <t>AU436</t>
  </si>
  <si>
    <t>韩朝旭</t>
  </si>
  <si>
    <t>北京现代</t>
  </si>
  <si>
    <t>EA1C</t>
  </si>
  <si>
    <t>王晶</t>
  </si>
  <si>
    <t>IBP审核会要求更改量纲</t>
  </si>
  <si>
    <t>岚图</t>
  </si>
  <si>
    <t>H47A充电电动小门</t>
  </si>
  <si>
    <t>北汽新能源</t>
  </si>
  <si>
    <t>X90KS加油&amp;充电小门</t>
  </si>
  <si>
    <t>赖忠义</t>
  </si>
  <si>
    <t>X90KS地毯</t>
  </si>
  <si>
    <t>地毯</t>
  </si>
  <si>
    <t>X90KS地毯和X81KS 声学包整合为天津内饰建线BP，两个项目在一个BP中体现</t>
  </si>
  <si>
    <t>X90KS 挡泥板&amp;底护板</t>
  </si>
  <si>
    <t>挡泥板&amp;底护板</t>
  </si>
  <si>
    <t>杨子英</t>
  </si>
  <si>
    <t>X81KS声学包</t>
  </si>
  <si>
    <t>声学包</t>
  </si>
  <si>
    <t>王鹏</t>
  </si>
  <si>
    <t>X81KS挡泥板&amp;底护板</t>
  </si>
  <si>
    <t>H56E IP</t>
  </si>
  <si>
    <t>谢雷</t>
  </si>
  <si>
    <t>SOP-</t>
  </si>
  <si>
    <t>武汉正在核查BOM状态 内控待更新</t>
  </si>
  <si>
    <t>零跑西班牙</t>
  </si>
  <si>
    <t>B10</t>
  </si>
  <si>
    <t>MM2充电小门</t>
  </si>
  <si>
    <t>郑军</t>
  </si>
  <si>
    <t>SAP中BOM、工艺与IBP差异较大，发项目经理确认中</t>
  </si>
  <si>
    <t>长安福特</t>
  </si>
  <si>
    <t>CX810加油&amp;充电小门</t>
  </si>
  <si>
    <t>客户延期，SOP时间由20260630延至20260930，SOP待更新</t>
  </si>
  <si>
    <t>北京延峰-奔驰</t>
  </si>
  <si>
    <t>ME.BA.M Centefill
 V540- GLC/V520 (C级)</t>
  </si>
  <si>
    <t>饰条-出风口</t>
  </si>
  <si>
    <t>2026.03 BP5 5.20%:刘俊峰：量纲拆开 v540/520</t>
  </si>
  <si>
    <t>北京安道拓-奔驰</t>
  </si>
  <si>
    <t>V540(GLC)</t>
  </si>
  <si>
    <t>饰条-扶手装饰盖板</t>
  </si>
  <si>
    <t>Audi A7L Premium门板</t>
  </si>
  <si>
    <t>王杰</t>
  </si>
  <si>
    <t>项目暂停</t>
  </si>
  <si>
    <t>V520 DP</t>
  </si>
  <si>
    <t>老IAC成本卡</t>
  </si>
  <si>
    <t>X244/248 DP</t>
  </si>
  <si>
    <t>天津一汽/劳伦斯-大众</t>
  </si>
  <si>
    <t>AU336 （Q3）</t>
  </si>
  <si>
    <t>BP1</t>
  </si>
  <si>
    <t>CN0加油小门</t>
  </si>
  <si>
    <t>一汽捷达</t>
  </si>
  <si>
    <t>J01充电小门</t>
  </si>
  <si>
    <t>江铃</t>
  </si>
  <si>
    <t>JP 360 PHEV加油小门</t>
  </si>
  <si>
    <t>CMP21D门板</t>
  </si>
  <si>
    <t>许翔</t>
  </si>
  <si>
    <t>J01</t>
  </si>
  <si>
    <t>成都</t>
  </si>
  <si>
    <t>G19 门板</t>
  </si>
  <si>
    <t>杨东</t>
  </si>
  <si>
    <t>内控待更新</t>
  </si>
  <si>
    <t>G19 饰柱</t>
  </si>
  <si>
    <t>G19 中央通道</t>
  </si>
  <si>
    <t>G19 仪表板</t>
  </si>
  <si>
    <t>G19 侧围</t>
  </si>
  <si>
    <t>侧围/尾门</t>
  </si>
  <si>
    <t>H66A加油&amp;充电小门</t>
  </si>
  <si>
    <t>Other</t>
  </si>
  <si>
    <t>H56E电动小门</t>
  </si>
  <si>
    <t>H66A IP</t>
  </si>
  <si>
    <t>尚楠</t>
  </si>
  <si>
    <t>C101-01 加油口盖-在线</t>
  </si>
  <si>
    <t>C001-06充电、加油口盖-在线</t>
  </si>
  <si>
    <t>E111-04充电、加油口盖-在线</t>
  </si>
  <si>
    <t>H56E IP 右舵</t>
  </si>
  <si>
    <t>许嘉斌</t>
  </si>
  <si>
    <t>宝马</t>
  </si>
  <si>
    <t>NCAR (iX3)</t>
  </si>
  <si>
    <t>饰条-中控面板</t>
  </si>
  <si>
    <t>目前BP2.2,SOP待更新</t>
  </si>
  <si>
    <t>上汽集团</t>
  </si>
  <si>
    <t>IS4GR加油口盖</t>
  </si>
  <si>
    <t>福建奔驰</t>
  </si>
  <si>
    <t>VAN.EA 门板（中门+后侧围）</t>
  </si>
  <si>
    <t>门板/中门/侧围</t>
  </si>
  <si>
    <t>VAN.EA 门板（前门+尾门）</t>
  </si>
  <si>
    <t>门板/前门/尾门</t>
  </si>
  <si>
    <t>刘绍冲</t>
  </si>
  <si>
    <t>C206-10</t>
  </si>
  <si>
    <t>N65QB充电小门</t>
  </si>
  <si>
    <t>VAN.EA IP</t>
  </si>
  <si>
    <t>张庆</t>
  </si>
  <si>
    <t>零跑C18 门板+窗控</t>
  </si>
  <si>
    <t>龚方德</t>
  </si>
  <si>
    <t>P701加油&amp;充电小门</t>
  </si>
  <si>
    <t>C65饰柱</t>
  </si>
  <si>
    <t>项目经理罗伟 武汉数据有误 未有先前IBP文件</t>
  </si>
  <si>
    <t>奇瑞智界</t>
  </si>
  <si>
    <t>傅燕萍</t>
  </si>
  <si>
    <t>内控-</t>
  </si>
  <si>
    <t>无RFQ</t>
  </si>
  <si>
    <t>G78 (X5)</t>
  </si>
  <si>
    <t>郝春光</t>
  </si>
  <si>
    <t>BP2.1</t>
  </si>
  <si>
    <t>T167(GLE)</t>
  </si>
  <si>
    <t>饰条-后扶手</t>
  </si>
  <si>
    <t>JCE3-BUS充电口盖</t>
  </si>
  <si>
    <t>E0DA  仪表板（左右舵）</t>
  </si>
  <si>
    <t>共创</t>
  </si>
  <si>
    <t>E0DA 中央通道(左右舵)</t>
  </si>
  <si>
    <t>E68 饰柱</t>
  </si>
  <si>
    <t>MM1充电小门</t>
  </si>
  <si>
    <t>客户新增ECN，SOP时间27.02.01</t>
  </si>
  <si>
    <t>B70KS</t>
  </si>
  <si>
    <t>于洋</t>
  </si>
  <si>
    <t>已提交商业计划审批，准备上控股子公司会议</t>
  </si>
  <si>
    <t>E03FL 中央通道</t>
  </si>
  <si>
    <t>白凤杨</t>
  </si>
  <si>
    <t>执管会</t>
  </si>
  <si>
    <t>E03FL 门板</t>
  </si>
  <si>
    <t>丁国军</t>
  </si>
  <si>
    <t>E03FL 饰柱</t>
  </si>
  <si>
    <t>吴齐</t>
  </si>
  <si>
    <t>X91 KS 侧围立柱</t>
  </si>
  <si>
    <t>饰柱+后背门+侧围</t>
  </si>
  <si>
    <t>朴正一/陈卫亭</t>
  </si>
  <si>
    <t>北汽极狐</t>
  </si>
  <si>
    <t>N40QB IP</t>
  </si>
  <si>
    <t>顾磊</t>
  </si>
  <si>
    <t>N40QB CNSL</t>
  </si>
  <si>
    <t>X91KS门板</t>
  </si>
  <si>
    <t>朴正一/沈绍鸿</t>
  </si>
  <si>
    <t>X91KS 星空顶</t>
  </si>
  <si>
    <t>史楠</t>
  </si>
  <si>
    <t>X91 仪表板</t>
  </si>
  <si>
    <t>X91 中央通道</t>
  </si>
  <si>
    <t>井上/袁天峰/尚楠</t>
  </si>
  <si>
    <t>转移井上</t>
  </si>
  <si>
    <t>X91KS行李箱系统</t>
  </si>
  <si>
    <t>行李箱系统</t>
  </si>
  <si>
    <t>X91KS挡泥板&amp;底护板</t>
  </si>
  <si>
    <t>X91KS声学包</t>
  </si>
  <si>
    <t>设计包</t>
  </si>
  <si>
    <t>上汽乘用车</t>
  </si>
  <si>
    <t>BS4EM 仪表板</t>
  </si>
  <si>
    <t>VAN.EA 门板A1.5（中门+侧围+尾门）</t>
  </si>
  <si>
    <t>改款</t>
  </si>
  <si>
    <t>V362 XHEV充电小门</t>
  </si>
  <si>
    <t>AS5PM充电、加油口盖</t>
  </si>
  <si>
    <t>N82KS</t>
  </si>
  <si>
    <t>牟新宇</t>
  </si>
  <si>
    <t>A SUV PHEV 门板</t>
  </si>
  <si>
    <t>上海</t>
  </si>
  <si>
    <t>VW316充电小门（墨西哥版）</t>
  </si>
  <si>
    <t>客户通知SOP延期至27.06.30</t>
  </si>
  <si>
    <t>427CNB CNSL</t>
  </si>
  <si>
    <t>沈绍鸿</t>
  </si>
  <si>
    <t>VW311_P-CMP加油口盖</t>
  </si>
  <si>
    <t>E0AA  仪表板</t>
  </si>
  <si>
    <t>E0AA 中央通道</t>
  </si>
  <si>
    <t>E0DA 门板（左右舵）</t>
  </si>
  <si>
    <t>E0DA 饰柱（左右舵）</t>
  </si>
  <si>
    <t>T客户</t>
  </si>
  <si>
    <t>E10P DP</t>
  </si>
  <si>
    <t>E10L DP</t>
  </si>
  <si>
    <t>小鹏</t>
  </si>
  <si>
    <t>N82KS 门板</t>
  </si>
  <si>
    <t>曹金锁/徐彬</t>
  </si>
  <si>
    <t>DS-202604-0004，DP IP设计费合计837760 IBP时需检查</t>
  </si>
  <si>
    <t>N82KS CNSL</t>
  </si>
  <si>
    <t>井上/郑安敏/王灿</t>
  </si>
  <si>
    <t>N82KS IP</t>
  </si>
  <si>
    <t>王灿/徐彬</t>
  </si>
  <si>
    <t>无RFQ/DS-202604-0004，DP IP设计费合计837760 IBP时需检查</t>
  </si>
  <si>
    <t>N66QB 门板</t>
  </si>
  <si>
    <t>张坤/徐彬</t>
  </si>
  <si>
    <t>ME.BA.M Centefill V530</t>
  </si>
  <si>
    <t>奇瑞</t>
  </si>
  <si>
    <t>E0GA</t>
  </si>
  <si>
    <t>x</t>
  </si>
  <si>
    <t>市场8月3日移交</t>
  </si>
  <si>
    <t>V530 轮毂内饰板</t>
  </si>
  <si>
    <t>立柱</t>
  </si>
  <si>
    <t>仇磊</t>
  </si>
  <si>
    <t>E07 IP</t>
  </si>
  <si>
    <t>CSP B NB BEV门板</t>
  </si>
  <si>
    <t>扬州</t>
  </si>
  <si>
    <t>VW423 CS BNB DP</t>
  </si>
  <si>
    <t>塞特兰蒂斯美国</t>
  </si>
  <si>
    <t>J4U</t>
  </si>
  <si>
    <t>美国CTL</t>
  </si>
  <si>
    <t>项目暂停开发，后续未知（车顶同泰佛合作，仅代采模检工）</t>
  </si>
  <si>
    <t>G48 LCA</t>
  </si>
  <si>
    <t>报价中</t>
  </si>
  <si>
    <t>A+SUV BEV 门板</t>
  </si>
  <si>
    <t>G67</t>
  </si>
  <si>
    <t>NB6 (iX1)</t>
  </si>
  <si>
    <t>立柱/注塑件</t>
  </si>
  <si>
    <t>NB6 Normal Injection</t>
  </si>
  <si>
    <t>E0Z 中央通道</t>
  </si>
  <si>
    <t>960 顶棚</t>
  </si>
  <si>
    <t>RFQ版，市场未移交</t>
  </si>
  <si>
    <t>客户类型</t>
  </si>
  <si>
    <t>设计</t>
  </si>
  <si>
    <t>项目类型</t>
  </si>
  <si>
    <t>项目状态</t>
  </si>
  <si>
    <t>C车型号</t>
  </si>
  <si>
    <t>Y项目号</t>
  </si>
  <si>
    <t>内部订单号</t>
  </si>
  <si>
    <t>变更内容</t>
  </si>
  <si>
    <t>PM所在地</t>
  </si>
  <si>
    <t>IBP状态</t>
  </si>
  <si>
    <t>内控状态</t>
  </si>
  <si>
    <t>数据冻结时间</t>
  </si>
  <si>
    <t>T0时间</t>
  </si>
  <si>
    <t>SOP+1日期</t>
  </si>
  <si>
    <t>SOP+2日期</t>
  </si>
  <si>
    <t>汇报项目</t>
  </si>
  <si>
    <t>延期汇报项目</t>
  </si>
  <si>
    <t>投产经理</t>
  </si>
  <si>
    <t>组经理</t>
  </si>
  <si>
    <t>督导 产品工程师1</t>
  </si>
  <si>
    <t>产品工程2</t>
  </si>
  <si>
    <t>产品工程师3</t>
  </si>
  <si>
    <t>产品工程师4</t>
  </si>
  <si>
    <t>关联财务</t>
  </si>
  <si>
    <t>引用名称</t>
  </si>
  <si>
    <t>极氪</t>
  </si>
  <si>
    <t>自主</t>
  </si>
  <si>
    <t>改型项目</t>
  </si>
  <si>
    <t>CX1E门板（右舵）</t>
  </si>
  <si>
    <t>Closed</t>
  </si>
  <si>
    <t xml:space="preserve">C1001
</t>
  </si>
  <si>
    <t>Y147</t>
  </si>
  <si>
    <t>260010000005</t>
  </si>
  <si>
    <t>前门除霜格栅、破窗器盖板新开模</t>
  </si>
  <si>
    <t>2025/12/30</t>
  </si>
  <si>
    <t>2025/9/30</t>
  </si>
  <si>
    <t>2026/1/30</t>
  </si>
  <si>
    <t>2026/2/28</t>
  </si>
  <si>
    <t>2026/3/30</t>
  </si>
  <si>
    <t>RFQ,IBP,内控,结案</t>
  </si>
  <si>
    <t>CX1E门槛（EM市场）</t>
  </si>
  <si>
    <t>门槛</t>
  </si>
  <si>
    <t>后视镜装饰罩、盖板新开模</t>
  </si>
  <si>
    <t>合资</t>
  </si>
  <si>
    <t>ongoing</t>
  </si>
  <si>
    <t>尾门开关新开模，门本体改模，中音网罩改模，冲孔设备改模</t>
  </si>
  <si>
    <t>2026/4/30</t>
  </si>
  <si>
    <t>2026/5/30</t>
  </si>
  <si>
    <t>2026/6/30</t>
  </si>
  <si>
    <t>2026/7/30</t>
  </si>
  <si>
    <t>林德盛</t>
  </si>
  <si>
    <t>何亚丽</t>
  </si>
  <si>
    <t>VS20项目</t>
  </si>
  <si>
    <t>门板/侧围/尾门</t>
  </si>
  <si>
    <t>260010000161</t>
  </si>
  <si>
    <t>客户VAVE ，材料国产化</t>
  </si>
  <si>
    <t>俞国挺</t>
  </si>
  <si>
    <t>U625 DP MY26 ICA</t>
  </si>
  <si>
    <t>换代改款，内嵌板区域模具新开</t>
  </si>
  <si>
    <t>杭州</t>
  </si>
  <si>
    <t>孙连俊</t>
  </si>
  <si>
    <t>高计彪</t>
  </si>
  <si>
    <t>钟代刚</t>
  </si>
  <si>
    <t>温子豪</t>
  </si>
  <si>
    <t>707 CNSL</t>
  </si>
  <si>
    <t>新增配色，电镀改喷漆</t>
  </si>
  <si>
    <t>2026/8/30</t>
  </si>
  <si>
    <t>2026/9/30</t>
  </si>
  <si>
    <t>V254 MOPF</t>
  </si>
  <si>
    <t>Hold</t>
  </si>
  <si>
    <t>中嵌表皮新增颜色，门基板新增颜色</t>
  </si>
  <si>
    <t>2027/8/30</t>
  </si>
  <si>
    <t>2027/5/30</t>
  </si>
  <si>
    <t>2027/9/30</t>
  </si>
  <si>
    <t>2027/10/30</t>
  </si>
  <si>
    <t>2027/11/30</t>
  </si>
  <si>
    <t>杜中年</t>
  </si>
  <si>
    <t>林程鹏</t>
  </si>
  <si>
    <t>任宝玉</t>
  </si>
  <si>
    <t>V214 EC</t>
  </si>
  <si>
    <t>仪表板/立柱</t>
  </si>
  <si>
    <t>Delayed</t>
  </si>
  <si>
    <t>仪表板：胶水/骨架原料国产化
    立柱：EPP国产化/骨架变更</t>
  </si>
  <si>
    <t>北京</t>
  </si>
  <si>
    <t>类型转换错误</t>
  </si>
  <si>
    <t>1900/1/31</t>
  </si>
  <si>
    <t>1900/3/1</t>
  </si>
  <si>
    <t>1900/3/31</t>
  </si>
  <si>
    <t>计算错误</t>
  </si>
  <si>
    <t>张有泉</t>
  </si>
  <si>
    <t>U12 LCI(X1)</t>
  </si>
  <si>
    <t>新开模具-零件改款</t>
  </si>
  <si>
    <t>2028/1/30</t>
  </si>
  <si>
    <t>2028/2/29</t>
  </si>
  <si>
    <t>2028/3/30</t>
  </si>
  <si>
    <t>2028/4/30</t>
  </si>
  <si>
    <t>关贵龙</t>
  </si>
  <si>
    <t>N/A</t>
  </si>
  <si>
    <t>张天浩</t>
  </si>
  <si>
    <t>G68 LCI (5系)</t>
  </si>
  <si>
    <t>李光明</t>
  </si>
  <si>
    <t>2027/6/30</t>
  </si>
  <si>
    <t>2027/12/30</t>
  </si>
  <si>
    <t>张雨</t>
  </si>
  <si>
    <t>G68 E-mirror (5系)</t>
  </si>
  <si>
    <t>后摄像盖板</t>
  </si>
  <si>
    <t>新开模具-新增零件</t>
  </si>
  <si>
    <t>BENZ-MOFT(V206/214)</t>
  </si>
  <si>
    <t>2027/1/30</t>
  </si>
  <si>
    <t>2026/10/30</t>
  </si>
  <si>
    <t>2027/2/28</t>
  </si>
  <si>
    <t>2027/3/30</t>
  </si>
  <si>
    <t>2027/4/30</t>
  </si>
  <si>
    <t>宝马-南非</t>
  </si>
  <si>
    <t>G45 A 柱 （X3）</t>
  </si>
  <si>
    <t>新增面料及生产线</t>
  </si>
  <si>
    <t>2027/7/30</t>
  </si>
  <si>
    <t>徐传东</t>
  </si>
  <si>
    <t>D587-1（六座）</t>
  </si>
  <si>
    <t>新增面料配置，出风口和金属扬声器罩新开</t>
  </si>
  <si>
    <t>2025/10/30</t>
  </si>
  <si>
    <t>2025/7/30</t>
  </si>
  <si>
    <t>2025/11/30</t>
  </si>
  <si>
    <t>邵冬生</t>
  </si>
  <si>
    <t>尹航</t>
  </si>
  <si>
    <t>许潇</t>
  </si>
  <si>
    <t>康佳</t>
  </si>
  <si>
    <t>D587-G</t>
  </si>
  <si>
    <t>新面料配置，电气件衍生配置</t>
  </si>
  <si>
    <t>曹健</t>
  </si>
  <si>
    <t>朱彦凤</t>
  </si>
  <si>
    <t>V506-03</t>
  </si>
  <si>
    <t>衍生配置，增加零件孔</t>
  </si>
  <si>
    <t>2025/8/30</t>
  </si>
  <si>
    <t>SOP+3汇报</t>
  </si>
  <si>
    <t>孔祥军</t>
  </si>
  <si>
    <t>关磊</t>
  </si>
  <si>
    <t>T28-英国</t>
  </si>
  <si>
    <t>增加注塑件，本体模具新开</t>
  </si>
  <si>
    <t>青岛</t>
  </si>
  <si>
    <t>游青松</t>
  </si>
  <si>
    <t>尹文静</t>
  </si>
  <si>
    <t>728D</t>
  </si>
  <si>
    <t>增加注塑支架和外观件，尺寸调整</t>
  </si>
  <si>
    <t>SOP-3汇报</t>
  </si>
  <si>
    <t>温明旭</t>
  </si>
  <si>
    <t>E009</t>
  </si>
  <si>
    <t>新增加黑色配置，需重新认可</t>
  </si>
  <si>
    <t>谢新梦</t>
  </si>
  <si>
    <t>E111-03充电小门</t>
  </si>
  <si>
    <t>新开底座软胶模具</t>
  </si>
  <si>
    <t>SOP+1汇报</t>
  </si>
  <si>
    <t>张仕凯</t>
  </si>
  <si>
    <t>郑洋</t>
  </si>
  <si>
    <t>比亚迪</t>
  </si>
  <si>
    <t>SRHCM充电小门</t>
  </si>
  <si>
    <t>黄臻</t>
  </si>
  <si>
    <t>胡文斌</t>
  </si>
  <si>
    <t>汤曙旭</t>
  </si>
  <si>
    <t>VW336 PHEV饰条</t>
  </si>
  <si>
    <t>新开仪表饰条外板、骨架、ABT维修盖板、副司机侧饰条支架</t>
  </si>
  <si>
    <t>吴嘉凯</t>
  </si>
  <si>
    <t>VW380 PA饰条</t>
  </si>
  <si>
    <t>新开组合仪表骨架、侧盖板模具</t>
  </si>
  <si>
    <t>VW416 PA饰条</t>
  </si>
  <si>
    <t>骨架模具部分重开，新开盖板模具</t>
  </si>
  <si>
    <t>智己</t>
  </si>
  <si>
    <t>P12L-M2门板</t>
  </si>
  <si>
    <t>AU413</t>
  </si>
  <si>
    <t>新增三种颜色</t>
  </si>
  <si>
    <t>王永</t>
  </si>
  <si>
    <t>曹一粟</t>
  </si>
  <si>
    <t>结案</t>
  </si>
  <si>
    <t>D19顶棚</t>
  </si>
  <si>
    <t>N40QB充电小门</t>
  </si>
  <si>
    <t>D21顶棚</t>
  </si>
  <si>
    <t>项目描述</t>
  </si>
  <si>
    <t>25年9月更新关闭时间，25年12月1赵辉再次确认</t>
  </si>
  <si>
    <t>实际关闭时间</t>
  </si>
  <si>
    <t>300010000014</t>
  </si>
  <si>
    <t>奔驰C级车</t>
  </si>
  <si>
    <t>2026.01.07</t>
  </si>
  <si>
    <t>BMW  NCAR NA6</t>
  </si>
  <si>
    <t>300010000032</t>
  </si>
  <si>
    <t>奔驰MMA Trim part_V174/V178</t>
  </si>
  <si>
    <t>300010000033</t>
  </si>
  <si>
    <t>奔驰MBEAM CENTER FILL</t>
  </si>
  <si>
    <t>300010000034</t>
  </si>
  <si>
    <t>奔驰F294 Trunk 已关闭</t>
  </si>
  <si>
    <t>2023.12.31</t>
  </si>
  <si>
    <t>300010000035</t>
  </si>
  <si>
    <t>奔驰X/H 247 MOPF项目（已量产）</t>
  </si>
  <si>
    <t>2025.01.06</t>
  </si>
  <si>
    <t>300010000036</t>
  </si>
  <si>
    <t>BMW G48项目</t>
  </si>
  <si>
    <t>延期到26年4月</t>
  </si>
  <si>
    <t>300010000037</t>
  </si>
  <si>
    <t>BMW G78项目</t>
  </si>
  <si>
    <t>300010000038</t>
  </si>
  <si>
    <t>奔驰MMA Décor part_HX244/248</t>
  </si>
  <si>
    <t>300010000039</t>
  </si>
  <si>
    <t>V206 MOPF</t>
  </si>
  <si>
    <t>300010000040</t>
  </si>
  <si>
    <t>奔驰V540扶手喷漆</t>
  </si>
  <si>
    <t>300010000041</t>
  </si>
  <si>
    <t>奔驰V214/V540项目</t>
  </si>
  <si>
    <t>300010000042</t>
  </si>
  <si>
    <t>奥迪AU591项目</t>
  </si>
  <si>
    <t>300010000043</t>
  </si>
  <si>
    <t>大众AU336项目三个件</t>
  </si>
  <si>
    <t>高光</t>
  </si>
  <si>
    <t>300010000044</t>
  </si>
  <si>
    <t>BMW NB6项目（暂停启动）</t>
  </si>
  <si>
    <t>延期到2028.12</t>
  </si>
  <si>
    <t>300010000045</t>
  </si>
  <si>
    <t>BMW G68 LCI项目</t>
  </si>
  <si>
    <t>300010000046</t>
  </si>
  <si>
    <t>BMW G68 E-Mirror项目（含B柱）</t>
  </si>
  <si>
    <t>300010000047</t>
  </si>
  <si>
    <t>BMW U12 LCI项目</t>
  </si>
  <si>
    <t>300010000048</t>
  </si>
  <si>
    <t>VW Beta+下饰条项目</t>
  </si>
  <si>
    <t>300010000049</t>
  </si>
  <si>
    <t>大众AU336项目2个件</t>
  </si>
  <si>
    <t>哑光</t>
  </si>
  <si>
    <t>300010000050</t>
  </si>
  <si>
    <t>大众VW 426（MEXICO）项目</t>
  </si>
  <si>
    <t>300010000051</t>
  </si>
  <si>
    <t>大众A3PA项目</t>
  </si>
  <si>
    <t>300010000052</t>
  </si>
  <si>
    <t>BMW G45 A柱项目</t>
  </si>
  <si>
    <t>300010000053</t>
  </si>
  <si>
    <t>大众V530 center fill</t>
  </si>
  <si>
    <t>300010000054</t>
  </si>
  <si>
    <t>安道拓T167扶手项目</t>
  </si>
  <si>
    <t>2026.10</t>
  </si>
  <si>
    <r>
      <t>SOP</t>
    </r>
    <r>
      <rPr>
        <rFont val="等线"/>
        <charset val="134"/>
        <family val="2"/>
        <color rgb="FFFFFFFF"/>
        <sz val="10"/>
      </rPr>
      <t>+</t>
    </r>
    <r>
      <rPr>
        <rFont val="等线"/>
        <family val="2"/>
        <color rgb="FFFFFFFF"/>
        <sz val="10"/>
      </rPr>
      <t>3</t>
    </r>
    <r>
      <rPr>
        <rFont val="等线"/>
        <charset val="134"/>
        <family val="2"/>
        <color rgb="FFFFFFFF"/>
        <sz val="10"/>
      </rPr>
      <t>结案</t>
    </r>
    <phoneticPr fontId="2" type="noConversion"/>
  </si>
  <si>
    <r>
      <rPr>
        <rFont val="等线"/>
        <b val="0"/>
        <i val="0"/>
        <strike val="0"/>
        <color rgb="FF000000"/>
        <sz val="10"/>
        <u val="none"/>
      </rPr>
      <t>耗用等超预算，采购价格待确认，待项目经理确认清后发起内部变更申请</t>
    </r>
    <r>
      <rPr>
        <rFont val="等线"/>
        <b val="0"/>
        <i val="0"/>
        <strike val="0"/>
        <color rgb="FF000000"/>
        <sz val="10"/>
        <u val="none"/>
      </rPr>
      <t>/邮件跟踪</t>
    </r>
  </si>
  <si>
    <r>
      <rPr>
        <rFont val="等线"/>
        <b val="0"/>
        <i val="0"/>
        <strike val="0"/>
        <color rgb="FF000000"/>
        <sz val="10"/>
        <u val="none"/>
      </rPr>
      <t>IBP1：模具问题合格率低追加投资；IBP产品合格率和人工追加；新模具调试阶段5月中旬/</t>
    </r>
    <r>
      <rPr>
        <rFont val="等线"/>
        <b val="0"/>
        <i val="0"/>
        <strike val="0"/>
        <color rgb="FF000000"/>
        <sz val="10"/>
        <u val="none"/>
      </rPr>
      <t>5月中旬结案</t>
    </r>
  </si>
  <si>
    <r>
      <rPr>
        <rFont val="Arial"/>
        <b val="0"/>
        <i val="0"/>
        <strike val="0"/>
        <color rgb="FF000000"/>
        <sz val="9"/>
      </rPr>
      <t>EHV</t>
    </r>
    <r>
      <rPr>
        <rFont val="微软雅黑"/>
        <b val="0"/>
        <i val="0"/>
        <strike val="0"/>
        <color rgb="FF000000"/>
        <sz val="9"/>
      </rPr>
      <t>右舵</t>
    </r>
  </si>
  <si>
    <r>
      <rPr>
        <rFont val="等线"/>
        <b val="0"/>
        <i val="0"/>
        <strike val="0"/>
        <color rgb="FF000000"/>
        <sz val="10"/>
      </rPr>
      <t xml:space="preserve">E03FL </t>
    </r>
    <r>
      <rPr>
        <rFont val="等线"/>
        <b val="0"/>
        <i val="0"/>
        <strike val="0"/>
        <color rgb="FF000000"/>
        <sz val="10"/>
      </rPr>
      <t>仪表板</t>
    </r>
  </si>
  <si>
    <r>
      <rPr>
        <rFont val="Arial"/>
        <b val="0"/>
        <i val="0"/>
        <strike val="0"/>
        <color rgb="FF000000"/>
        <sz val="9"/>
      </rPr>
      <t>D04</t>
    </r>
    <r>
      <rPr>
        <rFont val="微软雅黑"/>
        <b val="0"/>
        <i val="0"/>
        <strike val="0"/>
        <color rgb="FF000000"/>
        <sz val="9"/>
      </rPr>
      <t>门板</t>
    </r>
  </si>
</sst>
</file>

<file path=xl/styles.xml><?xml version="1.0" encoding="utf-8"?>
<styleSheet xmlns="http://schemas.openxmlformats.org/spreadsheetml/2006/main">
  <numFmts count="7">
    <numFmt numFmtId="300" formatCode="#,##0_ "/>
    <numFmt numFmtId="301" formatCode="yyyy/m/d;@"/>
    <numFmt numFmtId="302" formatCode="0.0_);[Red](0.0)"/>
    <numFmt numFmtId="303" formatCode="0_);[Red](0)"/>
    <numFmt numFmtId="304" formatCode="General"/>
    <numFmt numFmtId="305" formatCode="yyyy/m/d"/>
    <numFmt numFmtId="306" formatCode="0.00%"/>
  </numFmts>
  <fonts count="37">
    <font>
      <name val="等线 (正文)"/>
      <family val="2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rgb="FFFFFFFF"/>
      <sz val="10"/>
    </font>
    <font>
      <name val="等线"/>
      <family val="2"/>
      <color rgb="FFFFFFFF"/>
      <sz val="10"/>
    </font>
    <font>
      <name val="等线"/>
      <color rgb="FFFFFFFF"/>
      <sz val="10"/>
    </font>
    <font>
      <name val="等线"/>
      <sz val="10"/>
    </font>
    <font>
      <name val="等线"/>
      <charset val="134"/>
      <family val="2"/>
      <color rgb="FF000000"/>
      <sz val="10"/>
    </font>
    <font>
      <name val="等线"/>
      <family val="2"/>
      <color rgb="FF000000"/>
      <sz val="10"/>
    </font>
    <font>
      <name val="等线"/>
      <color rgb="FF000000"/>
      <sz val="10"/>
    </font>
    <font>
      <color rgb="FF00B050"/>
      <sz val="10"/>
    </font>
    <font>
      <sz val="10"/>
    </font>
    <font>
      <name val="等线"/>
      <family val="2"/>
      <sz val="10"/>
    </font>
    <font>
      <name val="等线"/>
      <color theme="1"/>
      <sz val="10"/>
    </font>
    <font>
      <name val="等线"/>
      <color rgb="FFFF0000"/>
      <sz val="10"/>
    </font>
    <font>
      <name val="等线"/>
      <family val="2"/>
      <color rgb="FFFF0000"/>
      <sz val="10"/>
    </font>
    <font>
      <color rgb="FFFF0000"/>
      <sz val="10"/>
    </font>
    <font>
      <name val="等线"/>
      <color rgb="FF1A1A1A"/>
      <sz val="10"/>
    </font>
    <font>
      <name val="等线"/>
      <charset val="134"/>
      <family val="2"/>
      <color rgb="FFFF0000"/>
      <sz val="10"/>
    </font>
    <font>
      <charset val="134"/>
      <family val="2"/>
      <sz val="10"/>
    </font>
    <font>
      <name val="等线"/>
      <family val="2"/>
      <color theme="1"/>
      <sz val="10"/>
    </font>
    <font>
      <name val="等线"/>
      <sz val="10"/>
    </font>
    <font>
      <charset val="134"/>
      <family val="2"/>
      <color rgb="FF00B050"/>
      <sz val="10"/>
    </font>
    <font>
      <name val="等线"/>
      <color theme="1"/>
      <sz val="10"/>
    </font>
    <font>
      <charset val="134"/>
      <family val="3"/>
      <color rgb="FF00B050"/>
      <sz val="10"/>
    </font>
    <font>
      <name val="等线"/>
      <sz val="10"/>
    </font>
    <font>
      <name val="等线"/>
      <sz val="10"/>
    </font>
    <font>
      <name val="等线 (正文)"/>
      <family val="2"/>
      <color theme="0"/>
      <sz val="10"/>
    </font>
    <font>
      <name val="等线 (正文)"/>
      <family val="2"/>
      <sz val="10"/>
    </font>
    <font>
      <color rgb="FFFFFFFF"/>
    </font>
    <font/>
    <font>
      <name val="等线 (正文)"/>
      <color theme="1"/>
      <sz val="11"/>
    </font>
    <font>
      <name val="等线"/>
      <sz val="10"/>
    </font>
    <font>
      <name val="等线 (正文)"/>
      <family val="2"/>
      <color rgb="FFFFFFFF" theme="0"/>
      <sz val="11"/>
    </font>
    <font>
      <color rgb="FF000000"/>
      <sz val="10"/>
    </font>
    <font>
      <name val="等线 (正文)"/>
      <family val="2"/>
      <color theme="0"/>
      <sz val="11"/>
    </font>
    <font>
      <name val="等线 (正文)"/>
      <family val="2"/>
      <color theme="1"/>
      <sz val="11"/>
    </font>
  </fonts>
  <fills count="28">
    <fill>
      <patternFill patternType="none"/>
    </fill>
    <fill>
      <patternFill patternType="gray125"/>
    </fill>
    <fill>
      <patternFill patternType="solid">
        <fgColor theme="8" tint="-0.499985"/>
        <bgColor indexed="64"/>
      </patternFill>
    </fill>
    <fill>
      <patternFill patternType="solid">
        <fgColor rgb="FF00B050"/>
      </patternFill>
    </fill>
    <fill>
      <patternFill patternType="solid">
        <fgColor theme="8" tint="-0.499985"/>
        <bgColor indexed="64"/>
      </patternFill>
    </fill>
    <fill>
      <patternFill patternType="none"/>
    </fill>
    <fill/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  <fill>
      <patternFill patternType="none"/>
    </fill>
    <fill/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DEBFF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C00000"/>
      </patternFill>
    </fill>
    <fill>
      <patternFill patternType="solid">
        <fgColor rgb="FFF5C400"/>
      </patternFill>
    </fill>
    <fill>
      <patternFill patternType="solid">
        <fgColor rgb="FF0070C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/>
    <border>
      <left/>
      <right/>
      <top/>
      <bottom/>
      <diagonal/>
    </border>
    <border>
      <left/>
      <right/>
      <top/>
      <bottom/>
    </border>
    <border>
      <top/>
      <bottom/>
      <diagonal/>
    </border>
    <border>
      <left/>
      <right/>
      <top/>
      <bottom/>
    </border>
    <border diagonalUp="1" diagonalDown="1">
      <left/>
      <right/>
      <top/>
      <bottom/>
      <diagonal/>
    </border>
    <border>
      <left/>
      <right/>
      <top/>
    </border>
    <border>
      <diagonal/>
    </border>
    <border>
      <left/>
      <right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</border>
    <border>
      <right/>
      <top/>
      <bottom/>
    </border>
    <border>
      <left/>
      <right/>
      <bottom/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bottom/>
    </border>
    <border>
      <bottom/>
    </border>
    <border>
      <right/>
      <bottom/>
    </border>
    <border>
      <lef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304" fontId="36" fillId="0" borderId="2" xfId="0"/>
  </cellStyleXfs>
  <cellXfs count="56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2" xfId="0" applyNumberFormat="1" applyFont="1" applyFill="1" applyAlignment="1">
      <alignment horizontal="left"/>
    </xf>
    <xf numFmtId="304" fontId="4" fillId="2" borderId="2" xfId="0" applyFont="1" applyFill="1" applyAlignment="1">
      <alignment horizontal="left"/>
    </xf>
    <xf numFmtId="304" fontId="4" fillId="2" borderId="2" xfId="0" applyFont="1" applyFill="1" applyAlignment="1">
      <alignment horizontal="left" vertical="bottom"/>
    </xf>
    <xf numFmtId="14" fontId="4" fillId="2" borderId="2" xfId="0" applyNumberFormat="1" applyFont="1" applyFill="1" applyAlignment="1">
      <alignment horizontal="right"/>
    </xf>
    <xf numFmtId="10" fontId="3" fillId="2" borderId="2" xfId="0" applyNumberFormat="1" applyFont="1" applyFill="1" applyAlignment="1">
      <alignment horizontal="center"/>
    </xf>
    <xf numFmtId="10" fontId="4" fillId="2" borderId="2" xfId="0" applyNumberFormat="1" applyFont="1" applyFill="1" applyAlignment="1">
      <alignment horizontal="center"/>
    </xf>
    <xf numFmtId="10" fontId="3" fillId="3" borderId="2" xfId="0" applyNumberFormat="1" applyFont="1" applyFill="1" applyAlignment="1">
      <alignment horizontal="center"/>
    </xf>
    <xf numFmtId="10" fontId="4" fillId="3" borderId="2" xfId="0" applyNumberFormat="1" applyFont="1" applyFill="1" applyAlignment="1">
      <alignment horizontal="center"/>
    </xf>
    <xf numFmtId="0" fontId="3" fillId="2" borderId="0" xfId="0">
      <alignment horizontal="center"/>
    </xf>
    <xf numFmtId="0" fontId="5" fillId="4" borderId="0" xfId="0">
      <alignment horizontal="center"/>
    </xf>
    <xf numFmtId="0" fontId="5" fillId="4" borderId="2" xfId="0" applyNumberFormat="1" applyFont="1" applyFill="1" applyAlignment="1">
      <alignment horizontal="left"/>
    </xf>
    <xf numFmtId="0" fontId="5" fillId="4" borderId="2" xfId="0" applyNumberFormat="1" applyFont="1" applyFill="1" applyAlignment="1">
      <alignment horizontal="right"/>
    </xf>
    <xf numFmtId="300" fontId="5" fillId="4" borderId="2" xfId="0" applyNumberFormat="1" applyFont="1" applyFill="1" applyAlignment="1">
      <alignment horizontal="right"/>
    </xf>
    <xf numFmtId="300" fontId="5" fillId="2" borderId="0" xfId="0">
      <alignment horizontal="right"/>
    </xf>
    <xf numFmtId="300" fontId="5" fillId="2" borderId="0" xfId="0">
      <alignment horizontal="center"/>
    </xf>
    <xf numFmtId="10" fontId="5" fillId="2" borderId="0" xfId="0">
      <alignment horizontal="center" wrapText="1"/>
    </xf>
    <xf fontId="6" fillId="0" borderId="1" xfId="0">
      <alignment vertical="bottom"/>
    </xf>
    <xf numFmtId="304" fontId="7" fillId="0" borderId="2" xfId="0" applyFont="1" applyBorder="1"/>
    <xf fontId="6" fillId="0" borderId="3" xfId="0">
      <alignment vertical="bottom"/>
    </xf>
    <xf fontId="6" fillId="0" borderId="1" xfId="0">
      <alignment horizontal="left" vertical="bottom"/>
    </xf>
    <xf numFmtId="14" fontId="8" fillId="5" borderId="2" xfId="0" applyNumberFormat="1" applyFont="1" applyFill="1" applyBorder="1" applyAlignment="1">
      <alignment horizontal="right"/>
    </xf>
    <xf numFmtId="14" fontId="9" fillId="6" borderId="1" xfId="0">
      <alignment horizontal="right" vertical="bottom"/>
    </xf>
    <xf numFmtId="14" fontId="8" fillId="5" borderId="1" xfId="0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center" vertical="bottom"/>
    </xf>
    <xf numFmtId="10" fontId="6" fillId="0" borderId="3" xfId="0">
      <alignment horizontal="center" vertical="bottom"/>
    </xf>
    <xf numFmtId="10" fontId="6" fillId="0" borderId="3" xfId="0" applyNumberFormat="1" applyFont="1" applyBorder="1" applyAlignment="1">
      <alignment horizontal="center" vertical="bottom"/>
    </xf>
    <xf numFmtId="0" fontId="10" fillId="7" borderId="0" xfId="0">
      <alignment horizontal="center" vertical="bottom" textRotation="0"/>
    </xf>
    <xf fontId="9" fillId="7" borderId="0" xfId="0">
      <alignment horizontal="center"/>
    </xf>
    <xf fontId="6" fillId="0" borderId="0" xfId="0">
      <alignment horizontal="left"/>
    </xf>
    <xf fontId="6" fillId="8" borderId="0" xfId="0">
      <alignment horizontal="left"/>
    </xf>
    <xf numFmtId="300" fontId="6" fillId="8" borderId="0" xfId="0">
      <alignment horizontal="left"/>
    </xf>
    <xf numFmtId="300" fontId="6" fillId="9" borderId="0" xfId="0">
      <alignment horizontal="left"/>
    </xf>
    <xf numFmtId="300" fontId="11" fillId="10" borderId="0" xfId="0">
      <alignment horizontal="center" vertical="center" textRotation="0"/>
    </xf>
    <xf numFmtId="10" fontId="11" fillId="10" borderId="0" xfId="0">
      <alignment horizontal="center" vertical="center" textRotation="0"/>
    </xf>
    <xf fontId="6" fillId="8" borderId="2" xfId="0">
      <alignment vertical="bottom"/>
    </xf>
    <xf numFmtId="304" fontId="7" fillId="8" borderId="2" xfId="0" applyFont="1" applyFill="1" applyBorder="1"/>
    <xf numFmtId="304" fontId="12" fillId="8" borderId="2" xfId="0" applyFont="1" applyFill="1" applyBorder="1"/>
    <xf numFmtId="304" fontId="12" fillId="8" borderId="2" xfId="0" applyFont="1" applyFill="1" applyBorder="1" applyAlignment="1">
      <alignment horizontal="left"/>
    </xf>
    <xf numFmtId="14" fontId="8" fillId="9" borderId="2" xfId="0" applyNumberFormat="1" applyFont="1" applyFill="1" applyBorder="1" applyAlignment="1">
      <alignment horizontal="right"/>
    </xf>
    <xf numFmtId="14" fontId="9" fillId="8" borderId="2" xfId="0">
      <alignment horizontal="right" vertical="bottom"/>
    </xf>
    <xf numFmtId="10" fontId="12" fillId="8" borderId="2" xfId="0" applyNumberFormat="1" applyFont="1" applyFill="1" applyBorder="1" applyAlignment="1">
      <alignment horizontal="center" vertical="bottom"/>
    </xf>
    <xf numFmtId="10" fontId="12" fillId="8" borderId="4" xfId="0">
      <alignment horizontal="center" vertical="bottom"/>
    </xf>
    <xf numFmtId="10" fontId="12" fillId="8" borderId="4" xfId="0" applyNumberFormat="1" applyFont="1" applyFill="1" applyBorder="1" applyAlignment="1">
      <alignment horizontal="center" vertical="bottom"/>
    </xf>
    <xf numFmtId="301" fontId="9" fillId="8" borderId="0" xfId="0">
      <alignment horizontal="center"/>
    </xf>
    <xf fontId="9" fillId="8" borderId="0" xfId="0"/>
    <xf numFmtId="300" fontId="6" fillId="9" borderId="0" xfId="0">
      <alignment horizontal="center"/>
    </xf>
    <xf numFmtId="304" fontId="12" fillId="0" borderId="2" xfId="0" applyFont="1" applyBorder="1"/>
    <xf numFmtId="304" fontId="12" fillId="0" borderId="2" xfId="0" applyFont="1" applyBorder="1" applyAlignment="1">
      <alignment horizontal="left"/>
    </xf>
    <xf numFmtId="14" fontId="8" fillId="11" borderId="2" xfId="0" applyNumberFormat="1" applyFont="1" applyFill="1" applyBorder="1" applyAlignment="1">
      <alignment horizontal="right"/>
    </xf>
    <xf numFmtId="14" fontId="9" fillId="6" borderId="2" xfId="0">
      <alignment horizontal="right" vertical="bottom"/>
    </xf>
    <xf numFmtId="10" fontId="12" fillId="0" borderId="1" xfId="0">
      <alignment horizontal="center"/>
    </xf>
    <xf numFmtId="10" fontId="12" fillId="0" borderId="1" xfId="0">
      <alignment horizontal="center" vertical="bottom"/>
    </xf>
    <xf numFmtId="301" fontId="9" fillId="7" borderId="0" xfId="0">
      <alignment horizontal="center"/>
    </xf>
    <xf fontId="9" fillId="0" borderId="0" xfId="0">
      <alignment vertical="bottom"/>
    </xf>
    <xf fontId="6" fillId="0" borderId="0" xfId="0">
      <alignment vertical="bottom"/>
    </xf>
    <xf numFmtId="10" fontId="12" fillId="0" borderId="2" xfId="0" applyNumberFormat="1" applyFont="1" applyBorder="1" applyAlignment="1">
      <alignment horizontal="center" vertical="bottom"/>
    </xf>
    <xf numFmtId="10" fontId="12" fillId="0" borderId="2" xfId="0">
      <alignment horizontal="center" vertical="bottom"/>
    </xf>
    <xf fontId="9" fillId="0" borderId="0" xfId="0"/>
    <xf numFmtId="10" fontId="12" fillId="0" borderId="1" xfId="0" applyNumberFormat="1" applyFont="1" applyBorder="1" applyAlignment="1">
      <alignment horizontal="center" vertical="bottom"/>
    </xf>
    <xf numFmtId="304" fontId="7" fillId="0" borderId="1" xfId="0" applyFont="1" applyBorder="1"/>
    <xf numFmtId="304" fontId="6" fillId="0" borderId="1" xfId="0" applyFont="1" applyBorder="1"/>
    <xf numFmtId="304" fontId="6" fillId="0" borderId="1" xfId="0" applyFont="1" applyBorder="1" applyAlignment="1">
      <alignment horizontal="left" vertical="bottom"/>
    </xf>
    <xf numFmtId="10" fontId="12" fillId="12" borderId="0" xfId="0">
      <alignment horizontal="center" vertical="bottom"/>
    </xf>
    <xf fontId="9" fillId="6" borderId="0" xfId="0"/>
    <xf numFmtId="10" fontId="12" fillId="0" borderId="5" xfId="0" applyNumberFormat="1" applyFont="1" applyBorder="1" applyAlignment="1">
      <alignment horizontal="center" vertical="bottom"/>
    </xf>
    <xf numFmtId="10" fontId="12" fillId="0" borderId="5" xfId="0">
      <alignment horizontal="center" vertical="bottom"/>
    </xf>
    <xf numFmtId="304" fontId="6" fillId="0" borderId="2" xfId="0" applyFont="1" applyBorder="1"/>
    <xf numFmtId="304" fontId="6" fillId="0" borderId="2" xfId="0" applyFont="1" applyBorder="1" applyAlignment="1">
      <alignment horizontal="left" vertical="bottom"/>
    </xf>
    <xf numFmtId="10" fontId="6" fillId="0" borderId="2" xfId="0" applyNumberFormat="1" applyFont="1" applyBorder="1" applyAlignment="1">
      <alignment horizontal="center" vertical="bottom"/>
    </xf>
    <xf numFmtId="10" fontId="6" fillId="0" borderId="2" xfId="0">
      <alignment horizontal="center" vertical="bottom"/>
    </xf>
    <xf fontId="6" fillId="6" borderId="0" xfId="0">
      <alignment vertical="bottom"/>
    </xf>
    <xf numFmtId="304" fontId="9" fillId="0" borderId="2" xfId="0" applyFont="1" applyBorder="1"/>
    <xf numFmtId="304" fontId="6" fillId="0" borderId="2" xfId="0" applyFont="1" applyBorder="1" applyAlignment="1">
      <alignment horizontal="left"/>
    </xf>
    <xf numFmtId="10" fontId="6" fillId="6" borderId="2" xfId="0">
      <alignment horizontal="center" vertical="bottom"/>
    </xf>
    <xf fontId="6" fillId="0" borderId="2" xfId="0">
      <alignment vertical="bottom"/>
    </xf>
    <xf numFmtId="10" fontId="6" fillId="0" borderId="1" xfId="0">
      <alignment horizontal="center" vertical="bottom"/>
    </xf>
    <xf numFmtId="10" fontId="12" fillId="0" borderId="3" xfId="0" applyNumberFormat="1" applyFont="1" applyBorder="1" applyAlignment="1">
      <alignment horizontal="center" vertical="bottom"/>
    </xf>
    <xf fontId="9" fillId="0" borderId="2" xfId="0"/>
    <xf fontId="6" fillId="0" borderId="2" xfId="0"/>
    <xf fontId="6" fillId="0" borderId="2" xfId="0">
      <alignment horizontal="left"/>
    </xf>
    <xf numFmtId="14" fontId="9" fillId="0" borderId="2" xfId="0">
      <alignment horizontal="right" vertical="bottom"/>
    </xf>
    <xf numFmtId="10" fontId="6" fillId="6" borderId="1" xfId="0">
      <alignment horizontal="center" vertical="bottom"/>
    </xf>
    <xf numFmtId="10" fontId="13" fillId="5" borderId="1" xfId="0">
      <alignment horizontal="center"/>
    </xf>
    <xf numFmtId="0" fontId="9" fillId="7" borderId="0" xfId="0"/>
    <xf numFmtId="10" fontId="6" fillId="8" borderId="0" xfId="0">
      <alignment horizontal="right"/>
    </xf>
    <xf numFmtId="300" fontId="6" fillId="8" borderId="0" xfId="0">
      <alignment horizontal="right"/>
    </xf>
    <xf numFmtId="300" fontId="6" fillId="9" borderId="0" xfId="0">
      <alignment horizontal="right"/>
    </xf>
    <xf fontId="14" fillId="6" borderId="0" xfId="0">
      <alignment vertical="bottom"/>
    </xf>
    <xf fontId="14" fillId="0" borderId="2" xfId="0"/>
    <xf fontId="14" fillId="0" borderId="2" xfId="0">
      <alignment horizontal="left"/>
    </xf>
    <xf numFmtId="14" fontId="15" fillId="5" borderId="2" xfId="0" applyNumberFormat="1" applyFont="1" applyFill="1" applyBorder="1" applyAlignment="1">
      <alignment horizontal="right"/>
    </xf>
    <xf numFmtId="14" fontId="14" fillId="0" borderId="2" xfId="0">
      <alignment horizontal="right" vertical="bottom"/>
    </xf>
    <xf numFmtId="10" fontId="14" fillId="6" borderId="2" xfId="0">
      <alignment horizontal="center" vertical="bottom"/>
    </xf>
    <xf numFmtId="10" fontId="14" fillId="5" borderId="3" xfId="0">
      <alignment horizontal="center"/>
    </xf>
    <xf numFmtId="10" fontId="14" fillId="0" borderId="3" xfId="0">
      <alignment horizontal="center" vertical="bottom"/>
    </xf>
    <xf numFmtId="0" fontId="16" fillId="7" borderId="0" xfId="0">
      <alignment horizontal="center" vertical="bottom" textRotation="0"/>
    </xf>
    <xf numFmtId="301" fontId="14" fillId="7" borderId="0" xfId="0">
      <alignment horizontal="center"/>
    </xf>
    <xf numFmtId="0" fontId="14" fillId="7" borderId="0" xfId="0"/>
    <xf numFmtId="10" fontId="14" fillId="8" borderId="0" xfId="0">
      <alignment horizontal="right"/>
    </xf>
    <xf numFmtId="300" fontId="14" fillId="8" borderId="0" xfId="0">
      <alignment horizontal="right"/>
    </xf>
    <xf numFmtId="300" fontId="14" fillId="9" borderId="0" xfId="0">
      <alignment horizontal="right"/>
    </xf>
    <xf numFmtId="300" fontId="14" fillId="9" borderId="0" xfId="0">
      <alignment horizontal="center"/>
    </xf>
    <xf numFmtId="14" fontId="8" fillId="8" borderId="2" xfId="0" applyNumberFormat="1" applyFont="1" applyFill="1" applyBorder="1" applyAlignment="1">
      <alignment horizontal="right"/>
    </xf>
    <xf numFmtId="10" fontId="12" fillId="8" borderId="2" xfId="0" applyNumberFormat="1" applyFont="1" applyFill="1" applyBorder="1" applyAlignment="1">
      <alignment horizontal="center"/>
    </xf>
    <xf fontId="6" fillId="6" borderId="2" xfId="0">
      <alignment vertical="bottom"/>
    </xf>
    <xf fontId="6" fillId="7" borderId="0" xfId="0">
      <alignment horizontal="left"/>
    </xf>
    <xf numFmtId="300" fontId="6" fillId="8" borderId="6" xfId="0">
      <alignment horizontal="left"/>
    </xf>
    <xf fontId="6" fillId="0" borderId="2" xfId="0">
      <alignment horizontal="left" vertical="bottom"/>
    </xf>
    <xf numFmtId="300" fontId="6" fillId="8" borderId="7" xfId="0">
      <alignment horizontal="left"/>
    </xf>
    <xf fontId="9" fillId="7" borderId="0" xfId="0"/>
    <xf numFmtId="14" fontId="9" fillId="0" borderId="8" xfId="0">
      <alignment horizontal="right" vertical="bottom"/>
    </xf>
    <xf numFmtId="300" fontId="11" fillId="8" borderId="0" xfId="0">
      <alignment horizontal="right" vertical="bottom" textRotation="0"/>
    </xf>
    <xf fontId="6" fillId="13" borderId="2" xfId="0">
      <alignment vertical="bottom"/>
    </xf>
    <xf numFmtId="304" fontId="7" fillId="13" borderId="2" xfId="0" applyFont="1" applyFill="1" applyBorder="1"/>
    <xf fontId="6" fillId="13" borderId="2" xfId="0">
      <alignment horizontal="left" vertical="bottom"/>
    </xf>
    <xf numFmtId="14" fontId="8" fillId="13" borderId="2" xfId="0" applyNumberFormat="1" applyFont="1" applyFill="1" applyBorder="1" applyAlignment="1">
      <alignment horizontal="right"/>
    </xf>
    <xf numFmtId="14" fontId="9" fillId="13" borderId="8" xfId="0">
      <alignment horizontal="right" vertical="bottom"/>
    </xf>
    <xf numFmtId="10" fontId="6" fillId="13" borderId="2" xfId="0" applyNumberFormat="1" applyFont="1" applyFill="1" applyBorder="1" applyAlignment="1">
      <alignment horizontal="center" vertical="bottom"/>
    </xf>
    <xf numFmtId="10" fontId="6" fillId="13" borderId="2" xfId="0">
      <alignment horizontal="center"/>
    </xf>
    <xf numFmtId="10" fontId="6" fillId="13" borderId="9" xfId="0">
      <alignment horizontal="center"/>
    </xf>
    <xf numFmtId="301" fontId="9" fillId="13" borderId="0" xfId="0">
      <alignment horizontal="center"/>
    </xf>
    <xf fontId="9" fillId="13" borderId="0" xfId="0"/>
    <xf numFmtId="10" fontId="6" fillId="13" borderId="0" xfId="0">
      <alignment horizontal="right"/>
    </xf>
    <xf numFmtId="300" fontId="6" fillId="13" borderId="0" xfId="0">
      <alignment horizontal="right"/>
    </xf>
    <xf numFmtId="300" fontId="6" fillId="14" borderId="0" xfId="0">
      <alignment horizontal="right"/>
    </xf>
    <xf numFmtId="300" fontId="6" fillId="14" borderId="0" xfId="0">
      <alignment horizontal="center"/>
    </xf>
    <xf numFmtId="304" fontId="9" fillId="8" borderId="2" xfId="0" applyFont="1" applyFill="1" applyBorder="1"/>
    <xf fontId="6" fillId="8" borderId="2" xfId="0">
      <alignment horizontal="left" vertical="bottom"/>
    </xf>
    <xf numFmtId="304" fontId="6" fillId="8" borderId="2" xfId="0" applyFont="1" applyFill="1" applyBorder="1"/>
    <xf fontId="9" fillId="8" borderId="2" xfId="0"/>
    <xf numFmtId="14" fontId="9" fillId="8" borderId="2" xfId="0" applyNumberFormat="1" applyFont="1" applyFill="1" applyBorder="1" applyAlignment="1">
      <alignment horizontal="right"/>
    </xf>
    <xf numFmtId="301" fontId="9" fillId="8" borderId="8" xfId="0">
      <alignment horizontal="right" vertical="bottom"/>
    </xf>
    <xf numFmtId="301" fontId="9" fillId="8" borderId="2" xfId="0">
      <alignment horizontal="right" vertical="bottom"/>
    </xf>
    <xf numFmtId="10" fontId="6" fillId="8" borderId="2" xfId="0" applyNumberFormat="1" applyFont="1" applyFill="1" applyBorder="1" applyAlignment="1">
      <alignment horizontal="center"/>
    </xf>
    <xf numFmtId="10" fontId="6" fillId="8" borderId="2" xfId="0" applyNumberFormat="1" applyFont="1" applyFill="1" applyBorder="1" applyAlignment="1">
      <alignment horizontal="center" vertical="bottom"/>
    </xf>
    <xf numFmtId="10" fontId="6" fillId="8" borderId="3" xfId="0" applyNumberFormat="1" applyFont="1" applyFill="1" applyBorder="1" applyAlignment="1">
      <alignment horizontal="center"/>
    </xf>
    <xf fontId="9" fillId="8" borderId="3" xfId="0"/>
    <xf fontId="6" fillId="8" borderId="0" xfId="0">
      <alignment horizontal="right"/>
    </xf>
    <xf fontId="6" fillId="8" borderId="1" xfId="0">
      <alignment vertical="bottom"/>
    </xf>
    <xf numFmtId="304" fontId="8" fillId="8" borderId="2" xfId="0" applyFont="1" applyFill="1" applyBorder="1"/>
    <xf numFmtId="14" fontId="8" fillId="8" borderId="2" xfId="0" applyNumberFormat="1" applyFont="1" applyFill="1" applyBorder="1" applyAlignment="1">
      <alignment horizontal="right" vertical="bottom"/>
    </xf>
    <xf numFmtId="10" fontId="12" fillId="8" borderId="2" xfId="0">
      <alignment horizontal="center" vertical="bottom"/>
    </xf>
    <xf numFmtId="301" fontId="9" fillId="9" borderId="0" xfId="0">
      <alignment horizontal="center"/>
    </xf>
    <xf numFmtId="0" fontId="7" fillId="0" borderId="2" xfId="0" applyNumberFormat="1" applyFont="1" applyBorder="1"/>
    <xf numFmtId="0" fontId="10" fillId="7" borderId="2" xfId="0">
      <alignment horizontal="center" vertical="bottom" textRotation="0"/>
    </xf>
    <xf fontId="6" fillId="15" borderId="0" xfId="0">
      <alignment vertical="bottom"/>
    </xf>
    <xf fontId="9" fillId="15" borderId="2" xfId="0"/>
    <xf fontId="6" fillId="15" borderId="2" xfId="0">
      <alignment vertical="bottom"/>
    </xf>
    <xf fontId="6" fillId="15" borderId="2" xfId="0">
      <alignment horizontal="left" vertical="bottom"/>
    </xf>
    <xf numFmtId="14" fontId="8" fillId="15" borderId="2" xfId="0" applyNumberFormat="1" applyFont="1" applyFill="1" applyBorder="1" applyAlignment="1">
      <alignment horizontal="right"/>
    </xf>
    <xf numFmtId="14" fontId="8" fillId="15" borderId="2" xfId="0">
      <alignment horizontal="right" vertical="bottom"/>
    </xf>
    <xf numFmtId="10" fontId="13" fillId="15" borderId="2" xfId="0">
      <alignment horizontal="center"/>
    </xf>
    <xf numFmtId="10" fontId="13" fillId="15" borderId="3" xfId="0">
      <alignment horizontal="center"/>
    </xf>
    <xf fontId="9" fillId="15" borderId="0" xfId="0"/>
    <xf fontId="6" fillId="15" borderId="0" xfId="0">
      <alignment horizontal="left"/>
    </xf>
    <xf numFmtId="300" fontId="6" fillId="15" borderId="0" xfId="0">
      <alignment horizontal="left"/>
    </xf>
    <xf numFmtId="300" fontId="6" fillId="16" borderId="0" xfId="0">
      <alignment horizontal="left"/>
    </xf>
    <xf numFmtId="300" fontId="6" fillId="16" borderId="0" xfId="0">
      <alignment horizontal="center"/>
    </xf>
    <xf numFmtId="304" fontId="7" fillId="15" borderId="2" xfId="0" applyFont="1" applyFill="1" applyBorder="1"/>
    <xf numFmtId="14" fontId="9" fillId="15" borderId="2" xfId="0">
      <alignment horizontal="right" vertical="bottom"/>
    </xf>
    <xf numFmtId="10" fontId="6" fillId="15" borderId="2" xfId="0">
      <alignment horizontal="center"/>
    </xf>
    <xf numFmtId="10" fontId="6" fillId="15" borderId="2" xfId="0" applyNumberFormat="1" applyFont="1" applyFill="1" applyBorder="1" applyAlignment="1">
      <alignment horizontal="center" vertical="bottom"/>
    </xf>
    <xf numFmtId="10" fontId="17" fillId="15" borderId="2" xfId="0" applyNumberFormat="1" applyFont="1" applyFill="1" applyBorder="1" applyAlignment="1">
      <alignment horizontal="center" vertical="bottom"/>
    </xf>
    <xf numFmtId="10" fontId="6" fillId="15" borderId="2" xfId="0" applyNumberFormat="1" applyFont="1" applyFill="1" applyBorder="1" applyAlignment="1">
      <alignment horizontal="center"/>
    </xf>
    <xf numFmtId="301" fontId="9" fillId="15" borderId="0" xfId="0">
      <alignment horizontal="center"/>
    </xf>
    <xf numFmtId="10" fontId="6" fillId="15" borderId="0" xfId="0">
      <alignment horizontal="right"/>
    </xf>
    <xf numFmtId="300" fontId="6" fillId="15" borderId="0" xfId="0">
      <alignment horizontal="right"/>
    </xf>
    <xf numFmtId="300" fontId="6" fillId="16" borderId="0" xfId="0">
      <alignment horizontal="right"/>
    </xf>
    <xf numFmtId="10" fontId="6" fillId="6" borderId="1" xfId="0" applyNumberFormat="1" applyFont="1" applyFill="1" applyBorder="1" applyAlignment="1">
      <alignment horizontal="center" vertical="bottom"/>
    </xf>
    <xf numFmtId="0" fontId="9" fillId="7" borderId="0" xfId="0">
      <alignment horizontal="center"/>
    </xf>
    <xf numFmtId="14" fontId="8" fillId="17" borderId="2" xfId="0">
      <alignment horizontal="right"/>
    </xf>
    <xf numFmtId="10" fontId="13" fillId="17" borderId="1" xfId="0">
      <alignment horizontal="center"/>
    </xf>
    <xf numFmtId="10" fontId="6" fillId="0" borderId="1" xfId="0">
      <alignment horizontal="center"/>
    </xf>
    <xf numFmtId="301" fontId="9" fillId="18" borderId="0" xfId="0">
      <alignment horizontal="center"/>
    </xf>
    <xf fontId="9" fillId="18" borderId="0" xfId="0"/>
    <xf numFmtId="304" fontId="9" fillId="13" borderId="2" xfId="0" applyFont="1" applyFill="1" applyBorder="1"/>
    <xf numFmtId="304" fontId="6" fillId="13" borderId="2" xfId="0" applyFont="1" applyFill="1" applyBorder="1"/>
    <xf numFmtId="304" fontId="6" fillId="13" borderId="2" xfId="0" applyFont="1" applyFill="1" applyBorder="1" applyAlignment="1">
      <alignment horizontal="left"/>
    </xf>
    <xf numFmtId="14" fontId="9" fillId="14" borderId="2" xfId="0" applyNumberFormat="1" applyFont="1" applyFill="1" applyBorder="1" applyAlignment="1">
      <alignment horizontal="right"/>
    </xf>
    <xf numFmtId="14" fontId="9" fillId="13" borderId="2" xfId="0">
      <alignment horizontal="right" vertical="bottom"/>
    </xf>
    <xf numFmtId="14" fontId="9" fillId="13" borderId="2" xfId="0" applyNumberFormat="1" applyFont="1" applyFill="1" applyBorder="1" applyAlignment="1">
      <alignment horizontal="right"/>
    </xf>
    <xf numFmtId="10" fontId="6" fillId="13" borderId="1" xfId="0" applyNumberFormat="1" applyFont="1" applyFill="1" applyBorder="1" applyAlignment="1">
      <alignment horizontal="center"/>
    </xf>
    <xf numFmtId="10" fontId="6" fillId="13" borderId="1" xfId="0" applyNumberFormat="1" applyFont="1" applyFill="1" applyBorder="1" applyAlignment="1">
      <alignment horizontal="center" vertical="bottom"/>
    </xf>
    <xf numFmtId="0" fontId="7" fillId="0" borderId="2" xfId="0"/>
    <xf numFmtId="14" fontId="6" fillId="6" borderId="2" xfId="0">
      <alignment horizontal="right" vertical="bottom"/>
    </xf>
    <xf numFmtId="0" fontId="12" fillId="0" borderId="2" xfId="0" applyNumberFormat="1" applyFont="1" applyBorder="1"/>
    <xf numFmtId="301" fontId="9" fillId="6" borderId="2" xfId="0">
      <alignment horizontal="right" vertical="bottom"/>
    </xf>
    <xf numFmtId="10" fontId="12" fillId="0" borderId="2" xfId="0">
      <alignment horizontal="center"/>
    </xf>
    <xf fontId="14" fillId="15" borderId="0" xfId="0">
      <alignment vertical="bottom"/>
    </xf>
    <xf numFmtId="0" fontId="18" fillId="15" borderId="2" xfId="0" applyNumberFormat="1" applyFont="1" applyFill="1" applyBorder="1"/>
    <xf numFmtId="304" fontId="15" fillId="15" borderId="2" xfId="0" applyFont="1" applyFill="1" applyBorder="1"/>
    <xf numFmtId="304" fontId="15" fillId="15" borderId="2" xfId="0" applyFont="1" applyFill="1" applyBorder="1" applyAlignment="1">
      <alignment horizontal="left"/>
    </xf>
    <xf numFmtId="0" fontId="15" fillId="15" borderId="2" xfId="0" applyNumberFormat="1" applyFont="1" applyFill="1" applyBorder="1"/>
    <xf numFmtId="14" fontId="15" fillId="16" borderId="2" xfId="0" applyNumberFormat="1" applyFont="1" applyFill="1" applyBorder="1" applyAlignment="1">
      <alignment horizontal="right"/>
    </xf>
    <xf numFmtId="14" fontId="14" fillId="15" borderId="2" xfId="0">
      <alignment horizontal="right" vertical="bottom"/>
    </xf>
    <xf numFmtId="14" fontId="15" fillId="15" borderId="2" xfId="0" applyNumberFormat="1" applyFont="1" applyFill="1" applyBorder="1" applyAlignment="1">
      <alignment horizontal="right"/>
    </xf>
    <xf numFmtId="10" fontId="15" fillId="15" borderId="3" xfId="0" applyNumberFormat="1" applyFont="1" applyFill="1" applyBorder="1" applyAlignment="1">
      <alignment horizontal="center"/>
    </xf>
    <xf numFmtId="10" fontId="15" fillId="15" borderId="2" xfId="0" applyNumberFormat="1" applyFont="1" applyFill="1" applyBorder="1" applyAlignment="1">
      <alignment horizontal="center"/>
    </xf>
    <xf numFmtId="0" fontId="19" fillId="7" borderId="0" xfId="0">
      <alignment horizontal="center" vertical="bottom" textRotation="0"/>
    </xf>
    <xf numFmtId="301" fontId="14" fillId="15" borderId="1" xfId="0" applyNumberFormat="1" applyFont="1" applyFill="1" applyBorder="1" applyAlignment="1">
      <alignment horizontal="center"/>
    </xf>
    <xf fontId="14" fillId="15" borderId="0" xfId="0"/>
    <xf numFmtId="10" fontId="14" fillId="15" borderId="0" xfId="0">
      <alignment horizontal="right"/>
    </xf>
    <xf numFmtId="300" fontId="14" fillId="15" borderId="0" xfId="0">
      <alignment horizontal="right"/>
    </xf>
    <xf numFmtId="300" fontId="14" fillId="16" borderId="0" xfId="0">
      <alignment horizontal="right"/>
    </xf>
    <xf numFmtId="300" fontId="14" fillId="16" borderId="0" xfId="0">
      <alignment horizontal="center"/>
    </xf>
    <xf fontId="6" fillId="7" borderId="0" xfId="0">
      <alignment vertical="bottom"/>
    </xf>
    <xf numFmtId="304" fontId="7" fillId="7" borderId="1" xfId="0" applyFont="1" applyFill="1" applyBorder="1"/>
    <xf numFmtId="304" fontId="12" fillId="7" borderId="1" xfId="0" applyFont="1" applyFill="1" applyBorder="1"/>
    <xf numFmtId="304" fontId="12" fillId="7" borderId="1" xfId="0" applyFont="1" applyFill="1" applyBorder="1" applyAlignment="1">
      <alignment horizontal="left"/>
    </xf>
    <xf numFmtId="14" fontId="8" fillId="19" borderId="1" xfId="0" applyNumberFormat="1" applyFont="1" applyFill="1" applyBorder="1" applyAlignment="1">
      <alignment horizontal="right"/>
    </xf>
    <xf numFmtId="14" fontId="6" fillId="7" borderId="1" xfId="0">
      <alignment horizontal="right" vertical="bottom"/>
    </xf>
    <xf numFmtId="14" fontId="8" fillId="7" borderId="1" xfId="0" applyNumberFormat="1" applyFont="1" applyFill="1" applyBorder="1" applyAlignment="1">
      <alignment horizontal="right"/>
    </xf>
    <xf numFmtId="10" fontId="12" fillId="7" borderId="1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 vertical="bottom"/>
    </xf>
    <xf numFmtId="10" fontId="6" fillId="7" borderId="0" xfId="0">
      <alignment horizontal="right"/>
    </xf>
    <xf numFmtId="300" fontId="6" fillId="7" borderId="0" xfId="0">
      <alignment horizontal="right"/>
    </xf>
    <xf numFmtId="300" fontId="6" fillId="19" borderId="0" xfId="0">
      <alignment horizontal="right"/>
    </xf>
    <xf numFmtId="0" fontId="20" fillId="5" borderId="2" xfId="0"/>
    <xf numFmtId="301" fontId="9" fillId="7" borderId="1" xfId="0">
      <alignment horizontal="center"/>
    </xf>
    <xf fontId="9" fillId="7" borderId="1" xfId="0"/>
    <xf numFmtId="10" fontId="6" fillId="8" borderId="1" xfId="0">
      <alignment horizontal="right"/>
    </xf>
    <xf numFmtId="300" fontId="6" fillId="8" borderId="1" xfId="0">
      <alignment horizontal="right"/>
    </xf>
    <xf numFmtId="300" fontId="6" fillId="9" borderId="1" xfId="0">
      <alignment horizontal="right"/>
    </xf>
    <xf numFmtId="300" fontId="6" fillId="9" borderId="1" xfId="0">
      <alignment horizontal="center"/>
    </xf>
    <xf numFmtId="10" fontId="11" fillId="10" borderId="1" xfId="0">
      <alignment horizontal="center" vertical="center" textRotation="0"/>
    </xf>
    <xf fontId="12" fillId="6" borderId="2" xfId="0"/>
    <xf fontId="9" fillId="0" borderId="1" xfId="0"/>
    <xf numFmtId="10" fontId="12" fillId="12" borderId="2" xfId="0" applyNumberFormat="1" applyFont="1" applyFill="1" applyBorder="1" applyAlignment="1">
      <alignment horizontal="center" vertical="bottom"/>
    </xf>
    <xf numFmtId="10" fontId="12" fillId="12" borderId="1" xfId="0" applyNumberFormat="1" applyFont="1" applyFill="1" applyBorder="1" applyAlignment="1">
      <alignment horizontal="center" vertical="bottom"/>
    </xf>
    <xf numFmtId="301" fontId="9" fillId="7" borderId="2" xfId="0">
      <alignment horizontal="center"/>
    </xf>
    <xf numFmtId="304" fontId="12" fillId="0" borderId="10" xfId="0" applyFont="1" applyBorder="1"/>
    <xf numFmtId="14" fontId="6" fillId="0" borderId="2" xfId="0">
      <alignment horizontal="right" vertical="bottom"/>
    </xf>
    <xf numFmtId="0" fontId="10" fillId="7" borderId="1" xfId="0">
      <alignment horizontal="center" vertical="bottom" textRotation="0"/>
    </xf>
    <xf fontId="6" fillId="13" borderId="0" xfId="0">
      <alignment vertical="bottom"/>
    </xf>
    <xf numFmtId="0" fontId="7" fillId="13" borderId="2" xfId="0" applyNumberFormat="1" applyFont="1" applyFill="1" applyBorder="1"/>
    <xf numFmtId="14" fontId="6" fillId="13" borderId="2" xfId="0">
      <alignment horizontal="right" vertical="bottom"/>
    </xf>
    <xf fontId="9" fillId="13" borderId="0" xfId="0">
      <alignment horizontal="left"/>
    </xf>
    <xf fontId="7" fillId="0" borderId="2" xfId="0"/>
    <xf fontId="12" fillId="0" borderId="2" xfId="0"/>
    <xf numFmtId="0" fontId="12" fillId="0" borderId="2" xfId="0">
      <alignment horizontal="left"/>
    </xf>
    <xf numFmtId="14" fontId="8" fillId="5" borderId="2" xfId="0" applyNumberFormat="1" applyFont="1" applyFill="1" applyBorder="1" applyAlignment="1">
      <alignment horizontal="right" vertical="bottom"/>
    </xf>
    <xf numFmtId="301" fontId="6" fillId="0" borderId="2" xfId="0">
      <alignment horizontal="right"/>
    </xf>
    <xf numFmtId="10" fontId="20" fillId="5" borderId="1" xfId="0">
      <alignment horizontal="center"/>
    </xf>
    <xf numFmtId="10" fontId="20" fillId="5" borderId="1" xfId="0" applyNumberFormat="1" applyFont="1" applyFill="1" applyBorder="1" applyAlignment="1">
      <alignment horizontal="center"/>
    </xf>
    <xf fontId="9" fillId="6" borderId="0" xfId="0">
      <alignment horizontal="center"/>
    </xf>
    <xf fontId="6" fillId="0" borderId="3" xfId="0">
      <alignment horizontal="left"/>
    </xf>
    <xf numFmtId="10" fontId="20" fillId="5" borderId="0" xfId="0">
      <alignment horizontal="center"/>
    </xf>
    <xf numFmtId="10" fontId="20" fillId="11" borderId="1" xfId="0" applyNumberFormat="1" applyFont="1" applyFill="1" applyBorder="1" applyAlignment="1">
      <alignment horizontal="center" vertical="bottom" textRotation="0" indent="0" justifyLastLine="0" shrinkToFit="0"/>
    </xf>
    <xf numFmtId="0" fontId="6" fillId="0" borderId="2" xfId="0">
      <alignment horizontal="left"/>
    </xf>
    <xf fontId="6" fillId="0" borderId="1" xfId="0"/>
    <xf numFmtId="14" fontId="9" fillId="5" borderId="2" xfId="0" applyNumberFormat="1" applyFont="1" applyFill="1" applyBorder="1" applyAlignment="1">
      <alignment horizontal="right" vertical="bottom"/>
    </xf>
    <xf numFmtId="14" fontId="9" fillId="5" borderId="2" xfId="0" applyNumberFormat="1" applyFont="1" applyFill="1" applyBorder="1" applyAlignment="1">
      <alignment horizontal="right"/>
    </xf>
    <xf numFmtId="10" fontId="13" fillId="5" borderId="9" xfId="0">
      <alignment horizontal="center"/>
    </xf>
    <xf numFmtId="10" fontId="13" fillId="11" borderId="2" xfId="0" applyNumberFormat="1" applyFont="1" applyFill="1" applyBorder="1" applyAlignment="1">
      <alignment horizontal="center" vertical="bottom" textRotation="0" indent="0" justifyLastLine="0" shrinkToFit="0"/>
    </xf>
    <xf numFmtId="10" fontId="13" fillId="5" borderId="2" xfId="0">
      <alignment horizontal="center"/>
    </xf>
    <xf numFmtId="0" fontId="10" fillId="19" borderId="8" xfId="0">
      <alignment horizontal="center" vertical="bottom" textRotation="0"/>
    </xf>
    <xf fontId="6" fillId="6" borderId="2" xfId="0"/>
    <xf numFmtId="0" fontId="10" fillId="19" borderId="0" xfId="0">
      <alignment horizontal="center" vertical="bottom" textRotation="0"/>
    </xf>
    <xf numFmtId="10" fontId="21" fillId="8" borderId="0" xfId="0">
      <alignment horizontal="right"/>
    </xf>
    <xf numFmtId="300" fontId="21" fillId="8" borderId="0" xfId="0">
      <alignment horizontal="right"/>
    </xf>
    <xf fontId="6" fillId="6" borderId="1" xfId="0">
      <alignment vertical="bottom"/>
    </xf>
    <xf numFmtId="10" fontId="13" fillId="5" borderId="2" xfId="0" applyNumberFormat="1" applyFont="1" applyFill="1" applyBorder="1" applyAlignment="1">
      <alignment horizontal="center"/>
    </xf>
    <xf fontId="6" fillId="6" borderId="0" xfId="0">
      <alignment horizontal="left"/>
    </xf>
    <xf numFmtId="304" fontId="12" fillId="0" borderId="11" xfId="0" applyFont="1" applyBorder="1"/>
    <xf numFmtId="301" fontId="9" fillId="0" borderId="2" xfId="0">
      <alignment horizontal="right" vertical="bottom"/>
    </xf>
    <xf numFmtId="10" fontId="12" fillId="0" borderId="5" xfId="0">
      <alignment horizontal="center"/>
    </xf>
    <xf fontId="9" fillId="7" borderId="0" xfId="0">
      <alignment vertical="bottom"/>
    </xf>
    <xf fontId="12" fillId="0" borderId="11" xfId="0"/>
    <xf numFmtId="0" fontId="12" fillId="0" borderId="10" xfId="0">
      <alignment horizontal="left"/>
    </xf>
    <xf fontId="12" fillId="0" borderId="10" xfId="0"/>
    <xf numFmtId="301" fontId="6" fillId="6" borderId="11" xfId="0">
      <alignment horizontal="right"/>
    </xf>
    <xf numFmtId="301" fontId="6" fillId="6" borderId="2" xfId="0">
      <alignment horizontal="right"/>
    </xf>
    <xf numFmtId="10" fontId="20" fillId="5" borderId="1" xfId="0" applyNumberFormat="1" applyFont="1" applyFill="1" applyBorder="1" applyAlignment="1">
      <alignment horizontal="center" vertical="bottom"/>
    </xf>
    <xf numFmtId="301" fontId="12" fillId="12" borderId="11" xfId="0">
      <alignment horizontal="right"/>
    </xf>
    <xf numFmtId="301" fontId="12" fillId="12" borderId="2" xfId="0">
      <alignment horizontal="right"/>
    </xf>
    <xf numFmtId="10" fontId="20" fillId="5" borderId="3" xfId="0">
      <alignment horizontal="center"/>
    </xf>
    <xf numFmtId="10" fontId="20" fillId="5" borderId="2" xfId="0" applyNumberFormat="1" applyFont="1" applyFill="1" applyBorder="1" applyAlignment="1">
      <alignment horizontal="center"/>
    </xf>
    <xf numFmtId="10" fontId="20" fillId="5" borderId="2" xfId="0">
      <alignment horizontal="center"/>
    </xf>
    <xf fontId="7" fillId="6" borderId="2" xfId="0"/>
    <xf fontId="6" fillId="6" borderId="11" xfId="0"/>
    <xf numFmtId="0" fontId="6" fillId="6" borderId="10" xfId="0">
      <alignment horizontal="left"/>
    </xf>
    <xf fontId="6" fillId="6" borderId="10" xfId="0"/>
    <xf numFmtId="14" fontId="8" fillId="7" borderId="2" xfId="0" applyNumberFormat="1" applyFont="1" applyFill="1" applyBorder="1" applyAlignment="1">
      <alignment horizontal="right" vertical="bottom"/>
    </xf>
    <xf numFmtId="10" fontId="13" fillId="5" borderId="3" xfId="0">
      <alignment horizontal="center"/>
    </xf>
    <xf numFmtId="10" fontId="13" fillId="5" borderId="2" xfId="0" applyNumberFormat="1" applyFont="1" applyFill="1" applyBorder="1" applyAlignment="1">
      <alignment horizontal="center" vertical="bottom" textRotation="0" indent="0" justifyLastLine="0" shrinkToFit="0"/>
    </xf>
    <xf numFmtId="0" fontId="6" fillId="6" borderId="2" xfId="0">
      <alignment horizontal="left"/>
    </xf>
    <xf numFmtId="10" fontId="13" fillId="5" borderId="1" xfId="0" applyNumberFormat="1" applyFont="1" applyFill="1" applyBorder="1" applyAlignment="1">
      <alignment horizontal="center" vertical="bottom"/>
    </xf>
    <xf numFmtId="10" fontId="13" fillId="5" borderId="1" xfId="0" applyNumberFormat="1" applyFont="1" applyFill="1" applyBorder="1" applyAlignment="1">
      <alignment horizontal="center" vertical="bottom" textRotation="0" indent="0" justifyLastLine="0" shrinkToFit="0"/>
    </xf>
    <xf numFmtId="10" fontId="20" fillId="11" borderId="2" xfId="0">
      <alignment horizontal="center"/>
    </xf>
    <xf numFmtId="300" fontId="16" fillId="8" borderId="0" xfId="0">
      <alignment horizontal="right" vertical="bottom" textRotation="0"/>
    </xf>
    <xf fontId="6" fillId="0" borderId="11" xfId="0"/>
    <xf numFmtId="0" fontId="6" fillId="0" borderId="10" xfId="0">
      <alignment horizontal="left"/>
    </xf>
    <xf fontId="6" fillId="0" borderId="10" xfId="0"/>
    <xf numFmtId="14" fontId="8" fillId="20" borderId="2" xfId="0" applyNumberFormat="1" applyFont="1" applyFill="1" applyBorder="1" applyAlignment="1">
      <alignment horizontal="right"/>
    </xf>
    <xf numFmtId="10" fontId="13" fillId="5" borderId="1" xfId="0" applyNumberFormat="1" applyFont="1" applyFill="1" applyBorder="1" applyAlignment="1">
      <alignment horizontal="center"/>
    </xf>
    <xf numFmtId="304" fontId="12" fillId="0" borderId="10" xfId="0" applyFont="1" applyBorder="1" applyAlignment="1">
      <alignment horizontal="left"/>
    </xf>
    <xf numFmtId="301" fontId="6" fillId="6" borderId="11" xfId="0">
      <alignment horizontal="right" vertical="bottom"/>
    </xf>
    <xf numFmtId="10" fontId="12" fillId="0" borderId="3" xfId="0">
      <alignment horizontal="center"/>
    </xf>
    <xf numFmtId="301" fontId="6" fillId="0" borderId="2" xfId="0">
      <alignment horizontal="right" vertical="bottom"/>
    </xf>
    <xf numFmtId="300" fontId="6" fillId="8" borderId="7" xfId="0">
      <alignment horizontal="right"/>
    </xf>
    <xf numFmtId="14" fontId="8" fillId="19" borderId="2" xfId="0" applyNumberFormat="1" applyFont="1" applyFill="1" applyBorder="1" applyAlignment="1">
      <alignment horizontal="right" vertical="bottom"/>
    </xf>
    <xf numFmtId="10" fontId="20" fillId="5" borderId="2" xfId="0" applyNumberFormat="1" applyFont="1" applyFill="1" applyBorder="1" applyAlignment="1">
      <alignment horizontal="center" vertical="bottom" textRotation="0" indent="0" justifyLastLine="0" shrinkToFit="0"/>
    </xf>
    <xf numFmtId="10" fontId="20" fillId="5" borderId="5" xfId="0">
      <alignment horizontal="center"/>
    </xf>
    <xf numFmtId="0" fontId="10" fillId="7" borderId="12" xfId="0">
      <alignment horizontal="center" vertical="bottom" textRotation="0"/>
    </xf>
    <xf fontId="6" fillId="15" borderId="1" xfId="0">
      <alignment vertical="bottom"/>
    </xf>
    <xf fontId="7" fillId="15" borderId="2" xfId="0"/>
    <xf fontId="12" fillId="15" borderId="11" xfId="0"/>
    <xf numFmtId="0" fontId="12" fillId="15" borderId="10" xfId="0">
      <alignment horizontal="left"/>
    </xf>
    <xf fontId="12" fillId="15" borderId="10" xfId="0"/>
    <xf numFmtId="14" fontId="8" fillId="15" borderId="2" xfId="0" applyNumberFormat="1" applyFont="1" applyFill="1" applyBorder="1" applyAlignment="1">
      <alignment horizontal="right" vertical="bottom"/>
    </xf>
    <xf numFmtId="301" fontId="12" fillId="16" borderId="11" xfId="0">
      <alignment horizontal="right"/>
    </xf>
    <xf numFmtId="10" fontId="20" fillId="15" borderId="1" xfId="0">
      <alignment horizontal="center"/>
    </xf>
    <xf numFmtId="10" fontId="20" fillId="15" borderId="1" xfId="0" applyNumberFormat="1" applyFont="1" applyFill="1" applyBorder="1" applyAlignment="1">
      <alignment horizontal="center" vertical="bottom" textRotation="0" indent="0" justifyLastLine="0" shrinkToFit="0"/>
    </xf>
    <xf numFmtId="0" fontId="22" fillId="7" borderId="1" xfId="0">
      <alignment horizontal="center" vertical="bottom" textRotation="0"/>
    </xf>
    <xf fontId="9" fillId="15" borderId="1" xfId="0">
      <alignment horizontal="center"/>
    </xf>
    <xf fontId="6" fillId="15" borderId="1" xfId="0">
      <alignment horizontal="left"/>
    </xf>
    <xf numFmtId="10" fontId="6" fillId="15" borderId="1" xfId="0">
      <alignment horizontal="right"/>
    </xf>
    <xf numFmtId="300" fontId="6" fillId="15" borderId="1" xfId="0">
      <alignment horizontal="right"/>
    </xf>
    <xf numFmtId="300" fontId="6" fillId="16" borderId="1" xfId="0">
      <alignment horizontal="right"/>
    </xf>
    <xf numFmtId="300" fontId="6" fillId="16" borderId="1" xfId="0">
      <alignment horizontal="center"/>
    </xf>
    <xf numFmtId="10" fontId="20" fillId="5" borderId="3" xfId="0" applyNumberFormat="1" applyFont="1" applyFill="1" applyBorder="1" applyAlignment="1">
      <alignment horizontal="center"/>
    </xf>
    <xf fontId="9" fillId="6" borderId="2" xfId="0">
      <alignment horizontal="center"/>
    </xf>
    <xf fontId="6" fillId="6" borderId="1" xfId="0">
      <alignment horizontal="left"/>
    </xf>
    <xf fontId="6" fillId="8" borderId="1" xfId="0">
      <alignment horizontal="left"/>
    </xf>
    <xf numFmtId="300" fontId="6" fillId="8" borderId="1" xfId="0">
      <alignment horizontal="left"/>
    </xf>
    <xf numFmtId="300" fontId="6" fillId="9" borderId="1" xfId="0">
      <alignment horizontal="left"/>
    </xf>
    <xf fontId="9" fillId="6" borderId="1" xfId="0">
      <alignment horizontal="center"/>
    </xf>
    <xf fontId="7" fillId="0" borderId="1" xfId="0"/>
    <xf fontId="12" fillId="0" borderId="5" xfId="0"/>
    <xf numFmtId="0" fontId="12" fillId="0" borderId="5" xfId="0">
      <alignment horizontal="left"/>
    </xf>
    <xf fontId="12" fillId="0" borderId="1" xfId="0"/>
    <xf fontId="12" fillId="0" borderId="13" xfId="0"/>
    <xf numFmtId="301" fontId="12" fillId="6" borderId="5" xfId="0">
      <alignment horizontal="right"/>
    </xf>
    <xf numFmtId="10" fontId="20" fillId="5" borderId="5" xfId="0" applyNumberFormat="1" applyFont="1" applyFill="1" applyBorder="1" applyAlignment="1">
      <alignment horizontal="center"/>
    </xf>
    <xf numFmtId="0" fontId="10" fillId="7" borderId="5" xfId="0">
      <alignment horizontal="center" vertical="bottom" textRotation="0"/>
    </xf>
    <xf numFmtId="301" fontId="12" fillId="0" borderId="11" xfId="0">
      <alignment horizontal="right"/>
    </xf>
    <xf numFmtId="10" fontId="20" fillId="11" borderId="2" xfId="0" applyNumberFormat="1" applyFont="1" applyFill="1" applyBorder="1" applyAlignment="1">
      <alignment horizontal="center" vertical="bottom" textRotation="0" indent="0" justifyLastLine="0" shrinkToFit="0"/>
    </xf>
    <xf numFmtId="301" fontId="12" fillId="0" borderId="2" xfId="0">
      <alignment horizontal="right"/>
    </xf>
    <xf numFmtId="10" fontId="20" fillId="11" borderId="1" xfId="0" applyNumberFormat="1" applyFont="1" applyFill="1" applyBorder="1" applyAlignment="1">
      <alignment horizontal="center" vertical="bottom"/>
    </xf>
    <xf fontId="6" fillId="0" borderId="3" xfId="0"/>
    <xf numFmtId="0" fontId="6" fillId="0" borderId="14" xfId="0">
      <alignment horizontal="left"/>
    </xf>
    <xf fontId="6" fillId="0" borderId="14" xfId="0"/>
    <xf numFmtId="301" fontId="12" fillId="0" borderId="3" xfId="0">
      <alignment horizontal="right"/>
    </xf>
    <xf numFmtId="10" fontId="13" fillId="5" borderId="5" xfId="0">
      <alignment horizontal="center"/>
    </xf>
    <xf numFmtId="10" fontId="11" fillId="6" borderId="5" xfId="0">
      <alignment horizontal="center" vertical="bottom" textRotation="0"/>
    </xf>
    <xf fontId="6" fillId="6" borderId="6" xfId="0">
      <alignment vertical="bottom"/>
    </xf>
    <xf fontId="6" fillId="0" borderId="0" xfId="0"/>
    <xf numFmtId="0" fontId="6" fillId="0" borderId="0" xfId="0">
      <alignment horizontal="left"/>
    </xf>
    <xf numFmtId="301" fontId="12" fillId="0" borderId="6" xfId="0">
      <alignment horizontal="right"/>
    </xf>
    <xf numFmtId="10" fontId="13" fillId="5" borderId="6" xfId="0">
      <alignment horizontal="center"/>
    </xf>
    <xf numFmtId="10" fontId="13" fillId="5" borderId="6" xfId="0" applyNumberFormat="1" applyFont="1" applyFill="1" applyBorder="1" applyAlignment="1">
      <alignment horizontal="center"/>
    </xf>
    <xf numFmtId="10" fontId="13" fillId="5" borderId="12" xfId="0">
      <alignment horizontal="center"/>
    </xf>
    <xf numFmtId="0" fontId="10" fillId="7" borderId="6" xfId="0">
      <alignment horizontal="center" vertical="bottom" textRotation="0"/>
    </xf>
    <xf fontId="6" fillId="6" borderId="6" xfId="0">
      <alignment horizontal="left"/>
    </xf>
    <xf numFmtId="10" fontId="13" fillId="5" borderId="0" xfId="0">
      <alignment horizontal="center"/>
    </xf>
    <xf numFmtId="0" fontId="6" fillId="0" borderId="1" xfId="0">
      <alignment horizontal="left"/>
    </xf>
    <xf numFmtId="301" fontId="12" fillId="6" borderId="1" xfId="0">
      <alignment horizontal="right"/>
    </xf>
    <xf numFmtId="301" fontId="12" fillId="12" borderId="1" xfId="0">
      <alignment horizontal="right"/>
    </xf>
    <xf numFmtId="0" fontId="12" fillId="0" borderId="1" xfId="0">
      <alignment horizontal="left"/>
    </xf>
    <xf numFmtId="301" fontId="12" fillId="12" borderId="3" xfId="0">
      <alignment horizontal="right"/>
    </xf>
    <xf numFmtId="10" fontId="20" fillId="11" borderId="5" xfId="0" applyNumberFormat="1" applyFont="1" applyFill="1" applyBorder="1" applyAlignment="1">
      <alignment horizontal="center" vertical="bottom" textRotation="0" indent="0" justifyLastLine="0" shrinkToFit="0"/>
    </xf>
    <xf fontId="12" fillId="0" borderId="3" xfId="0"/>
    <xf numFmtId="0" fontId="12" fillId="0" borderId="14" xfId="0">
      <alignment horizontal="left"/>
    </xf>
    <xf fontId="12" fillId="0" borderId="14" xfId="0"/>
    <xf numFmtId="301" fontId="12" fillId="12" borderId="5" xfId="0">
      <alignment horizontal="right"/>
    </xf>
    <xf numFmtId="10" fontId="13" fillId="5" borderId="5" xfId="0" applyNumberFormat="1" applyFont="1" applyFill="1" applyBorder="1" applyAlignment="1">
      <alignment horizontal="center" vertical="bottom" textRotation="0" indent="0" justifyLastLine="0" shrinkToFit="0"/>
    </xf>
    <xf numFmtId="301" fontId="6" fillId="0" borderId="3" xfId="0">
      <alignment horizontal="right"/>
    </xf>
    <xf numFmtId="14" fontId="9" fillId="20" borderId="2" xfId="0" applyNumberFormat="1" applyFont="1" applyFill="1" applyBorder="1" applyAlignment="1">
      <alignment horizontal="right"/>
    </xf>
    <xf numFmtId="10" fontId="13" fillId="11" borderId="5" xfId="0" applyNumberFormat="1" applyFont="1" applyFill="1" applyBorder="1" applyAlignment="1">
      <alignment horizontal="center"/>
    </xf>
    <xf numFmtId="301" fontId="6" fillId="0" borderId="1" xfId="0">
      <alignment horizontal="right"/>
    </xf>
    <xf numFmtId="10" fontId="13" fillId="11" borderId="5" xfId="0" applyNumberFormat="1" applyFont="1" applyFill="1" applyBorder="1" applyAlignment="1">
      <alignment horizontal="center" vertical="bottom" textRotation="0" indent="0" justifyLastLine="0" shrinkToFit="0"/>
    </xf>
    <xf numFmtId="14" fontId="6" fillId="6" borderId="2" xfId="0" applyNumberFormat="1" applyFont="1" applyFill="1" applyBorder="1" applyAlignment="1">
      <alignment horizontal="right" vertical="bottom"/>
    </xf>
    <xf numFmtId="10" fontId="23" fillId="11" borderId="1" xfId="0">
      <alignment horizontal="center"/>
    </xf>
    <xf numFmtId="10" fontId="13" fillId="11" borderId="1" xfId="0" applyNumberFormat="1" applyFont="1" applyFill="1" applyBorder="1" applyAlignment="1">
      <alignment horizontal="center" vertical="bottom" textRotation="0" indent="0" justifyLastLine="0" shrinkToFit="0"/>
    </xf>
    <xf fontId="9" fillId="0" borderId="0" xfId="0">
      <alignment horizontal="center"/>
    </xf>
    <xf fontId="21" fillId="0" borderId="0" xfId="0">
      <alignment horizontal="left"/>
    </xf>
    <xf numFmtId="300" fontId="21" fillId="8" borderId="7" xfId="0">
      <alignment horizontal="right"/>
    </xf>
    <xf numFmtId="14" fontId="8" fillId="11" borderId="2" xfId="0" applyNumberFormat="1" applyFont="1" applyFill="1" applyBorder="1" applyAlignment="1">
      <alignment horizontal="right" vertical="bottom"/>
    </xf>
    <xf numFmtId="301" fontId="6" fillId="6" borderId="3" xfId="0">
      <alignment horizontal="right"/>
    </xf>
    <xf numFmtId="301" fontId="12" fillId="0" borderId="1" xfId="0">
      <alignment horizontal="right"/>
    </xf>
    <xf fontId="6" fillId="21" borderId="0" xfId="0">
      <alignment vertical="bottom"/>
    </xf>
    <xf fontId="7" fillId="21" borderId="2" xfId="0"/>
    <xf fontId="12" fillId="21" borderId="3" xfId="0"/>
    <xf numFmtId="0" fontId="12" fillId="21" borderId="14" xfId="0">
      <alignment horizontal="left"/>
    </xf>
    <xf fontId="12" fillId="21" borderId="14" xfId="0"/>
    <xf numFmtId="14" fontId="8" fillId="21" borderId="2" xfId="0" applyNumberFormat="1" applyFont="1" applyFill="1" applyBorder="1" applyAlignment="1">
      <alignment horizontal="right" vertical="bottom"/>
    </xf>
    <xf numFmtId="301" fontId="12" fillId="21" borderId="3" xfId="0">
      <alignment horizontal="right"/>
    </xf>
    <xf numFmtId="10" fontId="20" fillId="21" borderId="1" xfId="0">
      <alignment horizontal="center"/>
    </xf>
    <xf numFmtId="10" fontId="20" fillId="21" borderId="1" xfId="0" applyNumberFormat="1" applyFont="1" applyFill="1" applyBorder="1" applyAlignment="1">
      <alignment horizontal="center"/>
    </xf>
    <xf fontId="9" fillId="21" borderId="0" xfId="0">
      <alignment horizontal="center"/>
    </xf>
    <xf fontId="6" fillId="21" borderId="0" xfId="0">
      <alignment horizontal="left"/>
    </xf>
    <xf numFmtId="10" fontId="6" fillId="21" borderId="0" xfId="0">
      <alignment horizontal="right"/>
    </xf>
    <xf numFmtId="300" fontId="6" fillId="21" borderId="0" xfId="0">
      <alignment horizontal="right"/>
    </xf>
    <xf numFmtId="300" fontId="6" fillId="22" borderId="0" xfId="0">
      <alignment horizontal="right"/>
    </xf>
    <xf numFmtId="300" fontId="6" fillId="22" borderId="0" xfId="0">
      <alignment horizontal="center"/>
    </xf>
    <xf fontId="6" fillId="21" borderId="1" xfId="0">
      <alignment vertical="bottom"/>
    </xf>
    <xf fontId="12" fillId="21" borderId="1" xfId="0"/>
    <xf numFmtId="0" fontId="12" fillId="21" borderId="1" xfId="0">
      <alignment horizontal="left"/>
    </xf>
    <xf numFmtId="301" fontId="12" fillId="21" borderId="1" xfId="0">
      <alignment horizontal="right"/>
    </xf>
    <xf numFmtId="10" fontId="20" fillId="22" borderId="1" xfId="0" applyNumberFormat="1" applyFont="1" applyFill="1" applyBorder="1" applyAlignment="1">
      <alignment horizontal="center" vertical="bottom" textRotation="0" indent="0" justifyLastLine="0" shrinkToFit="0"/>
    </xf>
    <xf numFmtId="301" fontId="12" fillId="6" borderId="3" xfId="0">
      <alignment horizontal="right"/>
    </xf>
    <xf numFmtId="10" fontId="20" fillId="11" borderId="1" xfId="0">
      <alignment horizontal="center"/>
    </xf>
    <xf numFmtId="10" fontId="20" fillId="11" borderId="1" xfId="0" applyNumberFormat="1" applyFont="1" applyFill="1" applyBorder="1" applyAlignment="1">
      <alignment horizontal="center"/>
    </xf>
    <xf numFmtId="300" fontId="6" fillId="8" borderId="6" xfId="0">
      <alignment horizontal="right"/>
    </xf>
    <xf fontId="9" fillId="21" borderId="2" xfId="0">
      <alignment horizontal="center"/>
    </xf>
    <xf numFmtId="300" fontId="6" fillId="21" borderId="3" xfId="0">
      <alignment horizontal="right"/>
    </xf>
    <xf numFmtId="0" fontId="6" fillId="6" borderId="1" xfId="0">
      <alignment horizontal="left"/>
    </xf>
    <xf fontId="9" fillId="21" borderId="1" xfId="0"/>
    <xf fontId="6" fillId="21" borderId="3" xfId="0"/>
    <xf numFmtId="0" fontId="6" fillId="21" borderId="14" xfId="0">
      <alignment horizontal="left"/>
    </xf>
    <xf fontId="6" fillId="21" borderId="14" xfId="0"/>
    <xf numFmtId="14" fontId="6" fillId="21" borderId="2" xfId="0" applyNumberFormat="1" applyFont="1" applyFill="1" applyBorder="1" applyAlignment="1">
      <alignment horizontal="right" vertical="bottom"/>
    </xf>
    <xf numFmtId="301" fontId="6" fillId="21" borderId="3" xfId="0">
      <alignment horizontal="right"/>
    </xf>
    <xf numFmtId="10" fontId="13" fillId="21" borderId="1" xfId="0">
      <alignment horizontal="center"/>
    </xf>
    <xf numFmtId="10" fontId="13" fillId="21" borderId="1" xfId="0" applyNumberFormat="1" applyFont="1" applyFill="1" applyBorder="1" applyAlignment="1">
      <alignment horizontal="center" vertical="bottom" textRotation="0" indent="0" justifyLastLine="0" shrinkToFit="0"/>
    </xf>
    <xf fontId="21" fillId="21" borderId="0" xfId="0">
      <alignment horizontal="left"/>
    </xf>
    <xf numFmtId="300" fontId="21" fillId="21" borderId="0" xfId="0">
      <alignment horizontal="left"/>
    </xf>
    <xf numFmtId="300" fontId="6" fillId="22" borderId="0" xfId="0">
      <alignment horizontal="left"/>
    </xf>
    <xf numFmtId="0" fontId="12" fillId="6" borderId="1" xfId="0">
      <alignment horizontal="left"/>
    </xf>
    <xf fontId="12" fillId="0" borderId="0" xfId="0"/>
    <xf numFmtId="0" fontId="12" fillId="6" borderId="14" xfId="0">
      <alignment horizontal="left"/>
    </xf>
    <xf fontId="21" fillId="8" borderId="0" xfId="0">
      <alignment horizontal="left"/>
    </xf>
    <xf numFmtId="300" fontId="21" fillId="8" borderId="0" xfId="0">
      <alignment horizontal="left"/>
    </xf>
    <xf fontId="9" fillId="0" borderId="1" xfId="0">
      <alignment horizontal="center"/>
    </xf>
    <xf fontId="6" fillId="0" borderId="1" xfId="0">
      <alignment horizontal="left"/>
    </xf>
    <xf fontId="21" fillId="8" borderId="1" xfId="0">
      <alignment horizontal="left"/>
    </xf>
    <xf numFmtId="300" fontId="21" fillId="8" borderId="1" xfId="0">
      <alignment horizontal="left"/>
    </xf>
    <xf numFmtId="10" fontId="23" fillId="11" borderId="2" xfId="0" applyNumberFormat="1" applyFont="1" applyFill="1" applyBorder="1" applyAlignment="1">
      <alignment horizontal="center" vertical="bottom" textRotation="0" wrapText="0" indent="0" justifyLastLine="0" shrinkToFit="0"/>
    </xf>
    <xf fontId="21" fillId="0" borderId="1" xfId="0">
      <alignment horizontal="left"/>
    </xf>
    <xf numFmtId="10" fontId="21" fillId="8" borderId="1" xfId="0">
      <alignment horizontal="right"/>
    </xf>
    <xf numFmtId="300" fontId="21" fillId="8" borderId="1" xfId="0">
      <alignment horizontal="right"/>
    </xf>
    <xf numFmtId="304" fontId="12" fillId="0" borderId="1" xfId="0" applyFont="1" applyBorder="1"/>
    <xf numFmtId="304" fontId="12" fillId="0" borderId="1" xfId="0" applyFont="1" applyBorder="1" applyAlignment="1">
      <alignment horizontal="left"/>
    </xf>
    <xf numFmtId="304" fontId="12" fillId="0" borderId="3" xfId="0" applyFont="1" applyBorder="1"/>
    <xf numFmtId="14" fontId="9" fillId="20" borderId="2" xfId="0" applyNumberFormat="1" applyFont="1" applyFill="1" applyBorder="1" applyAlignment="1">
      <alignment horizontal="right" vertical="bottom"/>
    </xf>
    <xf fontId="6" fillId="7" borderId="1" xfId="0">
      <alignment vertical="bottom"/>
    </xf>
    <xf fontId="9" fillId="7" borderId="3" xfId="0"/>
    <xf fontId="9" fillId="7" borderId="14" xfId="0">
      <alignment horizontal="left"/>
    </xf>
    <xf fontId="9" fillId="7" borderId="14" xfId="0"/>
    <xf numFmtId="14" fontId="8" fillId="7" borderId="2" xfId="0" applyNumberFormat="1" applyFont="1" applyFill="1" applyBorder="1" applyAlignment="1">
      <alignment horizontal="right"/>
    </xf>
    <xf numFmtId="14" fontId="8" fillId="7" borderId="3" xfId="0">
      <alignment horizontal="right" vertical="bottom"/>
    </xf>
    <xf numFmtId="10" fontId="8" fillId="19" borderId="1" xfId="0" applyNumberFormat="1" applyFont="1" applyFill="1" applyBorder="1" applyAlignment="1">
      <alignment horizontal="center"/>
    </xf>
    <xf numFmtId="10" fontId="8" fillId="19" borderId="0" xfId="0">
      <alignment horizontal="center"/>
    </xf>
    <xf fontId="7" fillId="0" borderId="0" xfId="0"/>
    <xf numFmtId="0" fontId="12" fillId="6" borderId="0" xfId="0">
      <alignment horizontal="left"/>
    </xf>
    <xf numFmtId="301" fontId="12" fillId="6" borderId="0" xfId="0">
      <alignment horizontal="right"/>
    </xf>
    <xf numFmtId="0" fontId="6" fillId="6" borderId="14" xfId="0">
      <alignment horizontal="left"/>
    </xf>
    <xf fontId="7" fillId="6" borderId="0" xfId="0"/>
    <xf fontId="12" fillId="6" borderId="0" xfId="0"/>
    <xf numFmtId="10" fontId="20" fillId="5" borderId="1" xfId="0" applyNumberFormat="1" applyFont="1" applyFill="1" applyBorder="1" applyAlignment="1">
      <alignment horizontal="center" vertical="bottom" textRotation="0" indent="0" justifyLastLine="0" shrinkToFit="0"/>
    </xf>
    <xf numFmtId="0" fontId="24" fillId="7" borderId="0" xfId="0">
      <alignment horizontal="center" vertical="bottom" textRotation="0"/>
    </xf>
    <xf fontId="12" fillId="6" borderId="3" xfId="0"/>
    <xf fontId="12" fillId="6" borderId="14" xfId="0"/>
    <xf fontId="25" fillId="6" borderId="14" xfId="0"/>
    <xf numFmtId="10" fontId="13" fillId="11" borderId="0" xfId="0">
      <alignment horizontal="center"/>
    </xf>
    <xf fontId="6" fillId="6" borderId="0" xfId="0"/>
    <xf numFmtId="0" fontId="6" fillId="6" borderId="0" xfId="0">
      <alignment horizontal="left"/>
    </xf>
    <xf numFmtId="10" fontId="20" fillId="11" borderId="0" xfId="0">
      <alignment horizontal="center"/>
    </xf>
    <xf fontId="6" fillId="6" borderId="3" xfId="0"/>
    <xf fontId="6" fillId="6" borderId="14" xfId="0"/>
    <xf fontId="7" fillId="6" borderId="1" xfId="0"/>
    <xf fontId="26" fillId="0" borderId="0" xfId="0"/>
    <xf fontId="26" fillId="0" borderId="14" xfId="0"/>
    <xf numFmtId="301" fontId="12" fillId="0" borderId="0" xfId="0">
      <alignment horizontal="right"/>
    </xf>
    <xf numFmtId="301" fontId="6" fillId="6" borderId="0" xfId="0">
      <alignment horizontal="right" vertical="bottom"/>
    </xf>
    <xf numFmtId="10" fontId="12" fillId="0" borderId="0" xfId="0">
      <alignment horizontal="center" vertical="bottom"/>
    </xf>
    <xf numFmtId="301" fontId="6" fillId="0" borderId="0" xfId="0">
      <alignment horizontal="right"/>
    </xf>
    <xf numFmtId="10" fontId="13" fillId="11" borderId="1" xfId="0" applyNumberFormat="1" applyFont="1" applyFill="1" applyBorder="1" applyAlignment="1">
      <alignment horizontal="center"/>
    </xf>
    <xf fontId="9" fillId="21" borderId="0" xfId="0"/>
    <xf numFmtId="10" fontId="13" fillId="21" borderId="0" xfId="0">
      <alignment horizontal="center"/>
    </xf>
    <xf numFmtId="10" fontId="13" fillId="21" borderId="5" xfId="0">
      <alignment horizontal="center"/>
    </xf>
    <xf fontId="6" fillId="21" borderId="0" xfId="0"/>
    <xf numFmtId="0" fontId="6" fillId="21" borderId="0" xfId="0">
      <alignment horizontal="left"/>
    </xf>
    <xf numFmtId="301" fontId="6" fillId="21" borderId="0" xfId="0">
      <alignment horizontal="right"/>
    </xf>
    <xf numFmtId="10" fontId="13" fillId="21" borderId="1" xfId="0" applyNumberFormat="1" applyFont="1" applyFill="1" applyBorder="1" applyAlignment="1">
      <alignment horizontal="center" wrapText="0"/>
    </xf>
    <xf numFmtId="10" fontId="13" fillId="5" borderId="1" xfId="0" applyNumberFormat="1" applyFont="1" applyFill="1" applyBorder="1" applyAlignment="1">
      <alignment horizontal="center" wrapText="0"/>
    </xf>
    <xf numFmtId="0" fontId="12" fillId="0" borderId="0" xfId="0">
      <alignment horizontal="left"/>
    </xf>
    <xf fontId="6" fillId="0" borderId="14" xfId="0">
      <alignment horizontal="left"/>
    </xf>
    <xf numFmtId="301" fontId="6" fillId="5" borderId="2" xfId="0">
      <alignment horizontal="right"/>
    </xf>
    <xf numFmtId="301" fontId="6" fillId="5" borderId="3" xfId="0">
      <alignment horizontal="right"/>
    </xf>
    <xf numFmtId="10" fontId="6" fillId="5" borderId="1" xfId="0" applyNumberFormat="1" applyFont="1" applyFill="1" applyBorder="1" applyAlignment="1">
      <alignment horizontal="center"/>
    </xf>
    <xf fontId="21" fillId="8" borderId="0" xfId="0">
      <alignment horizontal="right"/>
    </xf>
    <xf fontId="12" fillId="0" borderId="15" xfId="0"/>
    <xf numFmtId="301" fontId="12" fillId="0" borderId="15" xfId="0">
      <alignment horizontal="right"/>
    </xf>
    <xf fontId="6" fillId="8" borderId="16" xfId="0">
      <alignment horizontal="left"/>
    </xf>
    <xf numFmtId="14" fontId="6" fillId="6" borderId="1" xfId="0" applyNumberFormat="1" applyFont="1" applyFill="1" applyBorder="1" applyAlignment="1">
      <alignment horizontal="right" vertical="bottom"/>
    </xf>
    <xf numFmtId="14" fontId="9" fillId="5" borderId="1" xfId="0" applyNumberFormat="1" applyFont="1" applyFill="1" applyBorder="1" applyAlignment="1">
      <alignment horizontal="right"/>
    </xf>
    <xf numFmtId="0" fontId="6" fillId="0" borderId="0" xfId="0"/>
    <xf fontId="21" fillId="0" borderId="0" xfId="0">
      <alignment horizontal="right"/>
    </xf>
    <xf numFmtId="300" fontId="21" fillId="0" borderId="0" xfId="0">
      <alignment horizontal="right"/>
    </xf>
    <xf numFmtId="300" fontId="6" fillId="0" borderId="0" xfId="0">
      <alignment horizontal="right"/>
    </xf>
    <xf numFmtId="300" fontId="6" fillId="0" borderId="0" xfId="0">
      <alignment horizontal="center"/>
    </xf>
    <xf numFmtId="10" fontId="6" fillId="0" borderId="0" xfId="0">
      <alignment horizontal="center"/>
    </xf>
    <xf numFmtId="304" fontId="27" fillId="2" borderId="2" xfId="0" applyFont="1" applyFill="1"/>
    <xf numFmtId="304" fontId="28" fillId="0" borderId="2" xfId="0" applyFont="1"/>
    <xf numFmtId="304" fontId="36" fillId="0" borderId="2" xfId="0"/>
    <xf fontId="29" fillId="23" borderId="17" xfId="0"/>
    <xf fontId="29" fillId="24" borderId="18" xfId="0">
      <alignment horizontal="center"/>
    </xf>
    <xf fontId="0" fillId="0" borderId="19" xfId="0"/>
    <xf fontId="29" fillId="25" borderId="20" xfId="0"/>
    <xf fontId="0" fillId="0" borderId="21" xfId="0"/>
    <xf fontId="0" fillId="0" borderId="22" xfId="0"/>
    <xf fontId="0" fillId="0" borderId="23" xfId="0"/>
    <xf fontId="0" fillId="0" borderId="1" xfId="0"/>
    <xf fontId="30" fillId="12" borderId="1" xfId="0"/>
    <xf numFmtId="0" fontId="31" fillId="5" borderId="22" xfId="0"/>
    <xf fontId="30" fillId="12" borderId="21" xfId="0"/>
    <xf fontId="0" fillId="0" borderId="24" xfId="0"/>
    <xf numFmtId="0" fontId="31" fillId="5" borderId="25" xfId="0"/>
    <xf numFmtId="0" fontId="31" fillId="5" borderId="26" xfId="0"/>
    <xf fontId="0" fillId="0" borderId="27" xfId="0"/>
    <xf fontId="0" fillId="0" borderId="28" xfId="0"/>
    <xf fontId="0" fillId="0" borderId="29" xfId="0"/>
    <xf fontId="0" fillId="0" borderId="30" xfId="0"/>
    <xf fontId="0" fillId="0" borderId="31" xfId="0"/>
    <xf fontId="0" fillId="0" borderId="32" xfId="0"/>
    <xf fontId="0" fillId="0" borderId="25" xfId="0"/>
    <xf fontId="0" fillId="0" borderId="26" xfId="0"/>
    <xf fontId="32" fillId="0" borderId="33" xfId="0">
      <alignment vertical="bottom"/>
    </xf>
    <xf fontId="32" fillId="0" borderId="34" xfId="0">
      <alignment vertical="bottom"/>
    </xf>
    <xf fontId="32" fillId="0" borderId="34" xfId="0">
      <alignment vertical="bottom" wrapText="1"/>
    </xf>
    <xf fontId="32" fillId="0" borderId="0" xfId="0">
      <alignment vertical="bottom"/>
    </xf>
    <xf numFmtId="49" fontId="32" fillId="26" borderId="35" xfId="0">
      <alignment vertical="bottom"/>
    </xf>
    <xf fontId="32" fillId="26" borderId="31" xfId="0">
      <alignment vertical="bottom"/>
    </xf>
    <xf numFmtId="302" fontId="32" fillId="26" borderId="31" xfId="0">
      <alignment horizontal="left" vertical="bottom" wrapText="1"/>
    </xf>
    <xf numFmtId="303" fontId="32" fillId="27" borderId="35" xfId="0">
      <alignment horizontal="left" vertical="bottom"/>
    </xf>
    <xf fontId="32" fillId="27" borderId="31" xfId="0">
      <alignment vertical="bottom"/>
    </xf>
    <xf fontId="32" fillId="27" borderId="31" xfId="0">
      <alignment horizontal="left" vertical="bottom" wrapText="1"/>
    </xf>
    <xf numFmtId="49" fontId="32" fillId="0" borderId="35" xfId="0">
      <alignment vertical="bottom"/>
    </xf>
    <xf fontId="32" fillId="0" borderId="31" xfId="0">
      <alignment horizontal="left" vertical="bottom" wrapText="1"/>
    </xf>
    <xf fontId="32" fillId="0" borderId="31" xfId="0">
      <alignment vertical="bottom"/>
    </xf>
    <xf numFmtId="49" fontId="32" fillId="27" borderId="35" xfId="0">
      <alignment vertical="bottom"/>
    </xf>
    <xf fontId="32" fillId="0" borderId="31" xfId="0">
      <alignment horizontal="left" vertical="bottom"/>
    </xf>
    <xf fontId="32" fillId="27" borderId="31" xfId="0">
      <alignment horizontal="left" vertical="bottom"/>
    </xf>
    <xf numFmtId="49" fontId="32" fillId="0" borderId="31" xfId="0">
      <alignment horizontal="left" vertical="bottom"/>
    </xf>
    <xf numFmtId="304" fontId="33" fillId="2" borderId="2" xfId="0" applyNumberFormat="1" applyFont="1" applyFill="1" applyBorder="1" applyAlignment="1">
      <alignment horizontal="left"/>
    </xf>
    <xf fontId="11" fillId="9" borderId="0" xfId="0"/>
    <xf fontId="11" fillId="0" borderId="0" xfId="0"/>
    <xf fontId="16" fillId="0" borderId="0" xfId="0"/>
    <xf fontId="11" fillId="14" borderId="0" xfId="0"/>
    <xf fontId="11" fillId="16" borderId="0" xfId="0"/>
    <xf fontId="16" fillId="16" borderId="0" xfId="0"/>
    <xf fontId="11" fillId="19" borderId="0" xfId="0"/>
    <xf fontId="34" fillId="19" borderId="0" xfId="0"/>
    <xf fontId="34" fillId="0" borderId="0" xfId="0"/>
    <xf fontId="34" fillId="16" borderId="0" xfId="0"/>
    <xf fontId="11" fillId="22" borderId="0" xfId="0"/>
    <xf fontId="0" fillId="22" borderId="0" xfId="0"/>
    <xf numFmtId="304" fontId="6" fillId="11" borderId="2" xfId="0" applyNumberFormat="1" applyFont="1" applyFill="1" applyBorder="1" applyAlignment="1">
      <alignment horizontal="center"/>
    </xf>
    <xf numFmtId="305" fontId="6" fillId="11" borderId="2" xfId="0" applyNumberFormat="1" applyFont="1" applyFill="1" applyBorder="1" applyAlignment="1">
      <alignment horizontal="right"/>
    </xf>
    <xf numFmtId="305" fontId="6" fillId="0" borderId="0" xfId="0">
      <alignment horizontal="right"/>
    </xf>
    <xf numFmtId="306" fontId="6" fillId="11" borderId="2" xfId="0" applyNumberFormat="1" applyFont="1" applyFill="1" applyBorder="1" applyAlignment="1">
      <alignment horizontal="center"/>
    </xf>
    <xf fontId="9" fillId="0" borderId="0" xfId="0">
      <alignment horizontal="left"/>
    </xf>
    <xf fontId="9" fillId="0" borderId="0" xfId="0">
      <alignment horizontal="right"/>
    </xf>
    <xf numFmtId="300" fontId="9" fillId="0" borderId="0" xfId="0">
      <alignment horizontal="right"/>
    </xf>
    <xf numFmtId="300" fontId="9" fillId="0" borderId="0" xfId="0">
      <alignment horizontal="center"/>
    </xf>
    <xf numFmtId="306" fontId="9" fillId="0" borderId="0" xfId="0">
      <alignment horizontal="center"/>
    </xf>
    <xf numFmtId="304" fontId="35" fillId="2" borderId="2" xfId="0" applyNumberFormat="1" applyFont="1" applyFill="1" applyBorder="1"/>
  </cellXfs>
  <cellStyles>
    <cellStyle name="常规" xfId="0" builtinId="0" customBuiltin="1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microsoft.com/office/2017/10/relationships/person" Target="persons/person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洪鑫浩" id="{CA30A699-5C6C-4419-A334-F892B899C910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88" dT="2026-04-27T06:44:12Z" personId="{CA30A699-5C6C-4419-A334-F892B899C910}" id="{CB395B08-5DA0-43C5-A9A4-AF7596ED9E3C}">
    <tc2018:text>原SOP时间2026/05/30，目前已延期到11/1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99BEFF"/>
  </sheetPr>
  <dimension ref="AE177"/>
  <sheetViews>
    <sheetView showGridLines="1" tabSelected="0" zoomScale="85" zoomScaleNormal="85" workbookViewId="0">
      <pane ySplit="1" topLeftCell="A2" state="frozen"/>
    </sheetView>
  </sheetViews>
  <sheetFormatPr baseColWidth="8" defaultRowHeight="14.25" outlineLevelCol="1"/>
  <cols>
    <col min="1" max="1" width="3.55078" style="552" customWidth="1" collapsed="1"/>
    <col min="2" max="2" width="7.35938" style="61" customWidth="1"/>
    <col min="3" max="3" width="6.99219" style="350" customWidth="1"/>
    <col min="4" max="4" width="21.7109" style="32" customWidth="1" collapsed="0"/>
    <col min="5" max="5" width="6.87109" style="350" customWidth="1"/>
    <col min="6" max="6" width="5.26953" style="350" customWidth="1" collapsed="0"/>
    <col min="7" max="7" width="8.33984" style="350" customWidth="1"/>
    <col min="8" max="8" width="8.70312" style="350" customWidth="1"/>
    <col min="9" max="9" width="6.99219" style="350" customWidth="1"/>
    <col min="10" max="10" width="8.33984" style="350" customWidth="1"/>
    <col min="11" max="11" width="11.6523" style="553" customWidth="1"/>
    <col min="12" max="12" width="10.9102" style="554" customWidth="1"/>
    <col min="13" max="13" width="9.44141" style="553" customWidth="1"/>
    <col min="14" max="14" width="7.97266" style="555" customWidth="1"/>
    <col min="15" max="15" width="7.60156" style="555" customWidth="1"/>
    <col min="16" max="16" width="7.23047" style="555" customWidth="1"/>
    <col min="17" max="17" width="7.97266" style="555" customWidth="1"/>
    <col min="18" max="18" width="7.60156" style="555" customWidth="1"/>
    <col min="19" max="19" width="7.35938" style="555" customWidth="1"/>
    <col min="20" max="20" width="8.95312" style="555" customWidth="1"/>
    <col min="21" max="21" width="9.07031" style="61" customWidth="1"/>
    <col min="22" max="22" width="11.7695" style="378" customWidth="1"/>
    <col min="23" max="23" width="28.9414" style="556" customWidth="1"/>
    <col min="24" max="24" width="12.6328" style="557" hidden="1" customWidth="1"/>
    <col min="25" max="25" width="12.0195" style="558" hidden="1" customWidth="1"/>
    <col min="26" max="26" width="11.043" style="558" hidden="1" customWidth="1"/>
    <col min="27" max="30" width="7.85156" style="559" customWidth="1"/>
    <col min="31" max="31" width="11.043" style="560" customWidth="1"/>
  </cols>
  <sheetData>
    <row r="1" spans="1:31" s="539" customFormat="1" ht="36" customHeight="1">
      <c r="A1" s="4" t="s">
        <v>1</v>
      </c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6" t="s">
        <v>10</v>
      </c>
      <c r="K1" s="7" t="s">
        <v>11</v>
      </c>
      <c r="L1" s="7" t="s">
        <v>12</v>
      </c>
      <c r="M1" s="7" t="s">
        <v>13</v>
      </c>
      <c r="N1" s="8" t="s">
        <v>14</v>
      </c>
      <c r="O1" s="9" t="s">
        <v>15</v>
      </c>
      <c r="P1" s="10" t="s">
        <v>16</v>
      </c>
      <c r="Q1" s="8" t="s">
        <v>17</v>
      </c>
      <c r="R1" s="11" t="s">
        <v>18</v>
      </c>
      <c r="S1" s="9" t="s">
        <v>19</v>
      </c>
      <c r="T1" s="9" t="s">
        <v>655</v>
      </c>
      <c r="U1" s="12" t="s">
        <v>20</v>
      </c>
      <c r="V1" s="13" t="s">
        <v>21</v>
      </c>
      <c r="W1" s="14" t="s">
        <v>22</v>
      </c>
      <c r="X1" s="15" t="s">
        <v>23</v>
      </c>
      <c r="Y1" s="16" t="s">
        <v>24</v>
      </c>
      <c r="Z1" s="17" t="s">
        <v>25</v>
      </c>
      <c r="AA1" s="18" t="s">
        <v>15</v>
      </c>
      <c r="AB1" s="18" t="s">
        <v>17</v>
      </c>
      <c r="AC1" s="18" t="s">
        <v>19</v>
      </c>
      <c r="AD1" s="18" t="s">
        <v>26</v>
      </c>
      <c r="AE1" s="19" t="s">
        <v>27</v>
      </c>
    </row>
    <row r="2" spans="1:31" s="540" customFormat="1" ht="18" customHeight="1">
      <c r="A2" s="20">
        <v>1</v>
      </c>
      <c r="B2" s="21" t="s">
        <v>28</v>
      </c>
      <c r="C2" s="22" t="s">
        <v>29</v>
      </c>
      <c r="D2" s="23" t="s">
        <v>30</v>
      </c>
      <c r="E2" s="22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  <c r="K2" s="24">
        <f>=EDATE(L2,-3)</f>
        <v>45818</v>
      </c>
      <c r="L2" s="25">
        <v>45910</v>
      </c>
      <c r="M2" s="26">
        <f>=EDATE(L2,3)</f>
        <v>46001</v>
      </c>
      <c r="N2" s="27" t="s">
        <v>37</v>
      </c>
      <c r="O2" s="28">
        <v>0.0233</v>
      </c>
      <c r="P2" s="27" t="s">
        <v>37</v>
      </c>
      <c r="Q2" s="27" t="s">
        <v>37</v>
      </c>
      <c r="R2" s="29" t="s">
        <v>37</v>
      </c>
      <c r="S2" s="29" t="s">
        <v>37</v>
      </c>
      <c r="T2" s="27" t="s">
        <v>37</v>
      </c>
      <c r="U2" s="30" t="s">
        <v>38</v>
      </c>
      <c r="V2" s="31" t="s"/>
      <c r="W2" s="32" t="s">
        <v>39</v>
      </c>
      <c r="X2" s="33" t="s"/>
      <c r="Y2" s="34" t="s"/>
      <c r="Z2" s="35" t="s"/>
      <c r="AA2" s="36" t="s">
        <v>40</v>
      </c>
      <c r="AB2" s="36" t="s">
        <v>41</v>
      </c>
      <c r="AC2" s="36" t="s">
        <v>41</v>
      </c>
      <c r="AD2" s="36" t="s">
        <v>41</v>
      </c>
      <c r="AE2" s="37">
        <f>=IFERROR(T2-N2,)</f>
        <v>0</v>
      </c>
    </row>
    <row r="3" spans="1:31" s="541" customFormat="1" ht="18" customHeight="1">
      <c r="A3" s="38">
        <v>2</v>
      </c>
      <c r="B3" s="39" t="s">
        <v>42</v>
      </c>
      <c r="C3" s="40" t="s">
        <v>43</v>
      </c>
      <c r="D3" s="41" t="s">
        <v>44</v>
      </c>
      <c r="E3" s="40" t="s">
        <v>45</v>
      </c>
      <c r="F3" s="40" t="s">
        <v>46</v>
      </c>
      <c r="G3" s="40" t="s">
        <v>47</v>
      </c>
      <c r="H3" s="40" t="s">
        <v>48</v>
      </c>
      <c r="I3" s="40" t="s">
        <v>49</v>
      </c>
      <c r="J3" s="40" t="s">
        <v>50</v>
      </c>
      <c r="K3" s="42">
        <f>=EDATE(L3,-3)</f>
        <v>45838</v>
      </c>
      <c r="L3" s="43">
        <v>45930</v>
      </c>
      <c r="M3" s="42">
        <f>=EDATE(L3,3)</f>
        <v>46021</v>
      </c>
      <c r="N3" s="44" t="s">
        <v>37</v>
      </c>
      <c r="O3" s="45">
        <v>0.1556</v>
      </c>
      <c r="P3" s="46" t="s">
        <v>37</v>
      </c>
      <c r="Q3" s="44" t="s">
        <v>37</v>
      </c>
      <c r="R3" s="44" t="s">
        <v>37</v>
      </c>
      <c r="S3" s="44" t="s">
        <v>37</v>
      </c>
      <c r="T3" s="44" t="s">
        <v>37</v>
      </c>
      <c r="U3" s="30" t="s">
        <v>38</v>
      </c>
      <c r="V3" s="47">
        <v>46156</v>
      </c>
      <c r="W3" s="48" t="s">
        <v>51</v>
      </c>
      <c r="X3" s="33" t="s"/>
      <c r="Y3" s="34" t="s"/>
      <c r="Z3" s="35" t="s"/>
      <c r="AA3" s="49" t="s">
        <v>52</v>
      </c>
      <c r="AB3" s="49" t="s">
        <v>41</v>
      </c>
      <c r="AC3" s="49" t="s">
        <v>41</v>
      </c>
      <c r="AD3" s="49" t="s">
        <v>41</v>
      </c>
      <c r="AE3" s="37">
        <f>=IFERROR(T3-N3,)</f>
        <v>0</v>
      </c>
    </row>
    <row r="4" spans="1:31" s="540" customFormat="1">
      <c r="A4" s="20">
        <v>3</v>
      </c>
      <c r="B4" s="21" t="s">
        <v>53</v>
      </c>
      <c r="C4" s="50" t="s">
        <v>54</v>
      </c>
      <c r="D4" s="51" t="s">
        <v>55</v>
      </c>
      <c r="E4" s="50" t="s">
        <v>56</v>
      </c>
      <c r="F4" s="50" t="s">
        <v>57</v>
      </c>
      <c r="G4" s="50" t="s">
        <v>58</v>
      </c>
      <c r="H4" s="50" t="s">
        <v>59</v>
      </c>
      <c r="I4" s="50" t="s">
        <v>60</v>
      </c>
      <c r="J4" s="50" t="s">
        <v>61</v>
      </c>
      <c r="K4" s="52">
        <f>=EDATE(L4,-3)</f>
        <v>45838</v>
      </c>
      <c r="L4" s="53">
        <v>45930</v>
      </c>
      <c r="M4" s="52">
        <f>=EDATE(L4,3)</f>
        <v>46021</v>
      </c>
      <c r="N4" s="54">
        <v>0.02154596</v>
      </c>
      <c r="O4" s="54">
        <v>0.0422</v>
      </c>
      <c r="P4" s="55" t="s">
        <v>37</v>
      </c>
      <c r="Q4" s="55" t="s">
        <v>37</v>
      </c>
      <c r="R4" s="55" t="s">
        <v>37</v>
      </c>
      <c r="S4" s="55" t="s">
        <v>37</v>
      </c>
      <c r="T4" s="55">
        <v>-0.0978</v>
      </c>
      <c r="U4" s="30" t="s">
        <v>62</v>
      </c>
      <c r="V4" s="56">
        <v>46168</v>
      </c>
      <c r="W4" s="57" t="s">
        <v>63</v>
      </c>
      <c r="X4" s="33" t="s"/>
      <c r="Y4" s="34" t="s"/>
      <c r="Z4" s="35" t="s"/>
      <c r="AA4" s="49" t="s">
        <v>52</v>
      </c>
      <c r="AB4" s="49" t="s">
        <v>41</v>
      </c>
      <c r="AC4" s="49" t="s">
        <v>41</v>
      </c>
      <c r="AD4" s="49" t="s">
        <v>40</v>
      </c>
      <c r="AE4" s="37">
        <f>=IFERROR(T4-N4,)</f>
        <v>-0.11934596</v>
      </c>
    </row>
    <row r="5" spans="1:31" s="541" customFormat="1">
      <c r="A5" s="58">
        <v>4</v>
      </c>
      <c r="B5" s="21" t="s">
        <v>28</v>
      </c>
      <c r="C5" s="50" t="s">
        <v>64</v>
      </c>
      <c r="D5" s="51" t="s">
        <v>65</v>
      </c>
      <c r="E5" s="50" t="s">
        <v>31</v>
      </c>
      <c r="F5" s="50" t="s">
        <v>66</v>
      </c>
      <c r="G5" s="50" t="s">
        <v>47</v>
      </c>
      <c r="H5" s="50" t="s">
        <v>34</v>
      </c>
      <c r="I5" s="50" t="s">
        <v>35</v>
      </c>
      <c r="J5" s="50" t="s">
        <v>67</v>
      </c>
      <c r="K5" s="52">
        <f>=EDATE(L5,-3)</f>
        <v>45868</v>
      </c>
      <c r="L5" s="53">
        <v>45960</v>
      </c>
      <c r="M5" s="52">
        <f>=EDATE(L5,3)</f>
        <v>46052</v>
      </c>
      <c r="N5" s="59" t="s">
        <v>37</v>
      </c>
      <c r="O5" s="60" t="s">
        <v>37</v>
      </c>
      <c r="P5" s="59" t="s">
        <v>37</v>
      </c>
      <c r="Q5" s="59" t="s">
        <v>37</v>
      </c>
      <c r="R5" s="59" t="s">
        <v>37</v>
      </c>
      <c r="S5" s="59" t="s">
        <v>37</v>
      </c>
      <c r="T5" s="59" t="s">
        <v>37</v>
      </c>
      <c r="U5" s="30" t="s">
        <v>38</v>
      </c>
      <c r="V5" s="56" t="s"/>
      <c r="W5" s="61" t="s">
        <v>68</v>
      </c>
      <c r="X5" s="33" t="s"/>
      <c r="Y5" s="34" t="s"/>
      <c r="Z5" s="35" t="s"/>
      <c r="AA5" s="36" t="s">
        <v>41</v>
      </c>
      <c r="AB5" s="36" t="s">
        <v>41</v>
      </c>
      <c r="AC5" s="36" t="s">
        <v>41</v>
      </c>
      <c r="AD5" s="36" t="s">
        <v>41</v>
      </c>
      <c r="AE5" s="37">
        <f>=IFERROR(T5-N5,)</f>
        <v>0</v>
      </c>
    </row>
    <row r="6" spans="1:31" s="541" customFormat="1">
      <c r="A6" s="58">
        <v>5</v>
      </c>
      <c r="B6" s="21" t="s">
        <v>53</v>
      </c>
      <c r="C6" s="50" t="s">
        <v>64</v>
      </c>
      <c r="D6" s="51" t="s">
        <v>69</v>
      </c>
      <c r="E6" s="50" t="s">
        <v>56</v>
      </c>
      <c r="F6" s="50" t="s">
        <v>57</v>
      </c>
      <c r="G6" s="50" t="s">
        <v>58</v>
      </c>
      <c r="H6" s="50" t="s">
        <v>59</v>
      </c>
      <c r="I6" s="50" t="s">
        <v>60</v>
      </c>
      <c r="J6" s="50" t="s">
        <v>70</v>
      </c>
      <c r="K6" s="52">
        <f>=EDATE(L6,-3)</f>
        <v>45868</v>
      </c>
      <c r="L6" s="53">
        <v>45960</v>
      </c>
      <c r="M6" s="52">
        <f>=EDATE(L6,3)</f>
        <v>46052</v>
      </c>
      <c r="N6" s="62">
        <v>0.08185026</v>
      </c>
      <c r="O6" s="55">
        <v>0.06548938</v>
      </c>
      <c r="P6" s="62" t="s">
        <v>37</v>
      </c>
      <c r="Q6" s="62" t="s">
        <v>37</v>
      </c>
      <c r="R6" s="62" t="s">
        <v>37</v>
      </c>
      <c r="S6" s="62" t="s">
        <v>37</v>
      </c>
      <c r="T6" s="62" t="s">
        <v>37</v>
      </c>
      <c r="U6" s="30" t="s">
        <v>38</v>
      </c>
      <c r="V6" s="56">
        <v>46085</v>
      </c>
      <c r="W6" s="61" t="s">
        <v>71</v>
      </c>
      <c r="X6" s="33" t="s"/>
      <c r="Y6" s="34" t="s"/>
      <c r="Z6" s="35" t="s"/>
      <c r="AA6" s="49" t="s">
        <v>52</v>
      </c>
      <c r="AB6" s="49" t="s">
        <v>41</v>
      </c>
      <c r="AC6" s="49" t="s">
        <v>41</v>
      </c>
      <c r="AD6" s="49" t="s">
        <v>41</v>
      </c>
      <c r="AE6" s="37">
        <f>=IFERROR(T6-N6,)</f>
        <v>0</v>
      </c>
    </row>
    <row r="7" spans="1:31" s="541" customFormat="1">
      <c r="A7" s="58">
        <v>6</v>
      </c>
      <c r="B7" s="63" t="s">
        <v>28</v>
      </c>
      <c r="C7" s="64" t="s">
        <v>72</v>
      </c>
      <c r="D7" s="65" t="s">
        <v>73</v>
      </c>
      <c r="E7" s="64" t="s">
        <v>31</v>
      </c>
      <c r="F7" s="64" t="s">
        <v>32</v>
      </c>
      <c r="G7" s="64" t="s">
        <v>33</v>
      </c>
      <c r="H7" s="64" t="s">
        <v>34</v>
      </c>
      <c r="I7" s="64" t="s">
        <v>35</v>
      </c>
      <c r="J7" s="64" t="s">
        <v>74</v>
      </c>
      <c r="K7" s="24">
        <f>=EDATE(L7,-3)</f>
        <v>45868</v>
      </c>
      <c r="L7" s="25">
        <v>45960</v>
      </c>
      <c r="M7" s="24">
        <f>=EDATE(L7,3)</f>
        <v>46052</v>
      </c>
      <c r="N7" s="62" t="s">
        <v>37</v>
      </c>
      <c r="O7" s="66" t="s">
        <v>37</v>
      </c>
      <c r="P7" s="62" t="s">
        <v>37</v>
      </c>
      <c r="Q7" s="62" t="s">
        <v>37</v>
      </c>
      <c r="R7" s="62" t="s">
        <v>37</v>
      </c>
      <c r="S7" s="62" t="s">
        <v>37</v>
      </c>
      <c r="T7" s="62" t="s">
        <v>37</v>
      </c>
      <c r="U7" s="30" t="s">
        <v>38</v>
      </c>
      <c r="V7" s="56" t="s"/>
      <c r="W7" s="67" t="s">
        <v>68</v>
      </c>
      <c r="X7" s="33" t="s"/>
      <c r="Y7" s="34" t="s"/>
      <c r="Z7" s="35" t="s"/>
      <c r="AA7" s="36" t="s">
        <v>41</v>
      </c>
      <c r="AB7" s="36" t="s">
        <v>41</v>
      </c>
      <c r="AC7" s="36" t="s">
        <v>41</v>
      </c>
      <c r="AD7" s="36" t="s">
        <v>41</v>
      </c>
      <c r="AE7" s="37">
        <f>=IFERROR(T7-N7,)</f>
        <v>0</v>
      </c>
    </row>
    <row r="8" spans="1:31" s="541" customFormat="1">
      <c r="A8" s="58">
        <v>7</v>
      </c>
      <c r="B8" s="63" t="s">
        <v>28</v>
      </c>
      <c r="C8" s="50" t="s">
        <v>75</v>
      </c>
      <c r="D8" s="51" t="s">
        <v>76</v>
      </c>
      <c r="E8" s="50" t="s">
        <v>31</v>
      </c>
      <c r="F8" s="50" t="s">
        <v>77</v>
      </c>
      <c r="G8" s="50" t="s">
        <v>47</v>
      </c>
      <c r="H8" s="50" t="s">
        <v>34</v>
      </c>
      <c r="I8" s="50" t="s">
        <v>35</v>
      </c>
      <c r="J8" s="50" t="s">
        <v>74</v>
      </c>
      <c r="K8" s="52">
        <f>=EDATE(L8,-3)</f>
        <v>45899</v>
      </c>
      <c r="L8" s="53">
        <v>45991</v>
      </c>
      <c r="M8" s="52">
        <f>=EDATE(L8,3)</f>
        <v>46081</v>
      </c>
      <c r="N8" s="68" t="s">
        <v>37</v>
      </c>
      <c r="O8" s="69">
        <v>0.003</v>
      </c>
      <c r="P8" s="68" t="s">
        <v>37</v>
      </c>
      <c r="Q8" s="68" t="s">
        <v>37</v>
      </c>
      <c r="R8" s="68" t="s">
        <v>37</v>
      </c>
      <c r="S8" s="68" t="s">
        <v>37</v>
      </c>
      <c r="T8" s="68" t="s">
        <v>37</v>
      </c>
      <c r="U8" s="30" t="s">
        <v>38</v>
      </c>
      <c r="V8" s="56" t="s"/>
      <c r="W8" s="67" t="s">
        <v>39</v>
      </c>
      <c r="X8" s="33" t="s"/>
      <c r="Y8" s="34" t="s"/>
      <c r="Z8" s="35" t="s"/>
      <c r="AA8" s="36" t="s">
        <v>40</v>
      </c>
      <c r="AB8" s="36" t="s">
        <v>41</v>
      </c>
      <c r="AC8" s="36" t="s">
        <v>41</v>
      </c>
      <c r="AD8" s="36" t="s">
        <v>41</v>
      </c>
      <c r="AE8" s="37">
        <f>=IFERROR(T8-N8,)</f>
        <v>0</v>
      </c>
    </row>
    <row r="9" spans="1:31" s="541" customFormat="1">
      <c r="A9" s="58">
        <v>8</v>
      </c>
      <c r="B9" s="21" t="s">
        <v>53</v>
      </c>
      <c r="C9" s="50" t="s">
        <v>78</v>
      </c>
      <c r="D9" s="51" t="s">
        <v>79</v>
      </c>
      <c r="E9" s="50" t="s">
        <v>56</v>
      </c>
      <c r="F9" s="50" t="s">
        <v>57</v>
      </c>
      <c r="G9" s="50" t="s">
        <v>58</v>
      </c>
      <c r="H9" s="50" t="s">
        <v>59</v>
      </c>
      <c r="I9" s="50" t="s">
        <v>60</v>
      </c>
      <c r="J9" s="50" t="s">
        <v>80</v>
      </c>
      <c r="K9" s="52">
        <f>=EDATE(L9,-3)</f>
        <v>45899</v>
      </c>
      <c r="L9" s="53">
        <v>45991</v>
      </c>
      <c r="M9" s="52">
        <f>=EDATE(L9,3)</f>
        <v>46081</v>
      </c>
      <c r="N9" s="59" t="s">
        <v>37</v>
      </c>
      <c r="O9" s="60" t="s">
        <v>37</v>
      </c>
      <c r="P9" s="59" t="s">
        <v>37</v>
      </c>
      <c r="Q9" s="59" t="s">
        <v>37</v>
      </c>
      <c r="R9" s="59" t="s">
        <v>37</v>
      </c>
      <c r="S9" s="59" t="s">
        <v>37</v>
      </c>
      <c r="T9" s="59" t="s">
        <v>37</v>
      </c>
      <c r="U9" s="30" t="s">
        <v>38</v>
      </c>
      <c r="V9" s="56" t="s"/>
      <c r="W9" s="67" t="s">
        <v>81</v>
      </c>
      <c r="X9" s="33" t="s"/>
      <c r="Y9" s="34" t="s"/>
      <c r="Z9" s="35" t="s"/>
      <c r="AA9" s="49" t="s">
        <v>41</v>
      </c>
      <c r="AB9" s="49" t="s">
        <v>41</v>
      </c>
      <c r="AC9" s="49" t="s">
        <v>41</v>
      </c>
      <c r="AD9" s="49" t="s">
        <v>41</v>
      </c>
      <c r="AE9" s="37">
        <f>=IFERROR(T9-N9,)</f>
        <v>0</v>
      </c>
    </row>
    <row r="10" spans="1:31" s="541" customFormat="1">
      <c r="A10" s="58">
        <v>9</v>
      </c>
      <c r="B10" s="21" t="s">
        <v>28</v>
      </c>
      <c r="C10" s="70" t="s">
        <v>82</v>
      </c>
      <c r="D10" s="71" t="s">
        <v>83</v>
      </c>
      <c r="E10" s="70" t="s">
        <v>31</v>
      </c>
      <c r="F10" s="70" t="s">
        <v>32</v>
      </c>
      <c r="G10" s="70" t="s">
        <v>33</v>
      </c>
      <c r="H10" s="70" t="s">
        <v>34</v>
      </c>
      <c r="I10" s="70" t="s">
        <v>35</v>
      </c>
      <c r="J10" s="70" t="s">
        <v>84</v>
      </c>
      <c r="K10" s="24">
        <f>=EDATE(L10,-3)</f>
        <v>45899</v>
      </c>
      <c r="L10" s="53">
        <v>45991</v>
      </c>
      <c r="M10" s="24">
        <f>=EDATE(L10,3)</f>
        <v>46081</v>
      </c>
      <c r="N10" s="72" t="s">
        <v>37</v>
      </c>
      <c r="O10" s="73">
        <v>0.0118</v>
      </c>
      <c r="P10" s="72" t="s">
        <v>37</v>
      </c>
      <c r="Q10" s="72" t="s">
        <v>37</v>
      </c>
      <c r="R10" s="72" t="s">
        <v>37</v>
      </c>
      <c r="S10" s="72" t="s">
        <v>37</v>
      </c>
      <c r="T10" s="72" t="s">
        <v>37</v>
      </c>
      <c r="U10" s="30" t="s">
        <v>38</v>
      </c>
      <c r="V10" s="56">
        <v>46156</v>
      </c>
      <c r="W10" s="67" t="s">
        <v>85</v>
      </c>
      <c r="X10" s="33" t="s"/>
      <c r="Y10" s="34" t="s"/>
      <c r="Z10" s="35" t="s"/>
      <c r="AA10" s="36" t="s">
        <v>40</v>
      </c>
      <c r="AB10" s="36" t="s">
        <v>41</v>
      </c>
      <c r="AC10" s="36" t="s">
        <v>41</v>
      </c>
      <c r="AD10" s="36" t="s">
        <v>41</v>
      </c>
      <c r="AE10" s="37">
        <f>=IFERROR(T10-N10,)</f>
        <v>0</v>
      </c>
    </row>
    <row r="11" spans="1:31" s="541" customFormat="1">
      <c r="A11" s="74">
        <v>10</v>
      </c>
      <c r="B11" s="75" t="s">
        <v>86</v>
      </c>
      <c r="C11" s="70" t="s">
        <v>87</v>
      </c>
      <c r="D11" s="76" t="s">
        <v>88</v>
      </c>
      <c r="E11" s="70" t="s">
        <v>89</v>
      </c>
      <c r="F11" s="70" t="s">
        <v>90</v>
      </c>
      <c r="G11" s="70" t="s">
        <v>91</v>
      </c>
      <c r="H11" s="70" t="s">
        <v>92</v>
      </c>
      <c r="I11" s="70" t="s">
        <v>93</v>
      </c>
      <c r="J11" s="70" t="s">
        <v>94</v>
      </c>
      <c r="K11" s="24">
        <f>=EDATE(L11,-3)</f>
        <v>45899</v>
      </c>
      <c r="L11" s="53">
        <v>45991</v>
      </c>
      <c r="M11" s="24">
        <f>=EDATE(L11,3)</f>
        <v>46081</v>
      </c>
      <c r="N11" s="72" t="s">
        <v>37</v>
      </c>
      <c r="O11" s="77">
        <v>0.1099</v>
      </c>
      <c r="P11" s="72" t="s">
        <v>37</v>
      </c>
      <c r="Q11" s="72" t="s">
        <v>37</v>
      </c>
      <c r="R11" s="72" t="s">
        <v>37</v>
      </c>
      <c r="S11" s="72" t="s">
        <v>37</v>
      </c>
      <c r="T11" s="72" t="s">
        <v>37</v>
      </c>
      <c r="U11" s="30" t="s">
        <v>62</v>
      </c>
      <c r="V11" s="56">
        <v>46181</v>
      </c>
      <c r="W11" s="67" t="s">
        <v>95</v>
      </c>
      <c r="X11" s="33" t="s"/>
      <c r="Y11" s="34" t="s"/>
      <c r="Z11" s="35" t="s"/>
      <c r="AA11" s="49" t="s">
        <v>52</v>
      </c>
      <c r="AB11" s="49" t="s">
        <v>41</v>
      </c>
      <c r="AC11" s="49" t="s">
        <v>41</v>
      </c>
      <c r="AD11" s="49" t="s">
        <v>41</v>
      </c>
      <c r="AE11" s="37">
        <f>=IFERROR(T11-N11,)</f>
        <v>0</v>
      </c>
    </row>
    <row r="12" spans="1:31" s="541" customFormat="1">
      <c r="A12" s="74">
        <v>11</v>
      </c>
      <c r="B12" s="75" t="s">
        <v>86</v>
      </c>
      <c r="C12" s="70" t="s">
        <v>87</v>
      </c>
      <c r="D12" s="76" t="s">
        <v>96</v>
      </c>
      <c r="E12" s="70" t="s">
        <v>97</v>
      </c>
      <c r="F12" s="70" t="s">
        <v>90</v>
      </c>
      <c r="G12" s="70" t="s">
        <v>91</v>
      </c>
      <c r="H12" s="70" t="s">
        <v>92</v>
      </c>
      <c r="I12" s="70" t="s">
        <v>93</v>
      </c>
      <c r="J12" s="70" t="s">
        <v>94</v>
      </c>
      <c r="K12" s="24">
        <f>=EDATE(L12,-3)</f>
        <v>45899</v>
      </c>
      <c r="L12" s="53">
        <v>45991</v>
      </c>
      <c r="M12" s="24">
        <f>=EDATE(L12,3)</f>
        <v>46081</v>
      </c>
      <c r="N12" s="72" t="s">
        <v>37</v>
      </c>
      <c r="O12" s="77">
        <v>0.0679</v>
      </c>
      <c r="P12" s="72" t="s">
        <v>37</v>
      </c>
      <c r="Q12" s="72" t="s">
        <v>37</v>
      </c>
      <c r="R12" s="72" t="s">
        <v>37</v>
      </c>
      <c r="S12" s="72" t="s">
        <v>37</v>
      </c>
      <c r="T12" s="72" t="s">
        <v>37</v>
      </c>
      <c r="U12" s="30" t="s">
        <v>62</v>
      </c>
      <c r="V12" s="56">
        <v>46181</v>
      </c>
      <c r="W12" s="67" t="s">
        <v>95</v>
      </c>
      <c r="X12" s="33" t="s"/>
      <c r="Y12" s="34" t="s"/>
      <c r="Z12" s="35" t="s"/>
      <c r="AA12" s="49" t="s">
        <v>52</v>
      </c>
      <c r="AB12" s="49" t="s">
        <v>41</v>
      </c>
      <c r="AC12" s="49" t="s">
        <v>41</v>
      </c>
      <c r="AD12" s="49" t="s">
        <v>41</v>
      </c>
      <c r="AE12" s="37">
        <f>=IFERROR(T12-N12,)</f>
        <v>0</v>
      </c>
    </row>
    <row r="13" spans="1:31" s="541" customFormat="1">
      <c r="A13" s="58">
        <v>12</v>
      </c>
      <c r="B13" s="21" t="s">
        <v>28</v>
      </c>
      <c r="C13" s="50" t="s">
        <v>98</v>
      </c>
      <c r="D13" s="51" t="s">
        <v>99</v>
      </c>
      <c r="E13" s="50" t="s">
        <v>31</v>
      </c>
      <c r="F13" s="50" t="s">
        <v>66</v>
      </c>
      <c r="G13" s="50" t="s">
        <v>47</v>
      </c>
      <c r="H13" s="50" t="s">
        <v>34</v>
      </c>
      <c r="I13" s="50" t="s">
        <v>35</v>
      </c>
      <c r="J13" s="50" t="s">
        <v>100</v>
      </c>
      <c r="K13" s="52">
        <f>=EDATE(L13,-3)</f>
        <v>45920</v>
      </c>
      <c r="L13" s="53">
        <v>46011</v>
      </c>
      <c r="M13" s="52">
        <f>=EDATE(L13,3)</f>
        <v>46101</v>
      </c>
      <c r="N13" s="62" t="s">
        <v>37</v>
      </c>
      <c r="O13" s="55" t="s">
        <v>37</v>
      </c>
      <c r="P13" s="62" t="s">
        <v>37</v>
      </c>
      <c r="Q13" s="62" t="s">
        <v>37</v>
      </c>
      <c r="R13" s="62" t="s">
        <v>37</v>
      </c>
      <c r="S13" s="62" t="s">
        <v>37</v>
      </c>
      <c r="T13" s="62" t="s">
        <v>37</v>
      </c>
      <c r="U13" s="30" t="s">
        <v>38</v>
      </c>
      <c r="V13" s="56" t="s"/>
      <c r="W13" s="67" t="s">
        <v>68</v>
      </c>
      <c r="X13" s="33" t="s"/>
      <c r="Y13" s="34" t="s"/>
      <c r="Z13" s="35" t="s"/>
      <c r="AA13" s="36" t="s">
        <v>41</v>
      </c>
      <c r="AB13" s="36" t="s">
        <v>41</v>
      </c>
      <c r="AC13" s="36" t="s">
        <v>41</v>
      </c>
      <c r="AD13" s="36" t="s">
        <v>41</v>
      </c>
      <c r="AE13" s="37">
        <f>=IFERROR(T13-N13,)</f>
        <v>0</v>
      </c>
    </row>
    <row r="14" spans="1:31" s="541" customFormat="1">
      <c r="A14" s="78">
        <v>13</v>
      </c>
      <c r="B14" s="21" t="s">
        <v>28</v>
      </c>
      <c r="C14" s="70" t="s">
        <v>101</v>
      </c>
      <c r="D14" s="71" t="s">
        <v>102</v>
      </c>
      <c r="E14" s="70" t="s">
        <v>31</v>
      </c>
      <c r="F14" s="70" t="s">
        <v>103</v>
      </c>
      <c r="G14" s="70" t="s">
        <v>33</v>
      </c>
      <c r="H14" s="70" t="s">
        <v>34</v>
      </c>
      <c r="I14" s="70" t="s">
        <v>35</v>
      </c>
      <c r="J14" s="70" t="s">
        <v>104</v>
      </c>
      <c r="K14" s="24">
        <f>=EDATE(L14,-3)</f>
        <v>45922</v>
      </c>
      <c r="L14" s="53">
        <v>46013</v>
      </c>
      <c r="M14" s="24">
        <f>=EDATE(L14,3)</f>
        <v>46103</v>
      </c>
      <c r="N14" s="27" t="s">
        <v>37</v>
      </c>
      <c r="O14" s="79" t="s">
        <v>37</v>
      </c>
      <c r="P14" s="27" t="s">
        <v>37</v>
      </c>
      <c r="Q14" s="27" t="s">
        <v>37</v>
      </c>
      <c r="R14" s="27" t="s">
        <v>37</v>
      </c>
      <c r="S14" s="27" t="s">
        <v>37</v>
      </c>
      <c r="T14" s="27" t="s">
        <v>37</v>
      </c>
      <c r="U14" s="30" t="s">
        <v>38</v>
      </c>
      <c r="V14" s="56" t="s"/>
      <c r="W14" s="67" t="s">
        <v>68</v>
      </c>
      <c r="X14" s="33" t="s"/>
      <c r="Y14" s="34" t="s"/>
      <c r="Z14" s="35" t="s"/>
      <c r="AA14" s="36" t="s">
        <v>41</v>
      </c>
      <c r="AB14" s="36" t="s">
        <v>41</v>
      </c>
      <c r="AC14" s="36" t="s">
        <v>41</v>
      </c>
      <c r="AD14" s="36" t="s">
        <v>41</v>
      </c>
      <c r="AE14" s="37">
        <f>=IFERROR(T14-N14,)</f>
        <v>0</v>
      </c>
    </row>
    <row r="15" spans="1:31" s="541" customFormat="1">
      <c r="A15" s="20">
        <v>14</v>
      </c>
      <c r="B15" s="21" t="s">
        <v>28</v>
      </c>
      <c r="C15" s="50" t="s">
        <v>105</v>
      </c>
      <c r="D15" s="51" t="s">
        <v>106</v>
      </c>
      <c r="E15" s="50" t="s">
        <v>31</v>
      </c>
      <c r="F15" s="50" t="s">
        <v>66</v>
      </c>
      <c r="G15" s="50" t="s">
        <v>47</v>
      </c>
      <c r="H15" s="50" t="s">
        <v>34</v>
      </c>
      <c r="I15" s="50" t="s">
        <v>35</v>
      </c>
      <c r="J15" s="50" t="s">
        <v>100</v>
      </c>
      <c r="K15" s="52">
        <f>=EDATE(L15,-3)</f>
        <v>45930</v>
      </c>
      <c r="L15" s="53">
        <v>46021</v>
      </c>
      <c r="M15" s="52">
        <f>=EDATE(L15,3)</f>
        <v>46111</v>
      </c>
      <c r="N15" s="62" t="s">
        <v>37</v>
      </c>
      <c r="O15" s="55" t="s">
        <v>37</v>
      </c>
      <c r="P15" s="62" t="s">
        <v>37</v>
      </c>
      <c r="Q15" s="62" t="s">
        <v>37</v>
      </c>
      <c r="R15" s="62" t="s">
        <v>37</v>
      </c>
      <c r="S15" s="62" t="s">
        <v>37</v>
      </c>
      <c r="T15" s="62" t="s">
        <v>37</v>
      </c>
      <c r="U15" s="30" t="s">
        <v>38</v>
      </c>
      <c r="V15" s="56" t="s"/>
      <c r="W15" s="67" t="s">
        <v>68</v>
      </c>
      <c r="X15" s="33" t="s"/>
      <c r="Y15" s="34" t="s"/>
      <c r="Z15" s="35" t="s"/>
      <c r="AA15" s="36" t="s">
        <v>41</v>
      </c>
      <c r="AB15" s="36" t="s">
        <v>41</v>
      </c>
      <c r="AC15" s="36" t="s">
        <v>41</v>
      </c>
      <c r="AD15" s="36" t="s">
        <v>41</v>
      </c>
      <c r="AE15" s="37">
        <f>=IFERROR(T15-N15,)</f>
        <v>0</v>
      </c>
    </row>
    <row r="16" spans="1:31" s="541" customFormat="1">
      <c r="A16" s="58">
        <v>15</v>
      </c>
      <c r="B16" s="21" t="s">
        <v>28</v>
      </c>
      <c r="C16" s="50" t="s">
        <v>64</v>
      </c>
      <c r="D16" s="51" t="s">
        <v>107</v>
      </c>
      <c r="E16" s="50" t="s">
        <v>31</v>
      </c>
      <c r="F16" s="50" t="s">
        <v>66</v>
      </c>
      <c r="G16" s="50" t="s">
        <v>47</v>
      </c>
      <c r="H16" s="50" t="s">
        <v>34</v>
      </c>
      <c r="I16" s="50" t="s">
        <v>35</v>
      </c>
      <c r="J16" s="50" t="s">
        <v>84</v>
      </c>
      <c r="K16" s="52">
        <f>=EDATE(L16,-3)</f>
        <v>45930</v>
      </c>
      <c r="L16" s="53">
        <v>46021</v>
      </c>
      <c r="M16" s="52">
        <f>=EDATE(L16,3)</f>
        <v>46111</v>
      </c>
      <c r="N16" s="80" t="s">
        <v>37</v>
      </c>
      <c r="O16" s="60" t="s">
        <v>37</v>
      </c>
      <c r="P16" s="59" t="s">
        <v>37</v>
      </c>
      <c r="Q16" s="59" t="s">
        <v>37</v>
      </c>
      <c r="R16" s="59" t="s">
        <v>37</v>
      </c>
      <c r="S16" s="59" t="s">
        <v>37</v>
      </c>
      <c r="T16" s="59" t="s">
        <v>37</v>
      </c>
      <c r="U16" s="30" t="s">
        <v>38</v>
      </c>
      <c r="V16" s="56" t="s"/>
      <c r="W16" s="67" t="s">
        <v>68</v>
      </c>
      <c r="X16" s="33" t="s"/>
      <c r="Y16" s="34" t="s"/>
      <c r="Z16" s="35" t="s"/>
      <c r="AA16" s="36" t="s">
        <v>41</v>
      </c>
      <c r="AB16" s="36" t="s">
        <v>41</v>
      </c>
      <c r="AC16" s="36" t="s">
        <v>41</v>
      </c>
      <c r="AD16" s="36" t="s">
        <v>41</v>
      </c>
      <c r="AE16" s="37">
        <f>=IFERROR(T16-N16,)</f>
        <v>0</v>
      </c>
    </row>
    <row r="17" spans="1:31" s="541" customFormat="1">
      <c r="A17" s="78">
        <v>16</v>
      </c>
      <c r="B17" s="21" t="s">
        <v>53</v>
      </c>
      <c r="C17" s="50" t="s">
        <v>108</v>
      </c>
      <c r="D17" s="51" t="s">
        <v>109</v>
      </c>
      <c r="E17" s="50" t="s">
        <v>110</v>
      </c>
      <c r="F17" s="50" t="s">
        <v>57</v>
      </c>
      <c r="G17" s="50" t="s">
        <v>58</v>
      </c>
      <c r="H17" s="50" t="s">
        <v>59</v>
      </c>
      <c r="I17" s="50" t="s">
        <v>60</v>
      </c>
      <c r="J17" s="50" t="s">
        <v>111</v>
      </c>
      <c r="K17" s="52">
        <f>=EDATE(L17,-3)</f>
        <v>45930</v>
      </c>
      <c r="L17" s="53">
        <v>46021</v>
      </c>
      <c r="M17" s="52">
        <f>=EDATE(L17,3)</f>
        <v>46111</v>
      </c>
      <c r="N17" s="59">
        <v>-0.0265908</v>
      </c>
      <c r="O17" s="60">
        <v>-0.0532</v>
      </c>
      <c r="P17" s="59">
        <v>-0.047</v>
      </c>
      <c r="Q17" s="59" t="s">
        <v>37</v>
      </c>
      <c r="R17" s="59" t="s">
        <v>37</v>
      </c>
      <c r="S17" s="59" t="s">
        <v>37</v>
      </c>
      <c r="T17" s="59" t="s">
        <v>37</v>
      </c>
      <c r="U17" s="30" t="s">
        <v>38</v>
      </c>
      <c r="V17" s="56" t="s"/>
      <c r="W17" s="67" t="s">
        <v>112</v>
      </c>
      <c r="X17" s="33" t="s"/>
      <c r="Y17" s="34" t="s"/>
      <c r="Z17" s="35" t="s"/>
      <c r="AA17" s="49" t="s">
        <v>52</v>
      </c>
      <c r="AB17" s="49" t="s">
        <v>41</v>
      </c>
      <c r="AC17" s="49" t="s">
        <v>41</v>
      </c>
      <c r="AD17" s="49" t="s">
        <v>41</v>
      </c>
      <c r="AE17" s="37">
        <f>=IFERROR(T17-N17,)</f>
        <v>0</v>
      </c>
    </row>
    <row r="18" spans="1:31" s="541" customFormat="1">
      <c r="A18" s="58">
        <v>17</v>
      </c>
      <c r="B18" s="21" t="s">
        <v>53</v>
      </c>
      <c r="C18" s="50" t="s">
        <v>113</v>
      </c>
      <c r="D18" s="51" t="s">
        <v>114</v>
      </c>
      <c r="E18" s="50" t="s">
        <v>110</v>
      </c>
      <c r="F18" s="50" t="s">
        <v>57</v>
      </c>
      <c r="G18" s="50" t="s">
        <v>58</v>
      </c>
      <c r="H18" s="50" t="s">
        <v>59</v>
      </c>
      <c r="I18" s="50" t="s">
        <v>60</v>
      </c>
      <c r="J18" s="50" t="s">
        <v>111</v>
      </c>
      <c r="K18" s="52">
        <f>=EDATE(L18,-3)</f>
        <v>45930</v>
      </c>
      <c r="L18" s="53">
        <v>46021</v>
      </c>
      <c r="M18" s="52">
        <f>=EDATE(L18,3)</f>
        <v>46111</v>
      </c>
      <c r="N18" s="62">
        <v>0.01634842</v>
      </c>
      <c r="O18" s="55">
        <v>0.06334696</v>
      </c>
      <c r="P18" s="62" t="s">
        <v>37</v>
      </c>
      <c r="Q18" s="62" t="s">
        <v>37</v>
      </c>
      <c r="R18" s="62" t="s">
        <v>37</v>
      </c>
      <c r="S18" s="62" t="s">
        <v>37</v>
      </c>
      <c r="T18" s="62" t="s">
        <v>37</v>
      </c>
      <c r="U18" s="30" t="s">
        <v>38</v>
      </c>
      <c r="V18" s="56" t="s"/>
      <c r="W18" s="67" t="s">
        <v>115</v>
      </c>
      <c r="X18" s="33" t="s"/>
      <c r="Y18" s="34" t="s"/>
      <c r="Z18" s="35" t="s"/>
      <c r="AA18" s="49" t="s">
        <v>52</v>
      </c>
      <c r="AB18" s="49" t="s">
        <v>41</v>
      </c>
      <c r="AC18" s="49" t="s">
        <v>41</v>
      </c>
      <c r="AD18" s="49" t="s">
        <v>41</v>
      </c>
      <c r="AE18" s="37">
        <f>=IFERROR(T18-N18,)</f>
        <v>0</v>
      </c>
    </row>
    <row r="19" spans="1:31" s="541" customFormat="1">
      <c r="A19" s="74">
        <v>20</v>
      </c>
      <c r="B19" s="81" t="s">
        <v>86</v>
      </c>
      <c r="C19" s="82" t="s">
        <v>116</v>
      </c>
      <c r="D19" s="83" t="s">
        <v>117</v>
      </c>
      <c r="E19" s="82" t="s">
        <v>89</v>
      </c>
      <c r="F19" s="82" t="s">
        <v>118</v>
      </c>
      <c r="G19" s="82" t="s">
        <v>91</v>
      </c>
      <c r="H19" s="82" t="s">
        <v>92</v>
      </c>
      <c r="I19" s="82" t="s">
        <v>93</v>
      </c>
      <c r="J19" s="82" t="s">
        <v>119</v>
      </c>
      <c r="K19" s="24">
        <f>=EDATE(L19,-3)</f>
        <v>45960</v>
      </c>
      <c r="L19" s="84">
        <v>46052</v>
      </c>
      <c r="M19" s="24">
        <f>=EDATE(L19,3)</f>
        <v>46142</v>
      </c>
      <c r="N19" s="85" t="s">
        <v>37</v>
      </c>
      <c r="O19" s="86">
        <v>0.052</v>
      </c>
      <c r="P19" s="79" t="s">
        <v>37</v>
      </c>
      <c r="Q19" s="85" t="s">
        <v>37</v>
      </c>
      <c r="R19" s="85" t="s">
        <v>37</v>
      </c>
      <c r="S19" s="86">
        <v>0.052</v>
      </c>
      <c r="T19" s="85" t="s">
        <v>37</v>
      </c>
      <c r="U19" s="30" t="s">
        <v>62</v>
      </c>
      <c r="V19" s="56">
        <v>46133</v>
      </c>
      <c r="W19" s="87" t="s">
        <v>120</v>
      </c>
      <c r="X19" s="88">
        <f>=O19</f>
        <v>0.052</v>
      </c>
      <c r="Y19" s="89">
        <v>17575476</v>
      </c>
      <c r="Z19" s="90">
        <f>=Y19/X19*5%</f>
        <v>16899496.1538462</v>
      </c>
      <c r="AA19" s="49" t="s">
        <v>52</v>
      </c>
      <c r="AB19" s="49" t="s">
        <v>41</v>
      </c>
      <c r="AC19" s="49" t="s">
        <v>52</v>
      </c>
      <c r="AD19" s="49" t="s">
        <v>41</v>
      </c>
      <c r="AE19" s="37">
        <f>=IFERROR(T19-N19,)</f>
        <v>0</v>
      </c>
    </row>
    <row r="20" spans="1:31" s="540" customFormat="1" ht="15" customHeight="1">
      <c r="A20" s="91">
        <v>21</v>
      </c>
      <c r="B20" s="92" t="s">
        <v>86</v>
      </c>
      <c r="C20" s="92" t="s">
        <v>121</v>
      </c>
      <c r="D20" s="93" t="s">
        <v>122</v>
      </c>
      <c r="E20" s="92" t="s">
        <v>123</v>
      </c>
      <c r="F20" s="92" t="s">
        <v>90</v>
      </c>
      <c r="G20" s="92" t="s">
        <v>91</v>
      </c>
      <c r="H20" s="92" t="s">
        <v>92</v>
      </c>
      <c r="I20" s="92" t="s">
        <v>93</v>
      </c>
      <c r="J20" s="92" t="s">
        <v>94</v>
      </c>
      <c r="K20" s="94">
        <f>=EDATE(L20,-3)</f>
        <v>45960</v>
      </c>
      <c r="L20" s="95">
        <v>46052</v>
      </c>
      <c r="M20" s="94">
        <f>=EDATE(L20,3)</f>
        <v>46142</v>
      </c>
      <c r="N20" s="96" t="s">
        <v>37</v>
      </c>
      <c r="O20" s="97">
        <v>0.0044</v>
      </c>
      <c r="P20" s="96" t="s">
        <v>37</v>
      </c>
      <c r="Q20" s="96" t="s">
        <v>37</v>
      </c>
      <c r="R20" s="98" t="s">
        <v>37</v>
      </c>
      <c r="S20" s="98" t="s">
        <v>37</v>
      </c>
      <c r="T20" s="96" t="s">
        <v>37</v>
      </c>
      <c r="U20" s="99" t="s">
        <v>38</v>
      </c>
      <c r="V20" s="100" t="s">
        <v>124</v>
      </c>
      <c r="W20" s="101" t="s">
        <v>125</v>
      </c>
      <c r="X20" s="102">
        <f>=O20</f>
        <v>0.0044</v>
      </c>
      <c r="Y20" s="103">
        <v>37104002</v>
      </c>
      <c r="Z20" s="104">
        <f>=Y20/X20*5%</f>
        <v>421636386.363636</v>
      </c>
      <c r="AA20" s="105" t="s">
        <v>52</v>
      </c>
      <c r="AB20" s="105" t="s">
        <v>41</v>
      </c>
      <c r="AC20" s="105" t="s">
        <v>41</v>
      </c>
      <c r="AD20" s="105" t="s">
        <v>41</v>
      </c>
      <c r="AE20" s="37">
        <f>=IFERROR(T20-N20,)</f>
        <v>0</v>
      </c>
    </row>
    <row r="21" spans="1:31" s="541" customFormat="1" ht="15" customHeight="1">
      <c r="A21" s="38">
        <v>22</v>
      </c>
      <c r="B21" s="39" t="s">
        <v>42</v>
      </c>
      <c r="C21" s="40" t="s">
        <v>126</v>
      </c>
      <c r="D21" s="41" t="s">
        <v>127</v>
      </c>
      <c r="E21" s="40" t="s">
        <v>128</v>
      </c>
      <c r="F21" s="40" t="s">
        <v>77</v>
      </c>
      <c r="G21" s="40" t="s">
        <v>47</v>
      </c>
      <c r="H21" s="40" t="s">
        <v>92</v>
      </c>
      <c r="I21" s="40" t="s">
        <v>93</v>
      </c>
      <c r="J21" s="40" t="s">
        <v>93</v>
      </c>
      <c r="K21" s="42">
        <f>=EDATE(L21,-3)</f>
        <v>45961</v>
      </c>
      <c r="L21" s="43">
        <v>46053</v>
      </c>
      <c r="M21" s="106">
        <f>=EDATE(L21,3)</f>
        <v>46142</v>
      </c>
      <c r="N21" s="107">
        <v>-0.095</v>
      </c>
      <c r="O21" s="107">
        <v>-0.00824716</v>
      </c>
      <c r="P21" s="44" t="s">
        <v>37</v>
      </c>
      <c r="Q21" s="44" t="s">
        <v>37</v>
      </c>
      <c r="R21" s="44" t="s">
        <v>37</v>
      </c>
      <c r="S21" s="44">
        <v>0.0014</v>
      </c>
      <c r="T21" s="44" t="s">
        <v>37</v>
      </c>
      <c r="U21" s="30" t="s">
        <v>38</v>
      </c>
      <c r="V21" s="47">
        <v>46097</v>
      </c>
      <c r="W21" s="48" t="s">
        <v>656</v>
      </c>
      <c r="X21" s="88">
        <f>=N21</f>
        <v>-0.095</v>
      </c>
      <c r="Y21" s="89">
        <v>-4559656.98887557</v>
      </c>
      <c r="Z21" s="90">
        <f>=Y21/X21*5%</f>
        <v>2399819.46782925</v>
      </c>
      <c r="AA21" s="49" t="s">
        <v>52</v>
      </c>
      <c r="AB21" s="49" t="s">
        <v>41</v>
      </c>
      <c r="AC21" s="49" t="s">
        <v>52</v>
      </c>
      <c r="AD21" s="49" t="s">
        <v>41</v>
      </c>
      <c r="AE21" s="37">
        <f>=IFERROR(T21-N21,)</f>
        <v>0</v>
      </c>
    </row>
    <row r="22" spans="1:31" s="541" customFormat="1" ht="15" customHeight="1">
      <c r="A22" s="108">
        <v>23</v>
      </c>
      <c r="B22" s="21" t="s">
        <v>28</v>
      </c>
      <c r="C22" s="50" t="s">
        <v>64</v>
      </c>
      <c r="D22" s="51" t="s">
        <v>129</v>
      </c>
      <c r="E22" s="50" t="s">
        <v>130</v>
      </c>
      <c r="F22" s="50" t="s">
        <v>66</v>
      </c>
      <c r="G22" s="50" t="s">
        <v>47</v>
      </c>
      <c r="H22" s="50" t="s">
        <v>34</v>
      </c>
      <c r="I22" s="50" t="s">
        <v>35</v>
      </c>
      <c r="J22" s="50" t="s">
        <v>67</v>
      </c>
      <c r="K22" s="52">
        <f>=EDATE(L22,-3)</f>
        <v>45963</v>
      </c>
      <c r="L22" s="53">
        <v>46055</v>
      </c>
      <c r="M22" s="24">
        <f>=EDATE(L22,3)</f>
        <v>46144</v>
      </c>
      <c r="N22" s="59" t="s">
        <v>37</v>
      </c>
      <c r="O22" s="59" t="s">
        <v>37</v>
      </c>
      <c r="P22" s="62" t="s">
        <v>37</v>
      </c>
      <c r="Q22" s="59" t="s">
        <v>37</v>
      </c>
      <c r="R22" s="59" t="s">
        <v>37</v>
      </c>
      <c r="S22" s="59" t="s">
        <v>37</v>
      </c>
      <c r="T22" s="59" t="s">
        <v>37</v>
      </c>
      <c r="U22" s="30" t="s">
        <v>38</v>
      </c>
      <c r="V22" s="31" t="s"/>
      <c r="W22" s="109" t="s">
        <v>68</v>
      </c>
      <c r="X22" s="33" t="s">
        <v>38</v>
      </c>
      <c r="Y22" s="110" t="s"/>
      <c r="Z22" s="35" t="s"/>
      <c r="AA22" s="36" t="s">
        <v>41</v>
      </c>
      <c r="AB22" s="36" t="s">
        <v>41</v>
      </c>
      <c r="AC22" s="36" t="s">
        <v>41</v>
      </c>
      <c r="AD22" s="36" t="s">
        <v>41</v>
      </c>
      <c r="AE22" s="37">
        <f>=IFERROR(T22-N22,)</f>
        <v>0</v>
      </c>
    </row>
    <row r="23" spans="1:31" s="542" customFormat="1" ht="15" customHeight="1">
      <c r="A23" s="74">
        <v>24</v>
      </c>
      <c r="B23" s="21" t="s">
        <v>28</v>
      </c>
      <c r="C23" s="78" t="s">
        <v>101</v>
      </c>
      <c r="D23" s="111" t="s">
        <v>131</v>
      </c>
      <c r="E23" s="78" t="s">
        <v>31</v>
      </c>
      <c r="F23" s="78" t="s">
        <v>103</v>
      </c>
      <c r="G23" s="78" t="s">
        <v>33</v>
      </c>
      <c r="H23" s="78" t="s">
        <v>34</v>
      </c>
      <c r="I23" s="78" t="s">
        <v>35</v>
      </c>
      <c r="J23" s="78" t="s">
        <v>104</v>
      </c>
      <c r="K23" s="24">
        <f>=EDATE(L23,-3)</f>
        <v>45963</v>
      </c>
      <c r="L23" s="84">
        <v>46055</v>
      </c>
      <c r="M23" s="24">
        <f>=EDATE(L23,3)</f>
        <v>46144</v>
      </c>
      <c r="N23" s="72" t="s">
        <v>37</v>
      </c>
      <c r="O23" s="29" t="s">
        <v>37</v>
      </c>
      <c r="P23" s="72" t="s">
        <v>37</v>
      </c>
      <c r="Q23" s="72" t="s">
        <v>37</v>
      </c>
      <c r="R23" s="27" t="s">
        <v>37</v>
      </c>
      <c r="S23" s="27" t="s">
        <v>37</v>
      </c>
      <c r="T23" s="72" t="s">
        <v>37</v>
      </c>
      <c r="U23" s="30" t="s">
        <v>38</v>
      </c>
      <c r="V23" s="31" t="s"/>
      <c r="W23" s="109" t="s">
        <v>68</v>
      </c>
      <c r="X23" s="33" t="s">
        <v>38</v>
      </c>
      <c r="Y23" s="112" t="s"/>
      <c r="Z23" s="35" t="s"/>
      <c r="AA23" s="36" t="s">
        <v>41</v>
      </c>
      <c r="AB23" s="36" t="s">
        <v>41</v>
      </c>
      <c r="AC23" s="36" t="s">
        <v>41</v>
      </c>
      <c r="AD23" s="36" t="s">
        <v>41</v>
      </c>
      <c r="AE23" s="37">
        <f>=IFERROR(T23-N23,)</f>
        <v>0</v>
      </c>
    </row>
    <row r="24" spans="1:31" s="540" customFormat="1" ht="15" customHeight="1">
      <c r="A24" s="58">
        <v>25</v>
      </c>
      <c r="B24" s="21" t="s">
        <v>53</v>
      </c>
      <c r="C24" s="50" t="s">
        <v>78</v>
      </c>
      <c r="D24" s="51" t="s">
        <v>132</v>
      </c>
      <c r="E24" s="50" t="s">
        <v>56</v>
      </c>
      <c r="F24" s="50" t="s">
        <v>57</v>
      </c>
      <c r="G24" s="50" t="s">
        <v>58</v>
      </c>
      <c r="H24" s="50" t="s">
        <v>59</v>
      </c>
      <c r="I24" s="50" t="s">
        <v>60</v>
      </c>
      <c r="J24" s="50" t="s">
        <v>80</v>
      </c>
      <c r="K24" s="52">
        <f>=EDATE(L24,-3)</f>
        <v>45985</v>
      </c>
      <c r="L24" s="53">
        <v>46077</v>
      </c>
      <c r="M24" s="24">
        <f>=EDATE(L24,3)</f>
        <v>46166</v>
      </c>
      <c r="N24" s="54">
        <v>0.02816493</v>
      </c>
      <c r="O24" s="54">
        <v>0.03486064</v>
      </c>
      <c r="P24" s="54">
        <v>-0.0133619</v>
      </c>
      <c r="Q24" s="55" t="s">
        <v>37</v>
      </c>
      <c r="R24" s="55" t="s">
        <v>37</v>
      </c>
      <c r="S24" s="55" t="s">
        <v>37</v>
      </c>
      <c r="T24" s="55" t="s">
        <v>37</v>
      </c>
      <c r="U24" s="30" t="s">
        <v>62</v>
      </c>
      <c r="V24" s="56">
        <v>46136</v>
      </c>
      <c r="W24" s="113" t="s">
        <v>133</v>
      </c>
      <c r="X24" s="88">
        <f>=N24</f>
        <v>0.02816493</v>
      </c>
      <c r="Y24" s="89">
        <v>189741.96</v>
      </c>
      <c r="Z24" s="90">
        <f>=Y24/X24*5%</f>
        <v>336840.815865688</v>
      </c>
      <c r="AA24" s="49" t="s">
        <v>52</v>
      </c>
      <c r="AB24" s="49" t="s">
        <v>41</v>
      </c>
      <c r="AC24" s="49" t="s">
        <v>41</v>
      </c>
      <c r="AD24" s="49" t="s">
        <v>41</v>
      </c>
      <c r="AE24" s="37">
        <f>=IFERROR(T24-N24,)</f>
        <v>0</v>
      </c>
    </row>
    <row r="25" spans="1:31" s="541" customFormat="1" ht="15" customHeight="1">
      <c r="A25" s="20">
        <v>26</v>
      </c>
      <c r="B25" s="21" t="s">
        <v>28</v>
      </c>
      <c r="C25" s="50" t="s">
        <v>64</v>
      </c>
      <c r="D25" s="51" t="s">
        <v>134</v>
      </c>
      <c r="E25" s="50" t="s">
        <v>31</v>
      </c>
      <c r="F25" s="50" t="s">
        <v>66</v>
      </c>
      <c r="G25" s="50" t="s">
        <v>47</v>
      </c>
      <c r="H25" s="50" t="s">
        <v>34</v>
      </c>
      <c r="I25" s="50" t="s">
        <v>35</v>
      </c>
      <c r="J25" s="50" t="s">
        <v>67</v>
      </c>
      <c r="K25" s="52">
        <f>=EDATE(L25,-3)</f>
        <v>45989</v>
      </c>
      <c r="L25" s="114">
        <v>46081</v>
      </c>
      <c r="M25" s="52">
        <f>=EDATE(L25,3)</f>
        <v>46170</v>
      </c>
      <c r="N25" s="62" t="s">
        <v>37</v>
      </c>
      <c r="O25" s="62">
        <v>0.064</v>
      </c>
      <c r="P25" s="62" t="s">
        <v>37</v>
      </c>
      <c r="Q25" s="62" t="s">
        <v>37</v>
      </c>
      <c r="R25" s="62" t="s">
        <v>37</v>
      </c>
      <c r="S25" s="62" t="s">
        <v>37</v>
      </c>
      <c r="T25" s="62" t="s">
        <v>37</v>
      </c>
      <c r="U25" s="30" t="s">
        <v>62</v>
      </c>
      <c r="V25" s="56">
        <v>46185</v>
      </c>
      <c r="W25" s="113" t="s">
        <v>135</v>
      </c>
      <c r="X25" s="88">
        <f>=O25</f>
        <v>0.064</v>
      </c>
      <c r="Y25" s="115">
        <v>1700874</v>
      </c>
      <c r="Z25" s="90">
        <f>=Y25/X25*5%</f>
        <v>1328807.8125</v>
      </c>
      <c r="AA25" s="36" t="s">
        <v>40</v>
      </c>
      <c r="AB25" s="36" t="s">
        <v>41</v>
      </c>
      <c r="AC25" s="36" t="s">
        <v>41</v>
      </c>
      <c r="AD25" s="36" t="s">
        <v>41</v>
      </c>
      <c r="AE25" s="37">
        <f>=IFERROR(T25-N25,)</f>
        <v>0</v>
      </c>
    </row>
    <row r="26" spans="1:31" s="541" customFormat="1" ht="15" customHeight="1">
      <c r="A26" s="116">
        <v>28</v>
      </c>
      <c r="B26" s="117" t="s">
        <v>42</v>
      </c>
      <c r="C26" s="116" t="s">
        <v>136</v>
      </c>
      <c r="D26" s="118" t="s">
        <v>137</v>
      </c>
      <c r="E26" s="116" t="s">
        <v>138</v>
      </c>
      <c r="F26" s="116" t="s">
        <v>103</v>
      </c>
      <c r="G26" s="116" t="s">
        <v>33</v>
      </c>
      <c r="H26" s="116" t="s">
        <v>92</v>
      </c>
      <c r="I26" s="116" t="s">
        <v>93</v>
      </c>
      <c r="J26" s="116" t="s">
        <v>139</v>
      </c>
      <c r="K26" s="119">
        <f>=EDATE(L26,-3)</f>
        <v>46000</v>
      </c>
      <c r="L26" s="120">
        <v>46090</v>
      </c>
      <c r="M26" s="119">
        <f>=EDATE(L26,3)</f>
        <v>46182</v>
      </c>
      <c r="N26" s="121" t="s">
        <v>37</v>
      </c>
      <c r="O26" s="122">
        <v>0.0061</v>
      </c>
      <c r="P26" s="122">
        <v>0.0063</v>
      </c>
      <c r="Q26" s="123">
        <v>0.0692</v>
      </c>
      <c r="R26" s="122">
        <v>0.0939</v>
      </c>
      <c r="S26" s="121" t="s">
        <v>37</v>
      </c>
      <c r="T26" s="121">
        <v>0.0711</v>
      </c>
      <c r="U26" s="30" t="s">
        <v>140</v>
      </c>
      <c r="V26" s="124">
        <v>46036</v>
      </c>
      <c r="W26" s="125" t="s">
        <v>141</v>
      </c>
      <c r="X26" s="126">
        <f>=O26</f>
        <v>0.0061</v>
      </c>
      <c r="Y26" s="127">
        <v>1215457.1061561</v>
      </c>
      <c r="Z26" s="128">
        <f>=Y26/X26*5%</f>
        <v>9962763.16521394</v>
      </c>
      <c r="AA26" s="129" t="s">
        <v>52</v>
      </c>
      <c r="AB26" s="129" t="s">
        <v>52</v>
      </c>
      <c r="AC26" s="129" t="s">
        <v>52</v>
      </c>
      <c r="AD26" s="129" t="s">
        <v>41</v>
      </c>
      <c r="AE26" s="37">
        <f>=IFERROR(T26-N26,)</f>
        <v>0</v>
      </c>
    </row>
    <row r="27" spans="1:31" s="541" customFormat="1" ht="15" customHeight="1">
      <c r="A27" s="38">
        <v>0</v>
      </c>
      <c r="B27" s="130" t="s">
        <v>42</v>
      </c>
      <c r="C27" s="38" t="s">
        <v>43</v>
      </c>
      <c r="D27" s="131" t="s">
        <v>142</v>
      </c>
      <c r="E27" s="38" t="s">
        <v>143</v>
      </c>
      <c r="F27" s="132" t="s">
        <v>46</v>
      </c>
      <c r="G27" s="132" t="s">
        <v>47</v>
      </c>
      <c r="H27" s="132" t="s">
        <v>48</v>
      </c>
      <c r="I27" s="132" t="s">
        <v>49</v>
      </c>
      <c r="J27" s="133" t="s">
        <v>50</v>
      </c>
      <c r="K27" s="134">
        <f>=EDATE(L27,-3)</f>
        <v>46021</v>
      </c>
      <c r="L27" s="135">
        <v>46111</v>
      </c>
      <c r="M27" s="136">
        <v>46203</v>
      </c>
      <c r="N27" s="137">
        <v>0.043507307884252</v>
      </c>
      <c r="O27" s="137">
        <v>0.0592</v>
      </c>
      <c r="P27" s="138" t="s">
        <v>37</v>
      </c>
      <c r="Q27" s="138" t="s">
        <v>37</v>
      </c>
      <c r="R27" s="138" t="s">
        <v>37</v>
      </c>
      <c r="S27" s="139">
        <v>-0.0819</v>
      </c>
      <c r="T27" s="138" t="s">
        <v>37</v>
      </c>
      <c r="U27" s="30" t="s">
        <v>38</v>
      </c>
      <c r="V27" s="47">
        <v>46096</v>
      </c>
      <c r="W27" s="140" t="s">
        <v>657</v>
      </c>
      <c r="X27" s="141">
        <f>=N27</f>
        <v>0.043507307884252</v>
      </c>
      <c r="Y27" s="89">
        <v>3292031.13285375</v>
      </c>
      <c r="Z27" s="90">
        <f>=Y27/X27*5%</f>
        <v>3783308.2451481</v>
      </c>
      <c r="AA27" s="49" t="s">
        <v>52</v>
      </c>
      <c r="AB27" s="49" t="s">
        <v>41</v>
      </c>
      <c r="AC27" s="49" t="s">
        <v>52</v>
      </c>
      <c r="AD27" s="49" t="s">
        <v>41</v>
      </c>
      <c r="AE27" s="37">
        <f>=IFERROR(T27-N27,)</f>
        <v>0</v>
      </c>
    </row>
    <row r="28" spans="1:31" s="541" customFormat="1" ht="15" customHeight="1">
      <c r="A28" s="142">
        <v>18</v>
      </c>
      <c r="B28" s="39" t="s">
        <v>42</v>
      </c>
      <c r="C28" s="40" t="s">
        <v>144</v>
      </c>
      <c r="D28" s="41" t="s">
        <v>145</v>
      </c>
      <c r="E28" s="40" t="s">
        <v>146</v>
      </c>
      <c r="F28" s="40" t="s">
        <v>46</v>
      </c>
      <c r="G28" s="40" t="s">
        <v>47</v>
      </c>
      <c r="H28" s="40" t="s">
        <v>48</v>
      </c>
      <c r="I28" s="40" t="s">
        <v>49</v>
      </c>
      <c r="J28" s="143" t="s">
        <v>50</v>
      </c>
      <c r="K28" s="42">
        <f>=EDATE(L28,-3)</f>
        <v>46021</v>
      </c>
      <c r="L28" s="43">
        <v>46111</v>
      </c>
      <c r="M28" s="144">
        <v>46203</v>
      </c>
      <c r="N28" s="44">
        <v>0.0592</v>
      </c>
      <c r="O28" s="145">
        <v>0.0592</v>
      </c>
      <c r="P28" s="44" t="s">
        <v>37</v>
      </c>
      <c r="Q28" s="44" t="s">
        <v>37</v>
      </c>
      <c r="R28" s="44" t="s">
        <v>37</v>
      </c>
      <c r="S28" s="44">
        <v>-0.0819</v>
      </c>
      <c r="T28" s="44" t="s">
        <v>37</v>
      </c>
      <c r="U28" s="30" t="s">
        <v>38</v>
      </c>
      <c r="V28" s="146">
        <v>46096</v>
      </c>
      <c r="W28" s="48" t="s">
        <v>657</v>
      </c>
      <c r="X28" s="88">
        <f>=N28</f>
        <v>0.0592</v>
      </c>
      <c r="Y28" s="89">
        <v>3256453.26949648</v>
      </c>
      <c r="Z28" s="90">
        <f>=Y28/X28*5%</f>
        <v>2750382.82896662</v>
      </c>
      <c r="AA28" s="49" t="s">
        <v>52</v>
      </c>
      <c r="AB28" s="49" t="s">
        <v>41</v>
      </c>
      <c r="AC28" s="49" t="s">
        <v>52</v>
      </c>
      <c r="AD28" s="49" t="s">
        <v>41</v>
      </c>
      <c r="AE28" s="37">
        <f>=IFERROR(T28-N28,)</f>
        <v>0</v>
      </c>
    </row>
    <row r="29" spans="1:31" s="541" customFormat="1" ht="15" customHeight="1">
      <c r="A29" s="58">
        <v>29</v>
      </c>
      <c r="B29" s="147" t="s">
        <v>28</v>
      </c>
      <c r="C29" s="50" t="s">
        <v>147</v>
      </c>
      <c r="D29" s="51" t="s">
        <v>148</v>
      </c>
      <c r="E29" s="50" t="s">
        <v>31</v>
      </c>
      <c r="F29" s="50" t="s">
        <v>149</v>
      </c>
      <c r="G29" s="50" t="s">
        <v>58</v>
      </c>
      <c r="H29" s="50" t="s">
        <v>34</v>
      </c>
      <c r="I29" s="50" t="s">
        <v>35</v>
      </c>
      <c r="J29" s="50" t="s">
        <v>74</v>
      </c>
      <c r="K29" s="52">
        <f>=EDATE(L29,-3)</f>
        <v>46021</v>
      </c>
      <c r="L29" s="53">
        <v>46111</v>
      </c>
      <c r="M29" s="24">
        <f>=EDATE(L29,3)</f>
        <v>46203</v>
      </c>
      <c r="N29" s="59" t="s">
        <v>37</v>
      </c>
      <c r="O29" s="59">
        <v>0.031</v>
      </c>
      <c r="P29" s="59" t="s">
        <v>37</v>
      </c>
      <c r="Q29" s="59" t="s">
        <v>37</v>
      </c>
      <c r="R29" s="59" t="s">
        <v>37</v>
      </c>
      <c r="S29" s="59" t="s">
        <v>37</v>
      </c>
      <c r="T29" s="60">
        <v>0.0667</v>
      </c>
      <c r="U29" s="148" t="s">
        <v>62</v>
      </c>
      <c r="V29" s="56">
        <v>46111</v>
      </c>
      <c r="W29" s="113" t="s">
        <v>150</v>
      </c>
      <c r="X29" s="88">
        <f>=O29</f>
        <v>0.031</v>
      </c>
      <c r="Y29" s="115">
        <v>3092140</v>
      </c>
      <c r="Z29" s="90">
        <f>=Y29/X29*5%</f>
        <v>4987322.58064516</v>
      </c>
      <c r="AA29" s="36" t="s">
        <v>40</v>
      </c>
      <c r="AB29" s="36" t="s">
        <v>41</v>
      </c>
      <c r="AC29" s="36" t="s">
        <v>41</v>
      </c>
      <c r="AD29" s="36" t="s">
        <v>52</v>
      </c>
      <c r="AE29" s="37">
        <f>=IFERROR(T29-N29,)</f>
        <v>0</v>
      </c>
    </row>
    <row r="30" spans="1:31" s="543" customFormat="1" ht="15" customHeight="1">
      <c r="A30" s="149">
        <v>30</v>
      </c>
      <c r="B30" s="150" t="s">
        <v>42</v>
      </c>
      <c r="C30" s="151" t="s">
        <v>151</v>
      </c>
      <c r="D30" s="152" t="s">
        <v>152</v>
      </c>
      <c r="E30" s="151" t="s">
        <v>153</v>
      </c>
      <c r="F30" s="151" t="s">
        <v>154</v>
      </c>
      <c r="G30" s="151" t="s">
        <v>33</v>
      </c>
      <c r="H30" s="151" t="s">
        <v>92</v>
      </c>
      <c r="I30" s="151" t="s">
        <v>93</v>
      </c>
      <c r="J30" s="151" t="s">
        <v>155</v>
      </c>
      <c r="K30" s="153">
        <f>=EDATE(L30,-3)</f>
        <v>46021</v>
      </c>
      <c r="L30" s="154">
        <v>46111</v>
      </c>
      <c r="M30" s="153">
        <f>=EDATE(L30,3)</f>
        <v>46203</v>
      </c>
      <c r="N30" s="155" t="s">
        <v>37</v>
      </c>
      <c r="O30" s="156" t="s">
        <v>37</v>
      </c>
      <c r="P30" s="155" t="s">
        <v>37</v>
      </c>
      <c r="Q30" s="155" t="s">
        <v>37</v>
      </c>
      <c r="R30" s="155" t="s">
        <v>37</v>
      </c>
      <c r="S30" s="155" t="s">
        <v>37</v>
      </c>
      <c r="T30" s="155" t="s">
        <v>37</v>
      </c>
      <c r="U30" s="30" t="s">
        <v>38</v>
      </c>
      <c r="V30" s="157" t="s"/>
      <c r="W30" s="157" t="s">
        <v>156</v>
      </c>
      <c r="X30" s="158" t="s">
        <v>38</v>
      </c>
      <c r="Y30" s="159" t="s"/>
      <c r="Z30" s="160" t="s"/>
      <c r="AA30" s="161" t="s">
        <v>41</v>
      </c>
      <c r="AB30" s="161" t="s">
        <v>41</v>
      </c>
      <c r="AC30" s="161" t="s">
        <v>41</v>
      </c>
      <c r="AD30" s="161" t="s">
        <v>41</v>
      </c>
      <c r="AE30" s="37">
        <f>=IFERROR(T30-N30,)</f>
        <v>0</v>
      </c>
    </row>
    <row r="31" spans="1:31" s="541" customFormat="1" ht="15" customHeight="1">
      <c r="A31" s="149">
        <v>31</v>
      </c>
      <c r="B31" s="162" t="s">
        <v>42</v>
      </c>
      <c r="C31" s="151" t="s">
        <v>151</v>
      </c>
      <c r="D31" s="152" t="s">
        <v>157</v>
      </c>
      <c r="E31" s="151" t="s">
        <v>153</v>
      </c>
      <c r="F31" s="151" t="s">
        <v>154</v>
      </c>
      <c r="G31" s="151" t="s">
        <v>33</v>
      </c>
      <c r="H31" s="151" t="s">
        <v>92</v>
      </c>
      <c r="I31" s="151" t="s">
        <v>93</v>
      </c>
      <c r="J31" s="151" t="s">
        <v>155</v>
      </c>
      <c r="K31" s="153">
        <f>=EDATE(L31,-3)</f>
        <v>46022</v>
      </c>
      <c r="L31" s="163">
        <v>46112</v>
      </c>
      <c r="M31" s="153">
        <f>=EDATE(L31,3)</f>
        <v>46203</v>
      </c>
      <c r="N31" s="164">
        <v>0.01205496</v>
      </c>
      <c r="O31" s="164">
        <v>0.02324069</v>
      </c>
      <c r="P31" s="165" t="s">
        <v>37</v>
      </c>
      <c r="Q31" s="166">
        <v>0.0468</v>
      </c>
      <c r="R31" s="165" t="s">
        <v>37</v>
      </c>
      <c r="S31" s="167" t="s">
        <v>37</v>
      </c>
      <c r="T31" s="165">
        <v>0.0728</v>
      </c>
      <c r="U31" s="30" t="s">
        <v>158</v>
      </c>
      <c r="V31" s="168">
        <v>46231</v>
      </c>
      <c r="W31" s="157" t="s">
        <v>159</v>
      </c>
      <c r="X31" s="169">
        <f>=N31</f>
        <v>0.01205496</v>
      </c>
      <c r="Y31" s="170">
        <v>1625433.81386357</v>
      </c>
      <c r="Z31" s="171">
        <f>=Y31/X31*5%</f>
        <v>6741763.61374725</v>
      </c>
      <c r="AA31" s="161" t="s">
        <v>52</v>
      </c>
      <c r="AB31" s="161" t="s">
        <v>52</v>
      </c>
      <c r="AC31" s="161" t="s">
        <v>41</v>
      </c>
      <c r="AD31" s="161" t="s">
        <v>52</v>
      </c>
      <c r="AE31" s="37">
        <f>=IFERROR(T31-N31,)</f>
        <v>0.06074504</v>
      </c>
    </row>
    <row r="32" spans="1:31" s="544" customFormat="1" ht="15" customHeight="1">
      <c r="A32" s="58">
        <v>32</v>
      </c>
      <c r="B32" s="81" t="s">
        <v>28</v>
      </c>
      <c r="C32" s="82" t="s">
        <v>160</v>
      </c>
      <c r="D32" s="83" t="s">
        <v>161</v>
      </c>
      <c r="E32" s="82" t="s">
        <v>31</v>
      </c>
      <c r="F32" s="82" t="s">
        <v>162</v>
      </c>
      <c r="G32" s="82" t="s">
        <v>91</v>
      </c>
      <c r="H32" s="82" t="s">
        <v>34</v>
      </c>
      <c r="I32" s="82" t="s">
        <v>35</v>
      </c>
      <c r="J32" s="108" t="s">
        <v>124</v>
      </c>
      <c r="K32" s="24">
        <f>=EDATE(L32,-3)</f>
        <v>46023</v>
      </c>
      <c r="L32" s="53">
        <v>46113</v>
      </c>
      <c r="M32" s="24">
        <f>=EDATE(L32,3)</f>
        <v>46204</v>
      </c>
      <c r="N32" s="172" t="s">
        <v>37</v>
      </c>
      <c r="O32" s="172" t="s">
        <v>37</v>
      </c>
      <c r="P32" s="172" t="s">
        <v>37</v>
      </c>
      <c r="Q32" s="172" t="s">
        <v>37</v>
      </c>
      <c r="R32" s="172" t="s">
        <v>37</v>
      </c>
      <c r="S32" s="172" t="s">
        <v>37</v>
      </c>
      <c r="T32" s="172" t="s">
        <v>37</v>
      </c>
      <c r="U32" s="30" t="s">
        <v>38</v>
      </c>
      <c r="V32" s="173" t="s"/>
      <c r="W32" s="109" t="s">
        <v>68</v>
      </c>
      <c r="X32" s="33" t="s">
        <v>38</v>
      </c>
      <c r="Y32" s="34" t="s"/>
      <c r="Z32" s="35" t="s"/>
      <c r="AA32" s="36" t="s">
        <v>41</v>
      </c>
      <c r="AB32" s="36" t="s">
        <v>41</v>
      </c>
      <c r="AC32" s="36" t="s">
        <v>41</v>
      </c>
      <c r="AD32" s="36" t="s">
        <v>41</v>
      </c>
      <c r="AE32" s="37">
        <f>=IFERROR(T32-N32,)</f>
        <v>0</v>
      </c>
    </row>
    <row r="33" spans="1:31" s="544" customFormat="1" ht="15" customHeight="1">
      <c r="A33" s="58">
        <v>35</v>
      </c>
      <c r="B33" s="81" t="s">
        <v>86</v>
      </c>
      <c r="C33" s="82" t="s">
        <v>116</v>
      </c>
      <c r="D33" s="83" t="s">
        <v>163</v>
      </c>
      <c r="E33" s="82" t="s">
        <v>89</v>
      </c>
      <c r="F33" s="82" t="s">
        <v>118</v>
      </c>
      <c r="G33" s="82" t="s">
        <v>91</v>
      </c>
      <c r="H33" s="82" t="s">
        <v>92</v>
      </c>
      <c r="I33" s="82" t="s">
        <v>93</v>
      </c>
      <c r="J33" s="82" t="s">
        <v>164</v>
      </c>
      <c r="K33" s="174">
        <f>=EDATE(L33,-3)</f>
        <v>46052</v>
      </c>
      <c r="L33" s="84">
        <v>46142</v>
      </c>
      <c r="M33" s="174">
        <f>=EDATE(L33,3)</f>
        <v>46233</v>
      </c>
      <c r="N33" s="175">
        <v>0.0153</v>
      </c>
      <c r="O33" s="175">
        <v>0.0204</v>
      </c>
      <c r="P33" s="79" t="s">
        <v>37</v>
      </c>
      <c r="Q33" s="79" t="s">
        <v>37</v>
      </c>
      <c r="R33" s="79" t="s">
        <v>37</v>
      </c>
      <c r="S33" s="176" t="s">
        <v>37</v>
      </c>
      <c r="T33" s="79" t="s">
        <v>37</v>
      </c>
      <c r="U33" s="30" t="s">
        <v>62</v>
      </c>
      <c r="V33" s="177">
        <v>46133</v>
      </c>
      <c r="W33" s="178" t="s">
        <v>165</v>
      </c>
      <c r="X33" s="88">
        <f>=N33</f>
        <v>0.0153</v>
      </c>
      <c r="Y33" s="89">
        <v>8107533</v>
      </c>
      <c r="Z33" s="90">
        <f>=Y33/X33*5%</f>
        <v>26495205.8823529</v>
      </c>
      <c r="AA33" s="49" t="s">
        <v>52</v>
      </c>
      <c r="AB33" s="49" t="s">
        <v>41</v>
      </c>
      <c r="AC33" s="49" t="s">
        <v>41</v>
      </c>
      <c r="AD33" s="49" t="s">
        <v>41</v>
      </c>
      <c r="AE33" s="37">
        <f>=IFERROR(T33-N33,)</f>
        <v>0</v>
      </c>
    </row>
    <row r="34" spans="1:31" s="541" customFormat="1" ht="15" customHeight="1">
      <c r="A34" s="116">
        <v>36</v>
      </c>
      <c r="B34" s="179" t="s">
        <v>42</v>
      </c>
      <c r="C34" s="180" t="s">
        <v>147</v>
      </c>
      <c r="D34" s="181" t="s">
        <v>166</v>
      </c>
      <c r="E34" s="180" t="s">
        <v>138</v>
      </c>
      <c r="F34" s="180" t="s">
        <v>167</v>
      </c>
      <c r="G34" s="180" t="s">
        <v>58</v>
      </c>
      <c r="H34" s="180" t="s">
        <v>92</v>
      </c>
      <c r="I34" s="180" t="s">
        <v>93</v>
      </c>
      <c r="J34" s="180" t="s">
        <v>168</v>
      </c>
      <c r="K34" s="182">
        <f>=EDATE(L34,-3)</f>
        <v>46081</v>
      </c>
      <c r="L34" s="183">
        <v>46172</v>
      </c>
      <c r="M34" s="184">
        <f>=EDATE(L34,3)</f>
        <v>46264</v>
      </c>
      <c r="N34" s="185">
        <v>-0.03446892</v>
      </c>
      <c r="O34" s="185">
        <v>-0.03114001</v>
      </c>
      <c r="P34" s="186" t="s">
        <v>37</v>
      </c>
      <c r="Q34" s="185">
        <v>0.094</v>
      </c>
      <c r="R34" s="186" t="s">
        <v>37</v>
      </c>
      <c r="S34" s="186">
        <v>0.1223</v>
      </c>
      <c r="T34" s="186" t="s">
        <v>37</v>
      </c>
      <c r="U34" s="30" t="s">
        <v>62</v>
      </c>
      <c r="V34" s="124">
        <v>46120</v>
      </c>
      <c r="W34" s="125" t="s">
        <v>169</v>
      </c>
      <c r="X34" s="126">
        <f>=N34</f>
        <v>-0.03446892</v>
      </c>
      <c r="Y34" s="127">
        <v>-13098524.3142746</v>
      </c>
      <c r="Z34" s="128">
        <f>=Y34/X34*5%</f>
        <v>19000485.5305513</v>
      </c>
      <c r="AA34" s="129" t="s">
        <v>52</v>
      </c>
      <c r="AB34" s="129" t="s">
        <v>52</v>
      </c>
      <c r="AC34" s="129" t="s">
        <v>52</v>
      </c>
      <c r="AD34" s="129" t="s">
        <v>41</v>
      </c>
      <c r="AE34" s="37">
        <f>=IFERROR(T34-N34,)</f>
        <v>0</v>
      </c>
    </row>
    <row r="35" spans="1:31" s="541" customFormat="1" ht="15" customHeight="1">
      <c r="A35" s="108">
        <v>37</v>
      </c>
      <c r="B35" s="187" t="s">
        <v>28</v>
      </c>
      <c r="C35" s="50" t="s">
        <v>147</v>
      </c>
      <c r="D35" s="51" t="s">
        <v>170</v>
      </c>
      <c r="E35" s="50" t="s">
        <v>31</v>
      </c>
      <c r="F35" s="50" t="s">
        <v>149</v>
      </c>
      <c r="G35" s="50" t="s">
        <v>58</v>
      </c>
      <c r="H35" s="50" t="s">
        <v>34</v>
      </c>
      <c r="I35" s="50" t="s">
        <v>35</v>
      </c>
      <c r="J35" s="50" t="s">
        <v>171</v>
      </c>
      <c r="K35" s="52">
        <f>=EDATE(L35,-3)</f>
        <v>46081</v>
      </c>
      <c r="L35" s="188">
        <v>46172</v>
      </c>
      <c r="M35" s="24">
        <f>=EDATE(L35,3)</f>
        <v>46264</v>
      </c>
      <c r="N35" s="62" t="s">
        <v>37</v>
      </c>
      <c r="O35" s="62">
        <v>0.107</v>
      </c>
      <c r="P35" s="62" t="s">
        <v>37</v>
      </c>
      <c r="Q35" s="62" t="s">
        <v>37</v>
      </c>
      <c r="R35" s="62" t="s">
        <v>37</v>
      </c>
      <c r="S35" s="62" t="s">
        <v>37</v>
      </c>
      <c r="T35" s="62" t="s">
        <v>37</v>
      </c>
      <c r="U35" s="30" t="s">
        <v>62</v>
      </c>
      <c r="V35" s="56">
        <v>46111</v>
      </c>
      <c r="W35" s="113" t="s">
        <v>172</v>
      </c>
      <c r="X35" s="88">
        <f>=O35</f>
        <v>0.107</v>
      </c>
      <c r="Y35" s="115">
        <v>10374597</v>
      </c>
      <c r="Z35" s="90">
        <f>=Y35/X35*5%</f>
        <v>4847942.52336449</v>
      </c>
      <c r="AA35" s="36" t="s">
        <v>40</v>
      </c>
      <c r="AB35" s="36" t="s">
        <v>41</v>
      </c>
      <c r="AC35" s="36" t="s">
        <v>41</v>
      </c>
      <c r="AD35" s="36" t="s">
        <v>52</v>
      </c>
      <c r="AE35" s="37">
        <f>=IFERROR(T35-N35,)</f>
        <v>0</v>
      </c>
    </row>
    <row r="36" spans="1:31" s="541" customFormat="1" ht="15" customHeight="1">
      <c r="A36" s="20">
        <v>27</v>
      </c>
      <c r="B36" s="21" t="s">
        <v>53</v>
      </c>
      <c r="C36" s="50" t="s">
        <v>64</v>
      </c>
      <c r="D36" s="51" t="s">
        <v>173</v>
      </c>
      <c r="E36" s="50" t="s">
        <v>56</v>
      </c>
      <c r="F36" s="50" t="s">
        <v>57</v>
      </c>
      <c r="G36" s="50" t="s">
        <v>58</v>
      </c>
      <c r="H36" s="50" t="s">
        <v>59</v>
      </c>
      <c r="I36" s="50" t="s">
        <v>60</v>
      </c>
      <c r="J36" s="189" t="s">
        <v>174</v>
      </c>
      <c r="K36" s="52">
        <f>=EDATE(L36,-3)</f>
        <v>46111</v>
      </c>
      <c r="L36" s="190">
        <v>46203</v>
      </c>
      <c r="M36" s="24">
        <f>=EDATE(L36,3)</f>
        <v>46295</v>
      </c>
      <c r="N36" s="191">
        <v>0.05930449</v>
      </c>
      <c r="O36" s="191">
        <v>0.06500204</v>
      </c>
      <c r="P36" s="60" t="s">
        <v>37</v>
      </c>
      <c r="Q36" s="60" t="s">
        <v>37</v>
      </c>
      <c r="R36" s="60" t="s">
        <v>37</v>
      </c>
      <c r="S36" s="60" t="s">
        <v>37</v>
      </c>
      <c r="T36" s="60" t="s">
        <v>37</v>
      </c>
      <c r="U36" s="148" t="s">
        <v>175</v>
      </c>
      <c r="V36" s="56">
        <v>46166</v>
      </c>
      <c r="W36" s="113" t="s">
        <v>176</v>
      </c>
      <c r="X36" s="88">
        <f>=N36</f>
        <v>0.05930449</v>
      </c>
      <c r="Y36" s="89">
        <v>4125220</v>
      </c>
      <c r="Z36" s="90">
        <f>=Y36/X36*5%</f>
        <v>3477999.72649626</v>
      </c>
      <c r="AA36" s="49" t="s">
        <v>52</v>
      </c>
      <c r="AB36" s="49" t="s">
        <v>41</v>
      </c>
      <c r="AC36" s="49" t="s">
        <v>41</v>
      </c>
      <c r="AD36" s="49" t="s">
        <v>41</v>
      </c>
      <c r="AE36" s="37">
        <f>=IFERROR(T36-N36,)</f>
        <v>0</v>
      </c>
    </row>
    <row r="37" spans="1:31" s="541" customFormat="1">
      <c r="A37" s="192">
        <v>38</v>
      </c>
      <c r="B37" s="193" t="s">
        <v>42</v>
      </c>
      <c r="C37" s="194" t="s">
        <v>151</v>
      </c>
      <c r="D37" s="195" t="s">
        <v>177</v>
      </c>
      <c r="E37" s="194" t="s">
        <v>138</v>
      </c>
      <c r="F37" s="196" t="s">
        <v>154</v>
      </c>
      <c r="G37" s="196" t="s">
        <v>33</v>
      </c>
      <c r="H37" s="194" t="s">
        <v>92</v>
      </c>
      <c r="I37" s="194" t="s">
        <v>93</v>
      </c>
      <c r="J37" s="194" t="s">
        <v>155</v>
      </c>
      <c r="K37" s="197">
        <f>=EDATE(L37,-3)</f>
        <v>46111</v>
      </c>
      <c r="L37" s="198">
        <v>46203</v>
      </c>
      <c r="M37" s="199">
        <f>=EDATE(L37,3)</f>
        <v>46295</v>
      </c>
      <c r="N37" s="200">
        <v>0.01019386</v>
      </c>
      <c r="O37" s="201">
        <v>0.0312</v>
      </c>
      <c r="P37" s="201" t="s">
        <v>37</v>
      </c>
      <c r="Q37" s="201">
        <v>0.1217</v>
      </c>
      <c r="R37" s="201" t="s">
        <v>37</v>
      </c>
      <c r="S37" s="201" t="s">
        <v>37</v>
      </c>
      <c r="T37" s="201" t="s">
        <v>37</v>
      </c>
      <c r="U37" s="202" t="s">
        <v>38</v>
      </c>
      <c r="V37" s="203" t="s"/>
      <c r="W37" s="204" t="s">
        <v>125</v>
      </c>
      <c r="X37" s="205">
        <f>=N37</f>
        <v>0.01019386</v>
      </c>
      <c r="Y37" s="206">
        <v>5810822.97010306</v>
      </c>
      <c r="Z37" s="207">
        <f>=Y37/X37*5%</f>
        <v>28501583.1593874</v>
      </c>
      <c r="AA37" s="208" t="s">
        <v>52</v>
      </c>
      <c r="AB37" s="208" t="s">
        <v>52</v>
      </c>
      <c r="AC37" s="208" t="s">
        <v>41</v>
      </c>
      <c r="AD37" s="208" t="s">
        <v>41</v>
      </c>
      <c r="AE37" s="37">
        <f>=IFERROR(T37-N37,)</f>
        <v>0</v>
      </c>
    </row>
    <row r="38" spans="1:31" s="543" customFormat="1">
      <c r="A38" s="209">
        <v>39</v>
      </c>
      <c r="B38" s="210" t="s">
        <v>42</v>
      </c>
      <c r="C38" s="211" t="s">
        <v>178</v>
      </c>
      <c r="D38" s="212" t="s">
        <v>179</v>
      </c>
      <c r="E38" s="211" t="s">
        <v>180</v>
      </c>
      <c r="F38" s="211" t="s">
        <v>46</v>
      </c>
      <c r="G38" s="211" t="s">
        <v>47</v>
      </c>
      <c r="H38" s="211" t="s">
        <v>48</v>
      </c>
      <c r="I38" s="211" t="s">
        <v>49</v>
      </c>
      <c r="J38" s="211" t="s">
        <v>181</v>
      </c>
      <c r="K38" s="213">
        <f>=EDATE(L38,-3)</f>
        <v>46111</v>
      </c>
      <c r="L38" s="214">
        <v>46203</v>
      </c>
      <c r="M38" s="215">
        <f>=EDATE(L38,3)</f>
        <v>46295</v>
      </c>
      <c r="N38" s="216">
        <v>0.0546</v>
      </c>
      <c r="O38" s="216">
        <v>0.0546</v>
      </c>
      <c r="P38" s="217" t="s">
        <v>37</v>
      </c>
      <c r="Q38" s="217" t="s">
        <v>37</v>
      </c>
      <c r="R38" s="217" t="s">
        <v>37</v>
      </c>
      <c r="S38" s="217" t="s">
        <v>37</v>
      </c>
      <c r="T38" s="217" t="s">
        <v>37</v>
      </c>
      <c r="U38" s="30" t="s">
        <v>175</v>
      </c>
      <c r="V38" s="56" t="s">
        <v>124</v>
      </c>
      <c r="W38" s="113" t="s">
        <v>182</v>
      </c>
      <c r="X38" s="218">
        <f>=N38</f>
        <v>0.0546</v>
      </c>
      <c r="Y38" s="219">
        <v>74397.506181</v>
      </c>
      <c r="Z38" s="220">
        <f>=Y38/X38*5%</f>
        <v>68129.5844148352</v>
      </c>
      <c r="AA38" s="49" t="s">
        <v>52</v>
      </c>
      <c r="AB38" s="49" t="s">
        <v>41</v>
      </c>
      <c r="AC38" s="49" t="s">
        <v>41</v>
      </c>
      <c r="AD38" s="49" t="s">
        <v>41</v>
      </c>
      <c r="AE38" s="37">
        <f>=IFERROR(T38-N38,)</f>
        <v>0</v>
      </c>
    </row>
    <row r="39" spans="1:31" s="541" customFormat="1">
      <c r="A39" s="58">
        <v>40</v>
      </c>
      <c r="B39" s="21" t="s">
        <v>28</v>
      </c>
      <c r="C39" s="50" t="s">
        <v>64</v>
      </c>
      <c r="D39" s="51" t="s">
        <v>183</v>
      </c>
      <c r="E39" s="50" t="s">
        <v>31</v>
      </c>
      <c r="F39" s="50" t="s">
        <v>66</v>
      </c>
      <c r="G39" s="50" t="s">
        <v>47</v>
      </c>
      <c r="H39" s="50" t="s">
        <v>34</v>
      </c>
      <c r="I39" s="50" t="s">
        <v>35</v>
      </c>
      <c r="J39" s="50" t="s">
        <v>67</v>
      </c>
      <c r="K39" s="52">
        <f>=EDATE(L39,-3)</f>
        <v>46111</v>
      </c>
      <c r="L39" s="188">
        <v>46203</v>
      </c>
      <c r="M39" s="24">
        <f>=EDATE(L39,3)</f>
        <v>46295</v>
      </c>
      <c r="N39" s="62" t="s">
        <v>37</v>
      </c>
      <c r="O39" s="62">
        <v>0.008</v>
      </c>
      <c r="P39" s="62" t="s">
        <v>37</v>
      </c>
      <c r="Q39" s="62" t="s">
        <v>37</v>
      </c>
      <c r="R39" s="62" t="s">
        <v>37</v>
      </c>
      <c r="S39" s="62" t="s">
        <v>37</v>
      </c>
      <c r="T39" s="62" t="s">
        <v>37</v>
      </c>
      <c r="U39" s="30" t="s">
        <v>175</v>
      </c>
      <c r="V39" s="56" t="s">
        <v>124</v>
      </c>
      <c r="W39" s="113" t="s">
        <v>184</v>
      </c>
      <c r="X39" s="88">
        <f>=O39</f>
        <v>0.008</v>
      </c>
      <c r="Y39" s="115">
        <v>290507</v>
      </c>
      <c r="Z39" s="90">
        <f>=Y39/X39*5%</f>
        <v>1815668.75</v>
      </c>
      <c r="AA39" s="36" t="s">
        <v>40</v>
      </c>
      <c r="AB39" s="36" t="s">
        <v>41</v>
      </c>
      <c r="AC39" s="36" t="s">
        <v>41</v>
      </c>
      <c r="AD39" s="36" t="s">
        <v>41</v>
      </c>
      <c r="AE39" s="37">
        <f>=IFERROR(T39-N39,)</f>
        <v>0</v>
      </c>
    </row>
    <row r="40" spans="1:31" s="545" customFormat="1">
      <c r="A40" s="74">
        <v>41</v>
      </c>
      <c r="B40" s="21" t="s">
        <v>53</v>
      </c>
      <c r="C40" s="50" t="s">
        <v>64</v>
      </c>
      <c r="D40" s="51" t="s">
        <v>185</v>
      </c>
      <c r="E40" s="50" t="s">
        <v>56</v>
      </c>
      <c r="F40" s="50" t="s">
        <v>57</v>
      </c>
      <c r="G40" s="50" t="s">
        <v>58</v>
      </c>
      <c r="H40" s="50" t="s">
        <v>59</v>
      </c>
      <c r="I40" s="50" t="s">
        <v>60</v>
      </c>
      <c r="J40" s="221" t="s">
        <v>186</v>
      </c>
      <c r="K40" s="52">
        <f>=EDATE(L40,-3)</f>
        <v>46111</v>
      </c>
      <c r="L40" s="188">
        <v>46203</v>
      </c>
      <c r="M40" s="24">
        <f>=EDATE(L40,3)</f>
        <v>46295</v>
      </c>
      <c r="N40" s="54">
        <v>0.07029932</v>
      </c>
      <c r="O40" s="54">
        <v>0.08102189</v>
      </c>
      <c r="P40" s="55" t="s">
        <v>37</v>
      </c>
      <c r="Q40" s="55" t="s">
        <v>37</v>
      </c>
      <c r="R40" s="55" t="s">
        <v>37</v>
      </c>
      <c r="S40" s="55" t="s">
        <v>37</v>
      </c>
      <c r="T40" s="55" t="s">
        <v>37</v>
      </c>
      <c r="U40" s="30" t="s">
        <v>175</v>
      </c>
      <c r="V40" s="222" t="s">
        <v>124</v>
      </c>
      <c r="W40" s="223" t="s">
        <v>187</v>
      </c>
      <c r="X40" s="224">
        <f>=N40</f>
        <v>0.07029932</v>
      </c>
      <c r="Y40" s="225">
        <v>689235.27</v>
      </c>
      <c r="Z40" s="226">
        <f>=Y40/X40*5%</f>
        <v>490214.748876661</v>
      </c>
      <c r="AA40" s="227" t="s">
        <v>52</v>
      </c>
      <c r="AB40" s="227" t="s">
        <v>41</v>
      </c>
      <c r="AC40" s="227" t="s">
        <v>41</v>
      </c>
      <c r="AD40" s="227" t="s">
        <v>41</v>
      </c>
      <c r="AE40" s="228">
        <f>=IFERROR(T40-N40,)</f>
        <v>0</v>
      </c>
    </row>
    <row r="41" spans="1:31" s="546" customFormat="1">
      <c r="A41" s="20">
        <v>42</v>
      </c>
      <c r="B41" s="21" t="s">
        <v>53</v>
      </c>
      <c r="C41" s="50" t="s">
        <v>64</v>
      </c>
      <c r="D41" s="51" t="s">
        <v>188</v>
      </c>
      <c r="E41" s="50" t="s">
        <v>56</v>
      </c>
      <c r="F41" s="50" t="s">
        <v>57</v>
      </c>
      <c r="G41" s="50" t="s">
        <v>58</v>
      </c>
      <c r="H41" s="50" t="s">
        <v>59</v>
      </c>
      <c r="I41" s="50" t="s">
        <v>60</v>
      </c>
      <c r="J41" s="229" t="s">
        <v>174</v>
      </c>
      <c r="K41" s="52">
        <f>=EDATE(L41,-3)</f>
        <v>46111</v>
      </c>
      <c r="L41" s="188">
        <v>46203</v>
      </c>
      <c r="M41" s="24">
        <f>=EDATE(L41,3)</f>
        <v>46295</v>
      </c>
      <c r="N41" s="191">
        <v>0.04550603</v>
      </c>
      <c r="O41" s="191">
        <v>0.01893337</v>
      </c>
      <c r="P41" s="60" t="s">
        <v>37</v>
      </c>
      <c r="Q41" s="60" t="s">
        <v>37</v>
      </c>
      <c r="R41" s="60" t="s">
        <v>37</v>
      </c>
      <c r="S41" s="60" t="s">
        <v>37</v>
      </c>
      <c r="T41" s="60" t="s">
        <v>37</v>
      </c>
      <c r="U41" s="30" t="s">
        <v>175</v>
      </c>
      <c r="V41" s="222" t="s">
        <v>124</v>
      </c>
      <c r="W41" s="230" t="s">
        <v>187</v>
      </c>
      <c r="X41" s="224">
        <f>=N41</f>
        <v>0.04550603</v>
      </c>
      <c r="Y41" s="225">
        <v>541946.85</v>
      </c>
      <c r="Z41" s="226">
        <f>=Y41/X41*5%</f>
        <v>595467.073264796</v>
      </c>
      <c r="AA41" s="227" t="s">
        <v>52</v>
      </c>
      <c r="AB41" s="227" t="s">
        <v>41</v>
      </c>
      <c r="AC41" s="227" t="s">
        <v>41</v>
      </c>
      <c r="AD41" s="227" t="s">
        <v>41</v>
      </c>
      <c r="AE41" s="228">
        <f>=IFERROR(T41-N41,)</f>
        <v>0</v>
      </c>
    </row>
    <row r="42" spans="1:31" s="541" customFormat="1">
      <c r="A42" s="20">
        <v>45</v>
      </c>
      <c r="B42" s="21" t="s">
        <v>53</v>
      </c>
      <c r="C42" s="50" t="s">
        <v>78</v>
      </c>
      <c r="D42" s="51" t="s">
        <v>189</v>
      </c>
      <c r="E42" s="50" t="s">
        <v>56</v>
      </c>
      <c r="F42" s="50" t="s">
        <v>57</v>
      </c>
      <c r="G42" s="50" t="s">
        <v>58</v>
      </c>
      <c r="H42" s="50" t="s">
        <v>59</v>
      </c>
      <c r="I42" s="50" t="s">
        <v>60</v>
      </c>
      <c r="J42" s="50" t="s">
        <v>80</v>
      </c>
      <c r="K42" s="52">
        <f>=EDATE(L42,-3)</f>
        <v>46111</v>
      </c>
      <c r="L42" s="188">
        <v>46203</v>
      </c>
      <c r="M42" s="24">
        <f>=EDATE(L42,3)</f>
        <v>46295</v>
      </c>
      <c r="N42" s="191">
        <v>0.03259008</v>
      </c>
      <c r="O42" s="191">
        <v>0.03434035</v>
      </c>
      <c r="P42" s="60" t="s">
        <v>37</v>
      </c>
      <c r="Q42" s="60" t="s">
        <v>37</v>
      </c>
      <c r="R42" s="60" t="s">
        <v>37</v>
      </c>
      <c r="S42" s="60" t="s">
        <v>37</v>
      </c>
      <c r="T42" s="60" t="s">
        <v>37</v>
      </c>
      <c r="U42" s="30" t="s">
        <v>175</v>
      </c>
      <c r="V42" s="56" t="s">
        <v>124</v>
      </c>
      <c r="W42" s="61" t="s">
        <v>190</v>
      </c>
      <c r="X42" s="88">
        <f>=N42</f>
        <v>0.03259008</v>
      </c>
      <c r="Y42" s="89">
        <v>397481.36</v>
      </c>
      <c r="Z42" s="90">
        <f>=Y42/X42*5%</f>
        <v>609819.552452771</v>
      </c>
      <c r="AA42" s="49" t="s">
        <v>52</v>
      </c>
      <c r="AB42" s="49" t="s">
        <v>41</v>
      </c>
      <c r="AC42" s="49" t="s">
        <v>41</v>
      </c>
      <c r="AD42" s="49" t="s">
        <v>41</v>
      </c>
      <c r="AE42" s="37">
        <f>=IFERROR(T42-N42,)</f>
        <v>0</v>
      </c>
    </row>
    <row r="43" spans="1:31" s="541" customFormat="1">
      <c r="A43" s="58">
        <v>46</v>
      </c>
      <c r="B43" s="21" t="s">
        <v>28</v>
      </c>
      <c r="C43" s="78" t="s">
        <v>29</v>
      </c>
      <c r="D43" s="111" t="s">
        <v>191</v>
      </c>
      <c r="E43" s="78" t="s">
        <v>31</v>
      </c>
      <c r="F43" s="78" t="s">
        <v>32</v>
      </c>
      <c r="G43" s="78" t="s">
        <v>33</v>
      </c>
      <c r="H43" s="78" t="s">
        <v>34</v>
      </c>
      <c r="I43" s="78" t="s">
        <v>35</v>
      </c>
      <c r="J43" s="78" t="s">
        <v>36</v>
      </c>
      <c r="K43" s="24">
        <f>=EDATE(L43,-3)</f>
        <v>46111</v>
      </c>
      <c r="L43" s="188">
        <v>46203</v>
      </c>
      <c r="M43" s="24">
        <f>=EDATE(L43,3)</f>
        <v>46295</v>
      </c>
      <c r="N43" s="231">
        <v>0.078</v>
      </c>
      <c r="O43" s="232" t="s">
        <v>37</v>
      </c>
      <c r="P43" s="231" t="s">
        <v>37</v>
      </c>
      <c r="Q43" s="231" t="s">
        <v>37</v>
      </c>
      <c r="R43" s="231" t="s">
        <v>37</v>
      </c>
      <c r="S43" s="231" t="s">
        <v>37</v>
      </c>
      <c r="T43" s="231" t="s">
        <v>37</v>
      </c>
      <c r="U43" s="30" t="s">
        <v>175</v>
      </c>
      <c r="V43" s="233" t="s">
        <v>124</v>
      </c>
      <c r="W43" s="81" t="s">
        <v>184</v>
      </c>
      <c r="X43" s="88">
        <f>=N43</f>
        <v>0.078</v>
      </c>
      <c r="Y43" s="115">
        <v>4663340</v>
      </c>
      <c r="Z43" s="90">
        <f>=Y43/X43*5%</f>
        <v>2989320.51282051</v>
      </c>
      <c r="AA43" s="36" t="s">
        <v>40</v>
      </c>
      <c r="AB43" s="36" t="s">
        <v>41</v>
      </c>
      <c r="AC43" s="36" t="s">
        <v>41</v>
      </c>
      <c r="AD43" s="36" t="s">
        <v>41</v>
      </c>
      <c r="AE43" s="37">
        <f>=IFERROR(T43-N43,)</f>
        <v>0</v>
      </c>
    </row>
    <row r="44" spans="1:31" s="541" customFormat="1">
      <c r="A44" s="78">
        <v>47</v>
      </c>
      <c r="B44" s="21" t="s">
        <v>53</v>
      </c>
      <c r="C44" s="50" t="s">
        <v>192</v>
      </c>
      <c r="D44" s="51" t="s">
        <v>193</v>
      </c>
      <c r="E44" s="50" t="s">
        <v>56</v>
      </c>
      <c r="F44" s="50" t="s">
        <v>57</v>
      </c>
      <c r="G44" s="50" t="s">
        <v>58</v>
      </c>
      <c r="H44" s="50" t="s">
        <v>59</v>
      </c>
      <c r="I44" s="50" t="s">
        <v>60</v>
      </c>
      <c r="J44" s="234" t="s">
        <v>194</v>
      </c>
      <c r="K44" s="24">
        <f>=EDATE(L44,-3)</f>
        <v>46111</v>
      </c>
      <c r="L44" s="235">
        <v>46203</v>
      </c>
      <c r="M44" s="24">
        <f>=EDATE(L44,3)</f>
        <v>46295</v>
      </c>
      <c r="N44" s="191">
        <v>0.02862938</v>
      </c>
      <c r="O44" s="54">
        <v>0.02907649</v>
      </c>
      <c r="P44" s="191">
        <v>0.03320951</v>
      </c>
      <c r="Q44" s="60" t="s">
        <v>37</v>
      </c>
      <c r="R44" s="60" t="s">
        <v>37</v>
      </c>
      <c r="S44" s="60">
        <v>0.0664</v>
      </c>
      <c r="T44" s="60" t="s">
        <v>37</v>
      </c>
      <c r="U44" s="236" t="s">
        <v>175</v>
      </c>
      <c r="V44" s="56" t="s">
        <v>124</v>
      </c>
      <c r="W44" s="61" t="s">
        <v>195</v>
      </c>
      <c r="X44" s="88">
        <f>=N44</f>
        <v>0.02862938</v>
      </c>
      <c r="Y44" s="89">
        <v>1377359.45</v>
      </c>
      <c r="Z44" s="90">
        <f>=Y44/X44*5%</f>
        <v>2405499.96192722</v>
      </c>
      <c r="AA44" s="49" t="s">
        <v>52</v>
      </c>
      <c r="AB44" s="49" t="s">
        <v>41</v>
      </c>
      <c r="AC44" s="36" t="s">
        <v>40</v>
      </c>
      <c r="AD44" s="49" t="s">
        <v>41</v>
      </c>
      <c r="AE44" s="37">
        <f>=IFERROR(T44-N44,)</f>
        <v>0</v>
      </c>
    </row>
    <row r="45" spans="1:31" s="541" customFormat="1">
      <c r="A45" s="237">
        <v>50</v>
      </c>
      <c r="B45" s="238" t="s">
        <v>196</v>
      </c>
      <c r="C45" s="116" t="s">
        <v>197</v>
      </c>
      <c r="D45" s="118" t="s">
        <v>198</v>
      </c>
      <c r="E45" s="116" t="s">
        <v>153</v>
      </c>
      <c r="F45" s="116" t="s">
        <v>154</v>
      </c>
      <c r="G45" s="116" t="s">
        <v>33</v>
      </c>
      <c r="H45" s="116" t="s">
        <v>92</v>
      </c>
      <c r="I45" s="116" t="s">
        <v>93</v>
      </c>
      <c r="J45" s="116" t="s">
        <v>199</v>
      </c>
      <c r="K45" s="119">
        <f>=EDATE(L45,-3)</f>
        <v>46142</v>
      </c>
      <c r="L45" s="239">
        <v>46233</v>
      </c>
      <c r="M45" s="119">
        <f>=EDATE(L45,3)</f>
        <v>46325</v>
      </c>
      <c r="N45" s="122">
        <v>-0.25893284</v>
      </c>
      <c r="O45" s="122">
        <v>-0.13127251</v>
      </c>
      <c r="P45" s="121" t="s">
        <v>37</v>
      </c>
      <c r="Q45" s="121" t="s">
        <v>37</v>
      </c>
      <c r="R45" s="121" t="s">
        <v>37</v>
      </c>
      <c r="S45" s="121" t="s">
        <v>37</v>
      </c>
      <c r="T45" s="121" t="s">
        <v>37</v>
      </c>
      <c r="U45" s="30" t="s">
        <v>200</v>
      </c>
      <c r="V45" s="124" t="s">
        <v>124</v>
      </c>
      <c r="W45" s="240" t="s">
        <v>201</v>
      </c>
      <c r="X45" s="88">
        <f>=N45</f>
        <v>-0.25893284</v>
      </c>
      <c r="Y45" s="89">
        <v>-95704009.100125</v>
      </c>
      <c r="Z45" s="90">
        <f>=Y45/X45*5%</f>
        <v>18480469.5109599</v>
      </c>
      <c r="AA45" s="49" t="s">
        <v>52</v>
      </c>
      <c r="AB45" s="49" t="s">
        <v>41</v>
      </c>
      <c r="AC45" s="49" t="s">
        <v>41</v>
      </c>
      <c r="AD45" s="49" t="s">
        <v>41</v>
      </c>
      <c r="AE45" s="37">
        <f>=IFERROR(T45-N45,)</f>
        <v>0</v>
      </c>
    </row>
    <row r="46" spans="1:31" s="541" customFormat="1">
      <c r="A46" s="74">
        <v>51</v>
      </c>
      <c r="B46" s="241" t="s">
        <v>42</v>
      </c>
      <c r="C46" s="242" t="s">
        <v>202</v>
      </c>
      <c r="D46" s="243" t="s">
        <v>203</v>
      </c>
      <c r="E46" s="242" t="s">
        <v>180</v>
      </c>
      <c r="F46" s="242" t="s">
        <v>46</v>
      </c>
      <c r="G46" s="242" t="s">
        <v>47</v>
      </c>
      <c r="H46" s="242" t="s">
        <v>48</v>
      </c>
      <c r="I46" s="242" t="s">
        <v>49</v>
      </c>
      <c r="J46" s="242" t="s">
        <v>204</v>
      </c>
      <c r="K46" s="244">
        <f>=EDATE(L46,-3)</f>
        <v>46142</v>
      </c>
      <c r="L46" s="245">
        <v>46233</v>
      </c>
      <c r="M46" s="24">
        <f>=EDATE(L46,3)</f>
        <v>46325</v>
      </c>
      <c r="N46" s="246">
        <v>0.0816</v>
      </c>
      <c r="O46" s="247">
        <v>0.08163198</v>
      </c>
      <c r="P46" s="246" t="s">
        <v>37</v>
      </c>
      <c r="Q46" s="246" t="s">
        <v>37</v>
      </c>
      <c r="R46" s="246" t="s">
        <v>37</v>
      </c>
      <c r="S46" s="246" t="s">
        <v>37</v>
      </c>
      <c r="T46" s="246" t="s">
        <v>37</v>
      </c>
      <c r="U46" s="30" t="s">
        <v>200</v>
      </c>
      <c r="V46" s="248" t="s">
        <v>124</v>
      </c>
      <c r="W46" s="249" t="s"/>
      <c r="X46" s="88">
        <f>=N46</f>
        <v>0.0816</v>
      </c>
      <c r="Y46" s="89">
        <v>848081.82365101</v>
      </c>
      <c r="Z46" s="90">
        <f>=Y46/X46*5%</f>
        <v>519657.980178315</v>
      </c>
      <c r="AA46" s="49" t="s">
        <v>52</v>
      </c>
      <c r="AB46" s="49" t="s">
        <v>41</v>
      </c>
      <c r="AC46" s="49" t="s">
        <v>41</v>
      </c>
      <c r="AD46" s="49" t="s">
        <v>41</v>
      </c>
      <c r="AE46" s="37">
        <f>=IFERROR(T46-N46,)</f>
        <v>0</v>
      </c>
    </row>
    <row r="47" spans="1:31" s="541" customFormat="1">
      <c r="A47" s="74">
        <v>52</v>
      </c>
      <c r="B47" s="241" t="s">
        <v>53</v>
      </c>
      <c r="C47" s="242" t="s">
        <v>205</v>
      </c>
      <c r="D47" s="243" t="s">
        <v>206</v>
      </c>
      <c r="E47" s="242" t="s">
        <v>56</v>
      </c>
      <c r="F47" s="242" t="s">
        <v>57</v>
      </c>
      <c r="G47" s="242" t="s">
        <v>58</v>
      </c>
      <c r="H47" s="242" t="s">
        <v>59</v>
      </c>
      <c r="I47" s="242" t="s">
        <v>60</v>
      </c>
      <c r="J47" s="229" t="s">
        <v>80</v>
      </c>
      <c r="K47" s="244">
        <f>=EDATE(L47,-3)</f>
        <v>46142</v>
      </c>
      <c r="L47" s="245">
        <v>46233</v>
      </c>
      <c r="M47" s="24">
        <f>=EDATE(L47,3)</f>
        <v>46325</v>
      </c>
      <c r="N47" s="250">
        <v>0.01069877</v>
      </c>
      <c r="O47" s="251">
        <v>0.0111503</v>
      </c>
      <c r="P47" s="250" t="s">
        <v>37</v>
      </c>
      <c r="Q47" s="250" t="s">
        <v>37</v>
      </c>
      <c r="R47" s="250" t="s">
        <v>37</v>
      </c>
      <c r="S47" s="250" t="s">
        <v>37</v>
      </c>
      <c r="T47" s="250" t="s">
        <v>37</v>
      </c>
      <c r="U47" s="30" t="s">
        <v>200</v>
      </c>
      <c r="V47" s="248" t="s">
        <v>124</v>
      </c>
      <c r="W47" s="32" t="s">
        <v>182</v>
      </c>
      <c r="X47" s="88">
        <f>=N47</f>
        <v>0.01069877</v>
      </c>
      <c r="Y47" s="89">
        <v>107795.71</v>
      </c>
      <c r="Z47" s="90">
        <f>=Y47/X47*5%</f>
        <v>503776.181747996</v>
      </c>
      <c r="AA47" s="49" t="s">
        <v>52</v>
      </c>
      <c r="AB47" s="49" t="s">
        <v>41</v>
      </c>
      <c r="AC47" s="49" t="s">
        <v>41</v>
      </c>
      <c r="AD47" s="49" t="s">
        <v>41</v>
      </c>
      <c r="AE47" s="37">
        <f>=IFERROR(T47-N47,)</f>
        <v>0</v>
      </c>
    </row>
    <row r="48" spans="1:31" s="541" customFormat="1">
      <c r="A48" s="74">
        <v>128</v>
      </c>
      <c r="B48" s="230" t="s">
        <v>53</v>
      </c>
      <c r="C48" s="82" t="s">
        <v>64</v>
      </c>
      <c r="D48" s="252" t="s">
        <v>207</v>
      </c>
      <c r="E48" s="82" t="s">
        <v>56</v>
      </c>
      <c r="F48" s="82" t="s">
        <v>57</v>
      </c>
      <c r="G48" s="253" t="s">
        <v>58</v>
      </c>
      <c r="H48" s="82" t="s">
        <v>59</v>
      </c>
      <c r="I48" s="82" t="s">
        <v>60</v>
      </c>
      <c r="J48" s="82" t="s">
        <v>174</v>
      </c>
      <c r="K48" s="254">
        <f>=EDATE(L48,-3)</f>
        <v>46157</v>
      </c>
      <c r="L48" s="245">
        <v>46249</v>
      </c>
      <c r="M48" s="255">
        <f>=EDATE(L48,3)</f>
        <v>46341</v>
      </c>
      <c r="N48" s="256" t="s">
        <v>37</v>
      </c>
      <c r="O48" s="257">
        <v>0.0561</v>
      </c>
      <c r="P48" s="256" t="s">
        <v>37</v>
      </c>
      <c r="Q48" s="258" t="s">
        <v>37</v>
      </c>
      <c r="R48" s="258" t="s">
        <v>37</v>
      </c>
      <c r="S48" s="258" t="s">
        <v>37</v>
      </c>
      <c r="T48" s="258" t="s">
        <v>37</v>
      </c>
      <c r="U48" s="259" t="s">
        <v>200</v>
      </c>
      <c r="V48" s="248" t="s">
        <v>124</v>
      </c>
      <c r="W48" s="32" t="s">
        <v>182</v>
      </c>
      <c r="X48" s="88">
        <f>=O48</f>
        <v>0.0561</v>
      </c>
      <c r="Y48" s="89">
        <v>1087577.43</v>
      </c>
      <c r="Z48" s="90">
        <f>=Y48/X48*5%</f>
        <v>969320.347593583</v>
      </c>
      <c r="AA48" s="49" t="s">
        <v>52</v>
      </c>
      <c r="AB48" s="49" t="s">
        <v>41</v>
      </c>
      <c r="AC48" s="49" t="s">
        <v>41</v>
      </c>
      <c r="AD48" s="49" t="s">
        <v>41</v>
      </c>
      <c r="AE48" s="37">
        <f>=IFERROR(T48-N48,)</f>
        <v>0</v>
      </c>
    </row>
    <row r="49" spans="1:31" s="541" customFormat="1">
      <c r="A49" s="108">
        <v>132</v>
      </c>
      <c r="B49" s="81" t="s">
        <v>53</v>
      </c>
      <c r="C49" s="82" t="s">
        <v>64</v>
      </c>
      <c r="D49" s="252" t="s">
        <v>208</v>
      </c>
      <c r="E49" s="82" t="s">
        <v>56</v>
      </c>
      <c r="F49" s="82" t="s">
        <v>57</v>
      </c>
      <c r="G49" s="82" t="s">
        <v>58</v>
      </c>
      <c r="H49" s="82" t="s">
        <v>59</v>
      </c>
      <c r="I49" s="82" t="s">
        <v>60</v>
      </c>
      <c r="J49" s="260" t="s">
        <v>174</v>
      </c>
      <c r="K49" s="254">
        <f>=EDATE(L49,-3)</f>
        <v>46157</v>
      </c>
      <c r="L49" s="245">
        <v>46249</v>
      </c>
      <c r="M49" s="255">
        <f>=EDATE(L49,3)</f>
        <v>46341</v>
      </c>
      <c r="N49" s="258" t="s">
        <v>37</v>
      </c>
      <c r="O49" s="257">
        <v>0.0293</v>
      </c>
      <c r="P49" s="258" t="s">
        <v>37</v>
      </c>
      <c r="Q49" s="258" t="s">
        <v>37</v>
      </c>
      <c r="R49" s="258" t="s">
        <v>37</v>
      </c>
      <c r="S49" s="258" t="s">
        <v>37</v>
      </c>
      <c r="T49" s="258" t="s">
        <v>37</v>
      </c>
      <c r="U49" s="261" t="s">
        <v>200</v>
      </c>
      <c r="V49" s="248" t="s">
        <v>124</v>
      </c>
      <c r="W49" s="32" t="s">
        <v>182</v>
      </c>
      <c r="X49" s="262">
        <f>=O49</f>
        <v>0.0293</v>
      </c>
      <c r="Y49" s="263">
        <v>1054643.82</v>
      </c>
      <c r="Z49" s="90">
        <f>=Y49/X49*5%</f>
        <v>1799733.48122867</v>
      </c>
      <c r="AA49" s="49" t="s">
        <v>52</v>
      </c>
      <c r="AB49" s="49" t="s">
        <v>41</v>
      </c>
      <c r="AC49" s="49" t="s">
        <v>41</v>
      </c>
      <c r="AD49" s="49" t="s">
        <v>41</v>
      </c>
      <c r="AE49" s="37">
        <f>=IFERROR(T49-N49,)</f>
        <v>0</v>
      </c>
    </row>
    <row r="50" spans="1:31" s="541" customFormat="1">
      <c r="A50" s="264">
        <v>53</v>
      </c>
      <c r="B50" s="81" t="s">
        <v>86</v>
      </c>
      <c r="C50" s="82" t="s">
        <v>209</v>
      </c>
      <c r="D50" s="252" t="s">
        <v>210</v>
      </c>
      <c r="E50" s="82" t="s">
        <v>138</v>
      </c>
      <c r="F50" s="82" t="s">
        <v>162</v>
      </c>
      <c r="G50" s="82" t="s">
        <v>91</v>
      </c>
      <c r="H50" s="82" t="s">
        <v>92</v>
      </c>
      <c r="I50" s="82" t="s">
        <v>93</v>
      </c>
      <c r="J50" s="82" t="s">
        <v>211</v>
      </c>
      <c r="K50" s="244">
        <f>=EDATE(L50,-3)</f>
        <v>46166</v>
      </c>
      <c r="L50" s="245">
        <v>46258</v>
      </c>
      <c r="M50" s="24">
        <f>=EDATE(L50,3)</f>
        <v>46350</v>
      </c>
      <c r="N50" s="258">
        <v>-0.4423</v>
      </c>
      <c r="O50" s="265">
        <v>-0.4027</v>
      </c>
      <c r="P50" s="258">
        <v>-0.2544</v>
      </c>
      <c r="Q50" s="258" t="s">
        <v>37</v>
      </c>
      <c r="R50" s="258" t="s">
        <v>37</v>
      </c>
      <c r="S50" s="258" t="s">
        <v>37</v>
      </c>
      <c r="T50" s="258" t="s">
        <v>37</v>
      </c>
      <c r="U50" s="30" t="s">
        <v>200</v>
      </c>
      <c r="V50" s="248" t="s"/>
      <c r="W50" s="266" t="s">
        <v>212</v>
      </c>
      <c r="X50" s="88">
        <f>=N50</f>
        <v>-0.4423</v>
      </c>
      <c r="Y50" s="89">
        <v>-47301309.0433984</v>
      </c>
      <c r="Z50" s="90">
        <f>=Y50/X50*5%</f>
        <v>5347197.49529713</v>
      </c>
      <c r="AA50" s="49" t="s">
        <v>52</v>
      </c>
      <c r="AB50" s="49" t="s">
        <v>52</v>
      </c>
      <c r="AC50" s="49" t="s">
        <v>41</v>
      </c>
      <c r="AD50" s="49" t="s">
        <v>41</v>
      </c>
      <c r="AE50" s="37">
        <f>=IFERROR(T50-N50,)</f>
        <v>0</v>
      </c>
    </row>
    <row r="51" spans="1:31" s="547" customFormat="1">
      <c r="A51" s="58">
        <v>33</v>
      </c>
      <c r="B51" s="21" t="s">
        <v>53</v>
      </c>
      <c r="C51" s="50" t="s">
        <v>54</v>
      </c>
      <c r="D51" s="51" t="s">
        <v>213</v>
      </c>
      <c r="E51" s="50" t="s">
        <v>56</v>
      </c>
      <c r="F51" s="50" t="s">
        <v>57</v>
      </c>
      <c r="G51" s="50" t="s">
        <v>58</v>
      </c>
      <c r="H51" s="50" t="s">
        <v>59</v>
      </c>
      <c r="I51" s="50" t="s">
        <v>60</v>
      </c>
      <c r="J51" s="267" t="s">
        <v>61</v>
      </c>
      <c r="K51" s="52">
        <f>=EDATE(L51,-3)</f>
        <v>46172</v>
      </c>
      <c r="L51" s="268">
        <v>46264</v>
      </c>
      <c r="M51" s="24">
        <f>=EDATE(L51,3)</f>
        <v>46356</v>
      </c>
      <c r="N51" s="269">
        <v>0.02154596</v>
      </c>
      <c r="O51" s="269">
        <v>0.0422</v>
      </c>
      <c r="P51" s="69" t="s">
        <v>37</v>
      </c>
      <c r="Q51" s="69" t="s">
        <v>37</v>
      </c>
      <c r="R51" s="69">
        <v>-0.0897</v>
      </c>
      <c r="S51" s="69" t="s">
        <v>37</v>
      </c>
      <c r="T51" s="69" t="s">
        <v>37</v>
      </c>
      <c r="U51" s="30" t="s">
        <v>200</v>
      </c>
      <c r="V51" s="56">
        <v>46190</v>
      </c>
      <c r="W51" s="270" t="s">
        <v>214</v>
      </c>
      <c r="X51" s="88">
        <f>=N51</f>
        <v>0.02154596</v>
      </c>
      <c r="Y51" s="89">
        <v>426773.74</v>
      </c>
      <c r="Z51" s="90">
        <f>=Y51/X51*5%</f>
        <v>990379.959862545</v>
      </c>
      <c r="AA51" s="49" t="s">
        <v>52</v>
      </c>
      <c r="AB51" s="49" t="s">
        <v>41</v>
      </c>
      <c r="AC51" s="49" t="s">
        <v>41</v>
      </c>
      <c r="AD51" s="49" t="s">
        <v>41</v>
      </c>
      <c r="AE51" s="37">
        <f>=IFERROR(T51-N51,)</f>
        <v>0</v>
      </c>
    </row>
    <row r="52" spans="1:31" s="543" customFormat="1">
      <c r="A52" s="264">
        <v>34</v>
      </c>
      <c r="B52" s="21" t="s">
        <v>53</v>
      </c>
      <c r="C52" s="50" t="s">
        <v>192</v>
      </c>
      <c r="D52" s="51" t="s">
        <v>215</v>
      </c>
      <c r="E52" s="50" t="s">
        <v>56</v>
      </c>
      <c r="F52" s="50" t="s">
        <v>57</v>
      </c>
      <c r="G52" s="50" t="s">
        <v>58</v>
      </c>
      <c r="H52" s="50" t="s">
        <v>59</v>
      </c>
      <c r="I52" s="50" t="s">
        <v>60</v>
      </c>
      <c r="J52" s="50" t="s">
        <v>61</v>
      </c>
      <c r="K52" s="52">
        <f>=EDATE(L52,-3)</f>
        <v>46172</v>
      </c>
      <c r="L52" s="84">
        <v>46264</v>
      </c>
      <c r="M52" s="24">
        <f>=EDATE(L52,3)</f>
        <v>46356</v>
      </c>
      <c r="N52" s="54">
        <v>0.02026098</v>
      </c>
      <c r="O52" s="54">
        <v>0.0213</v>
      </c>
      <c r="P52" s="54">
        <v>0.01930155</v>
      </c>
      <c r="Q52" s="55" t="s">
        <v>37</v>
      </c>
      <c r="R52" s="55" t="s">
        <v>37</v>
      </c>
      <c r="S52" s="55">
        <v>-0.0702</v>
      </c>
      <c r="T52" s="55" t="s">
        <v>37</v>
      </c>
      <c r="U52" s="30" t="s">
        <v>200</v>
      </c>
      <c r="V52" s="56">
        <v>46216</v>
      </c>
      <c r="W52" s="113" t="s">
        <v>216</v>
      </c>
      <c r="X52" s="88">
        <f>=N52</f>
        <v>0.02026098</v>
      </c>
      <c r="Y52" s="89">
        <v>732762.43</v>
      </c>
      <c r="Z52" s="90">
        <f>=Y52/X52*5%</f>
        <v>1808309.44505152</v>
      </c>
      <c r="AA52" s="49" t="s">
        <v>52</v>
      </c>
      <c r="AB52" s="49" t="s">
        <v>41</v>
      </c>
      <c r="AC52" s="49" t="s">
        <v>41</v>
      </c>
      <c r="AD52" s="49" t="s">
        <v>40</v>
      </c>
      <c r="AE52" s="37">
        <f>=IFERROR(T52-N52,)</f>
        <v>0</v>
      </c>
    </row>
    <row r="53" spans="1:31" s="541" customFormat="1" ht="15" customHeight="1">
      <c r="A53" s="78">
        <v>54</v>
      </c>
      <c r="B53" s="241" t="s">
        <v>28</v>
      </c>
      <c r="C53" s="271" t="s">
        <v>105</v>
      </c>
      <c r="D53" s="272" t="s">
        <v>217</v>
      </c>
      <c r="E53" s="271" t="s">
        <v>31</v>
      </c>
      <c r="F53" s="271" t="s">
        <v>66</v>
      </c>
      <c r="G53" s="273" t="s">
        <v>47</v>
      </c>
      <c r="H53" s="273" t="s">
        <v>34</v>
      </c>
      <c r="I53" s="273" t="s">
        <v>35</v>
      </c>
      <c r="J53" s="273" t="s">
        <v>218</v>
      </c>
      <c r="K53" s="244">
        <f>=EDATE(L53,-3)</f>
        <v>46172</v>
      </c>
      <c r="L53" s="274">
        <v>46264</v>
      </c>
      <c r="M53" s="24">
        <f>=EDATE(L53,3)</f>
        <v>46356</v>
      </c>
      <c r="N53" s="246" t="s">
        <v>37</v>
      </c>
      <c r="O53" s="251" t="s">
        <v>37</v>
      </c>
      <c r="P53" s="246" t="s">
        <v>37</v>
      </c>
      <c r="Q53" s="246" t="s">
        <v>37</v>
      </c>
      <c r="R53" s="246" t="s">
        <v>37</v>
      </c>
      <c r="S53" s="246" t="s">
        <v>37</v>
      </c>
      <c r="T53" s="246" t="s">
        <v>37</v>
      </c>
      <c r="U53" s="30" t="s">
        <v>38</v>
      </c>
      <c r="V53" s="248" t="s"/>
      <c r="W53" s="266" t="s">
        <v>68</v>
      </c>
      <c r="X53" s="33" t="s">
        <v>38</v>
      </c>
      <c r="Y53" s="34" t="s"/>
      <c r="Z53" s="35" t="s"/>
      <c r="AA53" s="36" t="s">
        <v>41</v>
      </c>
      <c r="AB53" s="36" t="s">
        <v>41</v>
      </c>
      <c r="AC53" s="36" t="s">
        <v>41</v>
      </c>
      <c r="AD53" s="36" t="s">
        <v>41</v>
      </c>
      <c r="AE53" s="37">
        <f>=IFERROR(T53-N53,)</f>
        <v>0</v>
      </c>
    </row>
    <row r="54" spans="1:31" s="541" customFormat="1" ht="15" customHeight="1">
      <c r="A54" s="58">
        <v>55</v>
      </c>
      <c r="B54" s="241" t="s">
        <v>28</v>
      </c>
      <c r="C54" s="242" t="s">
        <v>219</v>
      </c>
      <c r="D54" s="243" t="s">
        <v>220</v>
      </c>
      <c r="E54" s="242" t="s">
        <v>31</v>
      </c>
      <c r="F54" s="242" t="s">
        <v>77</v>
      </c>
      <c r="G54" s="242" t="s">
        <v>47</v>
      </c>
      <c r="H54" s="242" t="s">
        <v>34</v>
      </c>
      <c r="I54" s="242" t="s">
        <v>35</v>
      </c>
      <c r="J54" s="229" t="s">
        <v>221</v>
      </c>
      <c r="K54" s="244">
        <f>=EDATE(L54,-3)</f>
        <v>46172</v>
      </c>
      <c r="L54" s="275">
        <v>46264</v>
      </c>
      <c r="M54" s="24">
        <f>=EDATE(L54,3)</f>
        <v>46356</v>
      </c>
      <c r="N54" s="246" t="s">
        <v>37</v>
      </c>
      <c r="O54" s="276">
        <v>0.033</v>
      </c>
      <c r="P54" s="246">
        <v>0.067</v>
      </c>
      <c r="Q54" s="246" t="s">
        <v>37</v>
      </c>
      <c r="R54" s="246" t="s">
        <v>37</v>
      </c>
      <c r="S54" s="246" t="s">
        <v>37</v>
      </c>
      <c r="T54" s="246" t="s">
        <v>37</v>
      </c>
      <c r="U54" s="30" t="s">
        <v>200</v>
      </c>
      <c r="V54" s="248" t="s"/>
      <c r="W54" s="32" t="s">
        <v>222</v>
      </c>
      <c r="X54" s="88">
        <f>=O54</f>
        <v>0.033</v>
      </c>
      <c r="Y54" s="115">
        <v>1930447</v>
      </c>
      <c r="Z54" s="90">
        <f>=Y54/X54*5%</f>
        <v>2924919.6969697</v>
      </c>
      <c r="AA54" s="36" t="s">
        <v>40</v>
      </c>
      <c r="AB54" s="36" t="s">
        <v>41</v>
      </c>
      <c r="AC54" s="36" t="s">
        <v>41</v>
      </c>
      <c r="AD54" s="36" t="s">
        <v>41</v>
      </c>
      <c r="AE54" s="37">
        <f>=IFERROR(T54-N54,)</f>
        <v>0</v>
      </c>
    </row>
    <row r="55" spans="1:31" s="541" customFormat="1" ht="15" customHeight="1">
      <c r="A55" s="20">
        <v>56</v>
      </c>
      <c r="B55" s="241" t="s">
        <v>53</v>
      </c>
      <c r="C55" s="271" t="s">
        <v>223</v>
      </c>
      <c r="D55" s="272" t="s">
        <v>224</v>
      </c>
      <c r="E55" s="271" t="s">
        <v>56</v>
      </c>
      <c r="F55" s="271" t="s">
        <v>57</v>
      </c>
      <c r="G55" s="273" t="s">
        <v>58</v>
      </c>
      <c r="H55" s="273" t="s">
        <v>59</v>
      </c>
      <c r="I55" s="273" t="s">
        <v>60</v>
      </c>
      <c r="J55" s="273" t="s">
        <v>111</v>
      </c>
      <c r="K55" s="244">
        <f>=EDATE(L55,-3)</f>
        <v>46172</v>
      </c>
      <c r="L55" s="277">
        <v>46264</v>
      </c>
      <c r="M55" s="24">
        <f>=EDATE(L55,3)</f>
        <v>46356</v>
      </c>
      <c r="N55" s="246">
        <v>0.02214444</v>
      </c>
      <c r="O55" s="251">
        <v>0.02603933</v>
      </c>
      <c r="P55" s="246" t="s">
        <v>37</v>
      </c>
      <c r="Q55" s="246" t="s">
        <v>37</v>
      </c>
      <c r="R55" s="246" t="s">
        <v>37</v>
      </c>
      <c r="S55" s="246" t="s">
        <v>37</v>
      </c>
      <c r="T55" s="246" t="s">
        <v>37</v>
      </c>
      <c r="U55" s="30" t="s">
        <v>200</v>
      </c>
      <c r="V55" s="248" t="s">
        <v>124</v>
      </c>
      <c r="W55" s="32" t="s">
        <v>182</v>
      </c>
      <c r="X55" s="88">
        <f>=N55</f>
        <v>0.02214444</v>
      </c>
      <c r="Y55" s="225">
        <v>761557.78</v>
      </c>
      <c r="Z55" s="90">
        <f>=Y55/X55*5%</f>
        <v>1719523.68179101</v>
      </c>
      <c r="AA55" s="49" t="s">
        <v>52</v>
      </c>
      <c r="AB55" s="49" t="s">
        <v>41</v>
      </c>
      <c r="AC55" s="49" t="s">
        <v>41</v>
      </c>
      <c r="AD55" s="49" t="s">
        <v>41</v>
      </c>
      <c r="AE55" s="37">
        <f>=IFERROR(T55-N55,)</f>
        <v>0</v>
      </c>
    </row>
    <row r="56" spans="1:31" s="541" customFormat="1" ht="15" customHeight="1">
      <c r="A56" s="74">
        <v>57</v>
      </c>
      <c r="B56" s="241" t="s">
        <v>53</v>
      </c>
      <c r="C56" s="242" t="s">
        <v>225</v>
      </c>
      <c r="D56" s="243" t="s">
        <v>226</v>
      </c>
      <c r="E56" s="242" t="s">
        <v>56</v>
      </c>
      <c r="F56" s="242" t="s">
        <v>57</v>
      </c>
      <c r="G56" s="242" t="s">
        <v>58</v>
      </c>
      <c r="H56" s="242" t="s">
        <v>59</v>
      </c>
      <c r="I56" s="242" t="s">
        <v>60</v>
      </c>
      <c r="J56" s="229" t="s">
        <v>227</v>
      </c>
      <c r="K56" s="244">
        <f>=EDATE(L56,-3)</f>
        <v>46172</v>
      </c>
      <c r="L56" s="278">
        <v>46264</v>
      </c>
      <c r="M56" s="24">
        <f>=EDATE(L56,3)</f>
        <v>46356</v>
      </c>
      <c r="N56" s="279">
        <v>0.08030058</v>
      </c>
      <c r="O56" s="280">
        <v>0.08681819</v>
      </c>
      <c r="P56" s="281" t="s">
        <v>37</v>
      </c>
      <c r="Q56" s="281" t="s">
        <v>37</v>
      </c>
      <c r="R56" s="281" t="s">
        <v>37</v>
      </c>
      <c r="S56" s="281" t="s">
        <v>37</v>
      </c>
      <c r="T56" s="281" t="s">
        <v>37</v>
      </c>
      <c r="U56" s="30" t="s">
        <v>200</v>
      </c>
      <c r="V56" s="248" t="s">
        <v>124</v>
      </c>
      <c r="W56" s="32" t="s">
        <v>182</v>
      </c>
      <c r="X56" s="88">
        <f>=N56</f>
        <v>0.08030058</v>
      </c>
      <c r="Y56" s="89">
        <v>4222204.38</v>
      </c>
      <c r="Z56" s="90">
        <f>=Y56/X56*5%</f>
        <v>2628999.92752232</v>
      </c>
      <c r="AA56" s="49" t="s">
        <v>52</v>
      </c>
      <c r="AB56" s="49" t="s">
        <v>41</v>
      </c>
      <c r="AC56" s="49" t="s">
        <v>41</v>
      </c>
      <c r="AD56" s="49" t="s">
        <v>41</v>
      </c>
      <c r="AE56" s="37">
        <f>=IFERROR(T56-N56,)</f>
        <v>0</v>
      </c>
    </row>
    <row r="57" spans="1:31" s="541" customFormat="1" ht="15" customHeight="1">
      <c r="A57" s="74">
        <v>58</v>
      </c>
      <c r="B57" s="282" t="s">
        <v>28</v>
      </c>
      <c r="C57" s="283" t="s">
        <v>225</v>
      </c>
      <c r="D57" s="284" t="s">
        <v>228</v>
      </c>
      <c r="E57" s="283" t="s">
        <v>229</v>
      </c>
      <c r="F57" s="283" t="s">
        <v>77</v>
      </c>
      <c r="G57" s="285" t="s">
        <v>47</v>
      </c>
      <c r="H57" s="285" t="s">
        <v>34</v>
      </c>
      <c r="I57" s="285" t="s">
        <v>35</v>
      </c>
      <c r="J57" s="285" t="s">
        <v>171</v>
      </c>
      <c r="K57" s="286">
        <f>=EDATE(L57,-3)</f>
        <v>46172</v>
      </c>
      <c r="L57" s="277">
        <v>46264</v>
      </c>
      <c r="M57" s="24">
        <f>=EDATE(L57,3)</f>
        <v>46356</v>
      </c>
      <c r="N57" s="287" t="s">
        <v>37</v>
      </c>
      <c r="O57" s="288">
        <v>0.0116</v>
      </c>
      <c r="P57" s="258" t="s">
        <v>37</v>
      </c>
      <c r="Q57" s="258" t="s">
        <v>37</v>
      </c>
      <c r="R57" s="258" t="s">
        <v>37</v>
      </c>
      <c r="S57" s="258" t="s">
        <v>37</v>
      </c>
      <c r="T57" s="258" t="s">
        <v>37</v>
      </c>
      <c r="U57" s="30" t="s">
        <v>200</v>
      </c>
      <c r="V57" s="248" t="s"/>
      <c r="W57" s="266" t="s">
        <v>230</v>
      </c>
      <c r="X57" s="88">
        <f>=O57</f>
        <v>0.0116</v>
      </c>
      <c r="Y57" s="115">
        <v>3627480</v>
      </c>
      <c r="Z57" s="90">
        <f>=Y57/X57*5%</f>
        <v>15635689.6551724</v>
      </c>
      <c r="AA57" s="36" t="s">
        <v>40</v>
      </c>
      <c r="AB57" s="36" t="s">
        <v>41</v>
      </c>
      <c r="AC57" s="36" t="s">
        <v>41</v>
      </c>
      <c r="AD57" s="36" t="s">
        <v>41</v>
      </c>
      <c r="AE57" s="37">
        <f>=IFERROR(T57-N57,)</f>
        <v>0</v>
      </c>
    </row>
    <row r="58" spans="1:31" s="541" customFormat="1" ht="15" customHeight="1">
      <c r="A58" s="264">
        <v>59</v>
      </c>
      <c r="B58" s="282" t="s">
        <v>28</v>
      </c>
      <c r="C58" s="260" t="s">
        <v>225</v>
      </c>
      <c r="D58" s="289" t="s">
        <v>231</v>
      </c>
      <c r="E58" s="260" t="s">
        <v>232</v>
      </c>
      <c r="F58" s="260" t="s">
        <v>77</v>
      </c>
      <c r="G58" s="260" t="s">
        <v>47</v>
      </c>
      <c r="H58" s="260" t="s">
        <v>34</v>
      </c>
      <c r="I58" s="260" t="s">
        <v>35</v>
      </c>
      <c r="J58" s="260" t="s">
        <v>233</v>
      </c>
      <c r="K58" s="286">
        <f>=EDATE(L58,-3)</f>
        <v>46172</v>
      </c>
      <c r="L58" s="278">
        <v>46264</v>
      </c>
      <c r="M58" s="24">
        <f>=EDATE(L58,3)</f>
        <v>46356</v>
      </c>
      <c r="N58" s="86" t="s">
        <v>37</v>
      </c>
      <c r="O58" s="290">
        <v>0.0544</v>
      </c>
      <c r="P58" s="86" t="s">
        <v>37</v>
      </c>
      <c r="Q58" s="86" t="s">
        <v>37</v>
      </c>
      <c r="R58" s="86" t="s">
        <v>37</v>
      </c>
      <c r="S58" s="86" t="s">
        <v>37</v>
      </c>
      <c r="T58" s="86" t="s">
        <v>37</v>
      </c>
      <c r="U58" s="30" t="s">
        <v>200</v>
      </c>
      <c r="V58" s="248" t="s"/>
      <c r="W58" s="266" t="s"/>
      <c r="X58" s="88">
        <f>=O58</f>
        <v>0.0544</v>
      </c>
      <c r="Y58" s="115">
        <v>4670158</v>
      </c>
      <c r="Z58" s="90">
        <f>=Y58/X58*5%</f>
        <v>4292424.63235294</v>
      </c>
      <c r="AA58" s="36" t="s">
        <v>52</v>
      </c>
      <c r="AB58" s="36" t="s">
        <v>41</v>
      </c>
      <c r="AC58" s="36" t="s">
        <v>41</v>
      </c>
      <c r="AD58" s="36" t="s">
        <v>41</v>
      </c>
      <c r="AE58" s="37">
        <f>=IFERROR(T58-N58,)</f>
        <v>0</v>
      </c>
    </row>
    <row r="59" spans="1:31" s="541" customFormat="1" ht="15" customHeight="1">
      <c r="A59" s="264">
        <v>60</v>
      </c>
      <c r="B59" s="282" t="s">
        <v>28</v>
      </c>
      <c r="C59" s="283" t="s">
        <v>225</v>
      </c>
      <c r="D59" s="284" t="s">
        <v>234</v>
      </c>
      <c r="E59" s="283" t="s">
        <v>235</v>
      </c>
      <c r="F59" s="283" t="s">
        <v>77</v>
      </c>
      <c r="G59" s="285" t="s">
        <v>47</v>
      </c>
      <c r="H59" s="285" t="s">
        <v>34</v>
      </c>
      <c r="I59" s="285" t="s">
        <v>35</v>
      </c>
      <c r="J59" s="285" t="s">
        <v>236</v>
      </c>
      <c r="K59" s="286">
        <f>=EDATE(L59,-3)</f>
        <v>46172</v>
      </c>
      <c r="L59" s="277">
        <v>46264</v>
      </c>
      <c r="M59" s="24">
        <f>=EDATE(L59,3)</f>
        <v>46356</v>
      </c>
      <c r="N59" s="287" t="s">
        <v>37</v>
      </c>
      <c r="O59" s="291">
        <v>0.0116</v>
      </c>
      <c r="P59" s="258" t="s">
        <v>37</v>
      </c>
      <c r="Q59" s="258" t="s">
        <v>37</v>
      </c>
      <c r="R59" s="258" t="s">
        <v>37</v>
      </c>
      <c r="S59" s="258" t="s">
        <v>37</v>
      </c>
      <c r="T59" s="292" t="s">
        <v>37</v>
      </c>
      <c r="U59" s="236" t="s">
        <v>200</v>
      </c>
      <c r="V59" s="248" t="s"/>
      <c r="W59" s="266" t="s">
        <v>230</v>
      </c>
      <c r="X59" s="88">
        <f>=O59</f>
        <v>0.0116</v>
      </c>
      <c r="Y59" s="293">
        <v>0</v>
      </c>
      <c r="Z59" s="90">
        <f>=Y59/X59*5%</f>
        <v>0</v>
      </c>
      <c r="AA59" s="36" t="s">
        <v>40</v>
      </c>
      <c r="AB59" s="36" t="s">
        <v>41</v>
      </c>
      <c r="AC59" s="36" t="s">
        <v>41</v>
      </c>
      <c r="AD59" s="36" t="s">
        <v>41</v>
      </c>
      <c r="AE59" s="37">
        <f>=IFERROR(T59-N59,)</f>
        <v>0</v>
      </c>
    </row>
    <row r="60" spans="1:31" s="546" customFormat="1" ht="15" customHeight="1">
      <c r="A60" s="264">
        <v>61</v>
      </c>
      <c r="B60" s="282" t="s">
        <v>28</v>
      </c>
      <c r="C60" s="260" t="s">
        <v>225</v>
      </c>
      <c r="D60" s="289" t="s">
        <v>237</v>
      </c>
      <c r="E60" s="260" t="s">
        <v>232</v>
      </c>
      <c r="F60" s="260" t="s">
        <v>77</v>
      </c>
      <c r="G60" s="260" t="s">
        <v>47</v>
      </c>
      <c r="H60" s="260" t="s">
        <v>34</v>
      </c>
      <c r="I60" s="260" t="s">
        <v>35</v>
      </c>
      <c r="J60" s="260" t="s">
        <v>233</v>
      </c>
      <c r="K60" s="286">
        <f>=EDATE(L60,-3)</f>
        <v>46172</v>
      </c>
      <c r="L60" s="278">
        <v>46264</v>
      </c>
      <c r="M60" s="24">
        <f>=EDATE(L60,3)</f>
        <v>46356</v>
      </c>
      <c r="N60" s="287" t="s">
        <v>37</v>
      </c>
      <c r="O60" s="265">
        <v>0.0212</v>
      </c>
      <c r="P60" s="258" t="s">
        <v>37</v>
      </c>
      <c r="Q60" s="258" t="s">
        <v>37</v>
      </c>
      <c r="R60" s="258" t="s">
        <v>37</v>
      </c>
      <c r="S60" s="258" t="s">
        <v>37</v>
      </c>
      <c r="T60" s="292" t="s">
        <v>37</v>
      </c>
      <c r="U60" s="30" t="s">
        <v>200</v>
      </c>
      <c r="V60" s="248" t="s"/>
      <c r="W60" s="266" t="s"/>
      <c r="X60" s="88">
        <f>=O60</f>
        <v>0.0212</v>
      </c>
      <c r="Y60" s="115">
        <v>1189382</v>
      </c>
      <c r="Z60" s="90">
        <f>=Y60/X60*5%</f>
        <v>2805146.2264151</v>
      </c>
      <c r="AA60" s="36" t="s">
        <v>52</v>
      </c>
      <c r="AB60" s="36" t="s">
        <v>41</v>
      </c>
      <c r="AC60" s="36" t="s">
        <v>41</v>
      </c>
      <c r="AD60" s="36" t="s">
        <v>41</v>
      </c>
      <c r="AE60" s="37">
        <f>=IFERROR(T60-N60,)</f>
        <v>0</v>
      </c>
    </row>
    <row r="61" spans="1:31" s="546" customFormat="1" ht="15" customHeight="1">
      <c r="A61" s="108">
        <v>62</v>
      </c>
      <c r="B61" s="81" t="s">
        <v>86</v>
      </c>
      <c r="C61" s="294" t="s">
        <v>116</v>
      </c>
      <c r="D61" s="295" t="s">
        <v>238</v>
      </c>
      <c r="E61" s="294" t="s">
        <v>89</v>
      </c>
      <c r="F61" s="294" t="s">
        <v>118</v>
      </c>
      <c r="G61" s="296" t="s">
        <v>91</v>
      </c>
      <c r="H61" s="296" t="s">
        <v>92</v>
      </c>
      <c r="I61" s="296" t="s">
        <v>93</v>
      </c>
      <c r="J61" s="296" t="s">
        <v>239</v>
      </c>
      <c r="K61" s="244">
        <f>=EDATE(L61,-3)</f>
        <v>46203</v>
      </c>
      <c r="L61" s="277">
        <v>46295</v>
      </c>
      <c r="M61" s="297">
        <f>=EDATE(L61,3)</f>
        <v>46386</v>
      </c>
      <c r="N61" s="287">
        <v>-0.018</v>
      </c>
      <c r="O61" s="288">
        <v>0.019</v>
      </c>
      <c r="P61" s="258" t="s">
        <v>37</v>
      </c>
      <c r="Q61" s="258" t="s">
        <v>37</v>
      </c>
      <c r="R61" s="258" t="s">
        <v>37</v>
      </c>
      <c r="S61" s="258" t="s">
        <v>37</v>
      </c>
      <c r="T61" s="258" t="s">
        <v>37</v>
      </c>
      <c r="U61" s="30" t="s">
        <v>240</v>
      </c>
      <c r="V61" s="248" t="s"/>
      <c r="W61" s="266" t="s">
        <v>241</v>
      </c>
      <c r="X61" s="88">
        <f>=N61</f>
        <v>-0.018</v>
      </c>
      <c r="Y61" s="89">
        <v>-488474</v>
      </c>
      <c r="Z61" s="90">
        <f>=Y61/X61*5%</f>
        <v>1356872.22222222</v>
      </c>
      <c r="AA61" s="49" t="s">
        <v>52</v>
      </c>
      <c r="AB61" s="49" t="s">
        <v>41</v>
      </c>
      <c r="AC61" s="49" t="s">
        <v>41</v>
      </c>
      <c r="AD61" s="49" t="s">
        <v>41</v>
      </c>
      <c r="AE61" s="37">
        <f>=IFERROR(T61-N61,)</f>
        <v>0</v>
      </c>
    </row>
    <row r="62" spans="1:31" s="546" customFormat="1" ht="15" customHeight="1">
      <c r="A62" s="74">
        <v>63</v>
      </c>
      <c r="B62" s="81" t="s">
        <v>28</v>
      </c>
      <c r="C62" s="82" t="s">
        <v>242</v>
      </c>
      <c r="D62" s="252" t="s">
        <v>243</v>
      </c>
      <c r="E62" s="82" t="s">
        <v>31</v>
      </c>
      <c r="F62" s="82" t="s">
        <v>162</v>
      </c>
      <c r="G62" s="82" t="s">
        <v>91</v>
      </c>
      <c r="H62" s="82" t="s">
        <v>34</v>
      </c>
      <c r="I62" s="82" t="s">
        <v>35</v>
      </c>
      <c r="J62" s="260" t="s">
        <v>124</v>
      </c>
      <c r="K62" s="286">
        <f>=EDATE(L62,-3)</f>
        <v>46172</v>
      </c>
      <c r="L62" s="278">
        <v>46264</v>
      </c>
      <c r="M62" s="24">
        <f>=EDATE(L62,3)</f>
        <v>46356</v>
      </c>
      <c r="N62" s="86" t="s">
        <v>37</v>
      </c>
      <c r="O62" s="298">
        <v>0.03</v>
      </c>
      <c r="P62" s="86" t="s">
        <v>37</v>
      </c>
      <c r="Q62" s="86" t="s">
        <v>37</v>
      </c>
      <c r="R62" s="86" t="s">
        <v>37</v>
      </c>
      <c r="S62" s="86" t="s">
        <v>37</v>
      </c>
      <c r="T62" s="86" t="s">
        <v>37</v>
      </c>
      <c r="U62" s="30" t="s">
        <v>200</v>
      </c>
      <c r="V62" s="248" t="s"/>
      <c r="W62" s="266" t="s"/>
      <c r="X62" s="88">
        <f>=O62</f>
        <v>0.03</v>
      </c>
      <c r="Y62" s="115">
        <v>2054066</v>
      </c>
      <c r="Z62" s="90">
        <f>=Y62/X62*5%</f>
        <v>3423443.33333333</v>
      </c>
      <c r="AA62" s="36" t="s">
        <v>40</v>
      </c>
      <c r="AB62" s="36" t="s">
        <v>41</v>
      </c>
      <c r="AC62" s="36" t="s">
        <v>41</v>
      </c>
      <c r="AD62" s="36" t="s">
        <v>41</v>
      </c>
      <c r="AE62" s="37">
        <f>=IFERROR(T62-N62,)</f>
        <v>0</v>
      </c>
    </row>
    <row r="63" spans="1:31" s="546" customFormat="1" ht="15" customHeight="1">
      <c r="A63" s="58">
        <v>44</v>
      </c>
      <c r="B63" s="21" t="s">
        <v>53</v>
      </c>
      <c r="C63" s="267" t="s">
        <v>101</v>
      </c>
      <c r="D63" s="299" t="s">
        <v>244</v>
      </c>
      <c r="E63" s="267" t="s">
        <v>56</v>
      </c>
      <c r="F63" s="267" t="s">
        <v>57</v>
      </c>
      <c r="G63" s="234" t="s">
        <v>58</v>
      </c>
      <c r="H63" s="234" t="s">
        <v>59</v>
      </c>
      <c r="I63" s="234" t="s">
        <v>60</v>
      </c>
      <c r="J63" s="234" t="s">
        <v>245</v>
      </c>
      <c r="K63" s="52">
        <f>=EDATE(L63,-3)</f>
        <v>46203</v>
      </c>
      <c r="L63" s="300">
        <v>46295</v>
      </c>
      <c r="M63" s="297">
        <f>=EDATE(L63,3)</f>
        <v>46386</v>
      </c>
      <c r="N63" s="191">
        <v>0.05570245</v>
      </c>
      <c r="O63" s="301">
        <v>0.05649825</v>
      </c>
      <c r="P63" s="301">
        <v>0.05717765</v>
      </c>
      <c r="Q63" s="60" t="s">
        <v>37</v>
      </c>
      <c r="R63" s="60" t="s">
        <v>37</v>
      </c>
      <c r="S63" s="60" t="s">
        <v>37</v>
      </c>
      <c r="T63" s="60" t="s">
        <v>37</v>
      </c>
      <c r="U63" s="30" t="s">
        <v>240</v>
      </c>
      <c r="V63" s="56">
        <v>46218</v>
      </c>
      <c r="W63" s="113" t="s">
        <v>246</v>
      </c>
      <c r="X63" s="88">
        <f>=N63</f>
        <v>0.05570245</v>
      </c>
      <c r="Y63" s="89">
        <v>2465917.05</v>
      </c>
      <c r="Z63" s="90">
        <f>=Y63/X63*5%</f>
        <v>2213472.70182909</v>
      </c>
      <c r="AA63" s="49" t="s">
        <v>52</v>
      </c>
      <c r="AB63" s="49" t="s">
        <v>41</v>
      </c>
      <c r="AC63" s="49" t="s">
        <v>41</v>
      </c>
      <c r="AD63" s="49" t="s">
        <v>41</v>
      </c>
      <c r="AE63" s="37">
        <f>=IFERROR(T63-N63,)</f>
        <v>0</v>
      </c>
    </row>
    <row r="64" spans="1:31" s="541" customFormat="1" ht="15" customHeight="1">
      <c r="A64" s="58">
        <v>48</v>
      </c>
      <c r="B64" s="21" t="s">
        <v>53</v>
      </c>
      <c r="C64" s="50" t="s">
        <v>247</v>
      </c>
      <c r="D64" s="51" t="s">
        <v>248</v>
      </c>
      <c r="E64" s="50" t="s">
        <v>56</v>
      </c>
      <c r="F64" s="50" t="s">
        <v>57</v>
      </c>
      <c r="G64" s="50" t="s">
        <v>58</v>
      </c>
      <c r="H64" s="50" t="s">
        <v>59</v>
      </c>
      <c r="I64" s="50" t="s">
        <v>60</v>
      </c>
      <c r="J64" s="50" t="s">
        <v>194</v>
      </c>
      <c r="K64" s="24">
        <f>=EDATE(L64,-3)</f>
        <v>46203</v>
      </c>
      <c r="L64" s="302">
        <v>46295</v>
      </c>
      <c r="M64" s="297">
        <f>=EDATE(L64,3)</f>
        <v>46386</v>
      </c>
      <c r="N64" s="191">
        <v>0.02584207</v>
      </c>
      <c r="O64" s="301">
        <v>0.02604906</v>
      </c>
      <c r="P64" s="60" t="s">
        <v>37</v>
      </c>
      <c r="Q64" s="60" t="s">
        <v>37</v>
      </c>
      <c r="R64" s="60" t="s">
        <v>37</v>
      </c>
      <c r="S64" s="60" t="s">
        <v>37</v>
      </c>
      <c r="T64" s="60" t="s">
        <v>37</v>
      </c>
      <c r="U64" s="30" t="s">
        <v>240</v>
      </c>
      <c r="V64" s="56" t="s">
        <v>124</v>
      </c>
      <c r="W64" s="61" t="s">
        <v>249</v>
      </c>
      <c r="X64" s="88">
        <f>=N64</f>
        <v>0.02584207</v>
      </c>
      <c r="Y64" s="303">
        <v>271721.7</v>
      </c>
      <c r="Z64" s="90">
        <f>=Y64/X64*5%</f>
        <v>525735.167500127</v>
      </c>
      <c r="AA64" s="49" t="s">
        <v>52</v>
      </c>
      <c r="AB64" s="49" t="s">
        <v>41</v>
      </c>
      <c r="AC64" s="49" t="s">
        <v>41</v>
      </c>
      <c r="AD64" s="49" t="s">
        <v>41</v>
      </c>
      <c r="AE64" s="37">
        <f>=IFERROR(T64-N64,)</f>
        <v>0</v>
      </c>
    </row>
    <row r="65" spans="1:31" s="541" customFormat="1" ht="15" customHeight="1">
      <c r="A65" s="58">
        <v>64</v>
      </c>
      <c r="B65" s="241" t="s">
        <v>42</v>
      </c>
      <c r="C65" s="271" t="s">
        <v>250</v>
      </c>
      <c r="D65" s="272" t="s">
        <v>251</v>
      </c>
      <c r="E65" s="271" t="s">
        <v>252</v>
      </c>
      <c r="F65" s="271" t="s">
        <v>46</v>
      </c>
      <c r="G65" s="273" t="s">
        <v>47</v>
      </c>
      <c r="H65" s="273" t="s">
        <v>48</v>
      </c>
      <c r="I65" s="273" t="s">
        <v>49</v>
      </c>
      <c r="J65" s="273" t="s">
        <v>50</v>
      </c>
      <c r="K65" s="304">
        <f>=EDATE(L65,-3)</f>
        <v>46203</v>
      </c>
      <c r="L65" s="274">
        <v>46295</v>
      </c>
      <c r="M65" s="297">
        <f>=EDATE(L65,3)</f>
        <v>46386</v>
      </c>
      <c r="N65" s="281">
        <v>0.091920982004807</v>
      </c>
      <c r="O65" s="305">
        <v>0.0338</v>
      </c>
      <c r="P65" s="281">
        <v>0.052</v>
      </c>
      <c r="Q65" s="281" t="s">
        <v>37</v>
      </c>
      <c r="R65" s="281" t="s">
        <v>37</v>
      </c>
      <c r="S65" s="281" t="s">
        <v>37</v>
      </c>
      <c r="T65" s="306" t="s">
        <v>37</v>
      </c>
      <c r="U65" s="307" t="s">
        <v>240</v>
      </c>
      <c r="V65" s="56">
        <v>46105</v>
      </c>
      <c r="W65" s="266" t="s">
        <v>253</v>
      </c>
      <c r="X65" s="88">
        <f>=N65</f>
        <v>0.091920982004807</v>
      </c>
      <c r="Y65" s="89">
        <v>7453162.8892573</v>
      </c>
      <c r="Z65" s="90">
        <f>=Y65/X65*5%</f>
        <v>4054114.04812208</v>
      </c>
      <c r="AA65" s="49" t="s">
        <v>52</v>
      </c>
      <c r="AB65" s="49" t="s">
        <v>52</v>
      </c>
      <c r="AC65" s="49" t="s">
        <v>41</v>
      </c>
      <c r="AD65" s="49" t="s">
        <v>41</v>
      </c>
      <c r="AE65" s="37">
        <f>=IFERROR(T65-N65,)</f>
        <v>0</v>
      </c>
    </row>
    <row r="66" spans="1:31" s="541" customFormat="1" ht="15" customHeight="1">
      <c r="A66" s="20">
        <v>65</v>
      </c>
      <c r="B66" s="241" t="s">
        <v>42</v>
      </c>
      <c r="C66" s="242" t="s">
        <v>254</v>
      </c>
      <c r="D66" s="243" t="s">
        <v>255</v>
      </c>
      <c r="E66" s="242" t="s">
        <v>256</v>
      </c>
      <c r="F66" s="242" t="s">
        <v>46</v>
      </c>
      <c r="G66" s="242" t="s">
        <v>47</v>
      </c>
      <c r="H66" s="242" t="s">
        <v>48</v>
      </c>
      <c r="I66" s="242" t="s">
        <v>49</v>
      </c>
      <c r="J66" s="242" t="s">
        <v>50</v>
      </c>
      <c r="K66" s="304">
        <f>=EDATE(L66,-3)</f>
        <v>46203</v>
      </c>
      <c r="L66" s="275">
        <v>46295</v>
      </c>
      <c r="M66" s="297">
        <f>=EDATE(L66,3)</f>
        <v>46386</v>
      </c>
      <c r="N66" s="281">
        <v>0.080177538999053</v>
      </c>
      <c r="O66" s="280">
        <v>0.080177538999053</v>
      </c>
      <c r="P66" s="281" t="s">
        <v>37</v>
      </c>
      <c r="Q66" s="281" t="s">
        <v>37</v>
      </c>
      <c r="R66" s="281" t="s">
        <v>37</v>
      </c>
      <c r="S66" s="281" t="s">
        <v>37</v>
      </c>
      <c r="T66" s="281" t="s">
        <v>37</v>
      </c>
      <c r="U66" s="148" t="s">
        <v>240</v>
      </c>
      <c r="V66" s="248" t="s"/>
      <c r="W66" s="266" t="s"/>
      <c r="X66" s="88">
        <f>=N66</f>
        <v>0.080177538999053</v>
      </c>
      <c r="Y66" s="89">
        <v>868847.59669749</v>
      </c>
      <c r="Z66" s="90">
        <f>=Y66/X66*5%</f>
        <v>541827.304469742</v>
      </c>
      <c r="AA66" s="49" t="s">
        <v>52</v>
      </c>
      <c r="AB66" s="49" t="s">
        <v>41</v>
      </c>
      <c r="AC66" s="49" t="s">
        <v>41</v>
      </c>
      <c r="AD66" s="49" t="s">
        <v>41</v>
      </c>
      <c r="AE66" s="37">
        <f>=IFERROR(T66-N66,)</f>
        <v>0</v>
      </c>
    </row>
    <row r="67" spans="1:31" s="541" customFormat="1" ht="15" customHeight="1">
      <c r="A67" s="308">
        <v>66</v>
      </c>
      <c r="B67" s="309" t="s">
        <v>42</v>
      </c>
      <c r="C67" s="310" t="s">
        <v>151</v>
      </c>
      <c r="D67" s="311" t="s">
        <v>257</v>
      </c>
      <c r="E67" s="310" t="s">
        <v>138</v>
      </c>
      <c r="F67" s="310" t="s">
        <v>154</v>
      </c>
      <c r="G67" s="312" t="s">
        <v>33</v>
      </c>
      <c r="H67" s="312" t="s">
        <v>92</v>
      </c>
      <c r="I67" s="312" t="s">
        <v>93</v>
      </c>
      <c r="J67" s="312" t="s">
        <v>258</v>
      </c>
      <c r="K67" s="313">
        <f>=EDATE(L67,-3)</f>
        <v>46203</v>
      </c>
      <c r="L67" s="314">
        <v>46295</v>
      </c>
      <c r="M67" s="153">
        <f>=EDATE(L67,3)</f>
        <v>46386</v>
      </c>
      <c r="N67" s="315">
        <v>0.0308</v>
      </c>
      <c r="O67" s="316">
        <v>0.0663</v>
      </c>
      <c r="P67" s="315" t="s">
        <v>37</v>
      </c>
      <c r="Q67" s="315">
        <v>0.0918</v>
      </c>
      <c r="R67" s="315" t="s">
        <v>37</v>
      </c>
      <c r="S67" s="315" t="s">
        <v>37</v>
      </c>
      <c r="T67" s="315" t="s">
        <v>37</v>
      </c>
      <c r="U67" s="317" t="s">
        <v>38</v>
      </c>
      <c r="V67" s="318" t="s"/>
      <c r="W67" s="319" t="s">
        <v>259</v>
      </c>
      <c r="X67" s="320">
        <f>=N67</f>
        <v>0.0308</v>
      </c>
      <c r="Y67" s="321">
        <v>6791554.84320869</v>
      </c>
      <c r="Z67" s="322">
        <f>=Y67/X67*5%</f>
        <v>11025251.3688453</v>
      </c>
      <c r="AA67" s="323" t="s">
        <v>52</v>
      </c>
      <c r="AB67" s="323" t="s">
        <v>52</v>
      </c>
      <c r="AC67" s="323" t="s">
        <v>41</v>
      </c>
      <c r="AD67" s="323" t="s">
        <v>41</v>
      </c>
      <c r="AE67" s="228">
        <f>=IFERROR(T67-N67,)</f>
        <v>0</v>
      </c>
    </row>
    <row r="68" spans="1:31" s="544" customFormat="1" ht="15" customHeight="1">
      <c r="A68" s="20">
        <v>67</v>
      </c>
      <c r="B68" s="241" t="s">
        <v>42</v>
      </c>
      <c r="C68" s="242" t="s">
        <v>43</v>
      </c>
      <c r="D68" s="243" t="s">
        <v>260</v>
      </c>
      <c r="E68" s="242" t="s">
        <v>138</v>
      </c>
      <c r="F68" s="242" t="s">
        <v>77</v>
      </c>
      <c r="G68" s="242" t="s">
        <v>47</v>
      </c>
      <c r="H68" s="242" t="s">
        <v>92</v>
      </c>
      <c r="I68" s="242" t="s">
        <v>49</v>
      </c>
      <c r="J68" s="242" t="s">
        <v>204</v>
      </c>
      <c r="K68" s="286">
        <f>=EDATE(L68,-3)</f>
        <v>46203</v>
      </c>
      <c r="L68" s="278">
        <v>46295</v>
      </c>
      <c r="M68" s="297">
        <f>=EDATE(L68,3)</f>
        <v>46386</v>
      </c>
      <c r="N68" s="279" t="s">
        <v>37</v>
      </c>
      <c r="O68" s="324" t="s">
        <v>37</v>
      </c>
      <c r="P68" s="281" t="s">
        <v>37</v>
      </c>
      <c r="Q68" s="281" t="s">
        <v>37</v>
      </c>
      <c r="R68" s="281" t="s">
        <v>37</v>
      </c>
      <c r="S68" s="281" t="s">
        <v>37</v>
      </c>
      <c r="T68" s="281" t="s">
        <v>37</v>
      </c>
      <c r="U68" s="236" t="s">
        <v>240</v>
      </c>
      <c r="V68" s="325" t="s"/>
      <c r="W68" s="326" t="s">
        <v>261</v>
      </c>
      <c r="X68" s="327" t="s">
        <v>38</v>
      </c>
      <c r="Y68" s="328" t="s"/>
      <c r="Z68" s="329" t="s"/>
      <c r="AA68" s="227" t="s">
        <v>41</v>
      </c>
      <c r="AB68" s="227" t="s">
        <v>41</v>
      </c>
      <c r="AC68" s="227" t="s">
        <v>41</v>
      </c>
      <c r="AD68" s="227" t="s">
        <v>41</v>
      </c>
      <c r="AE68" s="228">
        <f>=IFERROR(T68-N68,)</f>
        <v>0</v>
      </c>
    </row>
    <row r="69" spans="1:31" s="541" customFormat="1" ht="15" customHeight="1">
      <c r="A69" s="78">
        <v>68</v>
      </c>
      <c r="B69" s="241" t="s">
        <v>42</v>
      </c>
      <c r="C69" s="271" t="s">
        <v>43</v>
      </c>
      <c r="D69" s="272" t="s">
        <v>262</v>
      </c>
      <c r="E69" s="271" t="s">
        <v>138</v>
      </c>
      <c r="F69" s="271" t="s">
        <v>77</v>
      </c>
      <c r="G69" s="273" t="s">
        <v>47</v>
      </c>
      <c r="H69" s="273" t="s">
        <v>92</v>
      </c>
      <c r="I69" s="273" t="s">
        <v>49</v>
      </c>
      <c r="J69" s="273" t="s">
        <v>50</v>
      </c>
      <c r="K69" s="286">
        <f>=EDATE(L69,-3)</f>
        <v>46203</v>
      </c>
      <c r="L69" s="277">
        <v>46295</v>
      </c>
      <c r="M69" s="297">
        <f>=EDATE(L69,3)</f>
        <v>46386</v>
      </c>
      <c r="N69" s="279" t="s">
        <v>37</v>
      </c>
      <c r="O69" s="305" t="s">
        <v>37</v>
      </c>
      <c r="P69" s="281">
        <v>0.1035</v>
      </c>
      <c r="Q69" s="281" t="s">
        <v>37</v>
      </c>
      <c r="R69" s="281" t="s">
        <v>37</v>
      </c>
      <c r="S69" s="281" t="s">
        <v>37</v>
      </c>
      <c r="T69" s="281" t="s">
        <v>37</v>
      </c>
      <c r="U69" s="236" t="s">
        <v>240</v>
      </c>
      <c r="V69" s="330" t="s"/>
      <c r="W69" s="326" t="s"/>
      <c r="X69" s="327" t="s">
        <v>38</v>
      </c>
      <c r="Y69" s="328" t="s"/>
      <c r="Z69" s="329" t="s"/>
      <c r="AA69" s="227" t="s">
        <v>41</v>
      </c>
      <c r="AB69" s="227" t="s">
        <v>52</v>
      </c>
      <c r="AC69" s="227" t="s">
        <v>41</v>
      </c>
      <c r="AD69" s="227" t="s">
        <v>41</v>
      </c>
      <c r="AE69" s="228">
        <f>=IFERROR(T69-N69,)</f>
        <v>0</v>
      </c>
    </row>
    <row r="70" spans="1:31" s="541" customFormat="1" ht="15" customHeight="1">
      <c r="A70" s="58">
        <v>69</v>
      </c>
      <c r="B70" s="331" t="s">
        <v>42</v>
      </c>
      <c r="C70" s="332" t="s">
        <v>263</v>
      </c>
      <c r="D70" s="333" t="s">
        <v>264</v>
      </c>
      <c r="E70" s="332" t="s">
        <v>180</v>
      </c>
      <c r="F70" s="332" t="s">
        <v>46</v>
      </c>
      <c r="G70" s="334" t="s">
        <v>47</v>
      </c>
      <c r="H70" s="332" t="s">
        <v>48</v>
      </c>
      <c r="I70" s="335" t="s">
        <v>49</v>
      </c>
      <c r="J70" s="332" t="s">
        <v>181</v>
      </c>
      <c r="K70" s="286">
        <f>=EDATE(L70,-3)</f>
        <v>46203</v>
      </c>
      <c r="L70" s="336">
        <v>46295</v>
      </c>
      <c r="M70" s="297">
        <f>=EDATE(L70,3)</f>
        <v>46386</v>
      </c>
      <c r="N70" s="306">
        <v>0.046</v>
      </c>
      <c r="O70" s="337">
        <v>0.046</v>
      </c>
      <c r="P70" s="306">
        <v>-0.0259</v>
      </c>
      <c r="Q70" s="306" t="s">
        <v>37</v>
      </c>
      <c r="R70" s="306" t="s">
        <v>37</v>
      </c>
      <c r="S70" s="306" t="s">
        <v>37</v>
      </c>
      <c r="T70" s="306" t="s">
        <v>37</v>
      </c>
      <c r="U70" s="338" t="s">
        <v>240</v>
      </c>
      <c r="V70" s="248" t="s"/>
      <c r="W70" s="266" t="s">
        <v>265</v>
      </c>
      <c r="X70" s="88">
        <f>=N70</f>
        <v>0.046</v>
      </c>
      <c r="Y70" s="89">
        <v>685920.10213239</v>
      </c>
      <c r="Z70" s="90">
        <f>=Y70/X70*5%</f>
        <v>745565.328404772</v>
      </c>
      <c r="AA70" s="49" t="s">
        <v>52</v>
      </c>
      <c r="AB70" s="49" t="s">
        <v>52</v>
      </c>
      <c r="AC70" s="49" t="s">
        <v>41</v>
      </c>
      <c r="AD70" s="49" t="s">
        <v>41</v>
      </c>
      <c r="AE70" s="37">
        <f>=IFERROR(T70-N70,)</f>
        <v>0</v>
      </c>
    </row>
    <row r="71" spans="1:31" s="541" customFormat="1" ht="15" customHeight="1">
      <c r="A71" s="58">
        <v>70</v>
      </c>
      <c r="B71" s="241" t="s">
        <v>53</v>
      </c>
      <c r="C71" s="271" t="s">
        <v>209</v>
      </c>
      <c r="D71" s="272" t="s">
        <v>266</v>
      </c>
      <c r="E71" s="271" t="s">
        <v>56</v>
      </c>
      <c r="F71" s="271" t="s">
        <v>57</v>
      </c>
      <c r="G71" s="273" t="s">
        <v>58</v>
      </c>
      <c r="H71" s="273" t="s">
        <v>59</v>
      </c>
      <c r="I71" s="273" t="s">
        <v>60</v>
      </c>
      <c r="J71" s="273" t="s">
        <v>227</v>
      </c>
      <c r="K71" s="244">
        <f>=EDATE(L71,-3)</f>
        <v>46203</v>
      </c>
      <c r="L71" s="339">
        <v>46295</v>
      </c>
      <c r="M71" s="297">
        <f>=EDATE(L71,3)</f>
        <v>46386</v>
      </c>
      <c r="N71" s="281">
        <v>0.0391</v>
      </c>
      <c r="O71" s="340">
        <v>0.04270896</v>
      </c>
      <c r="P71" s="281" t="s">
        <v>37</v>
      </c>
      <c r="Q71" s="281" t="s">
        <v>37</v>
      </c>
      <c r="R71" s="281" t="s">
        <v>37</v>
      </c>
      <c r="S71" s="281" t="s">
        <v>37</v>
      </c>
      <c r="T71" s="281" t="s">
        <v>37</v>
      </c>
      <c r="U71" s="30" t="s">
        <v>240</v>
      </c>
      <c r="V71" s="248" t="s">
        <v>124</v>
      </c>
      <c r="W71" s="266" t="s">
        <v>182</v>
      </c>
      <c r="X71" s="88">
        <f>=N71</f>
        <v>0.0391</v>
      </c>
      <c r="Y71" s="89">
        <v>393388.47</v>
      </c>
      <c r="Z71" s="90">
        <f>=Y71/X71*5%</f>
        <v>503054.309462916</v>
      </c>
      <c r="AA71" s="49" t="s">
        <v>52</v>
      </c>
      <c r="AB71" s="49" t="s">
        <v>41</v>
      </c>
      <c r="AC71" s="49" t="s">
        <v>41</v>
      </c>
      <c r="AD71" s="49" t="s">
        <v>41</v>
      </c>
      <c r="AE71" s="37">
        <f>=IFERROR(T71-N71,)</f>
        <v>0</v>
      </c>
    </row>
    <row r="72" spans="1:31" s="541" customFormat="1" ht="15" customHeight="1">
      <c r="A72" s="74">
        <v>71</v>
      </c>
      <c r="B72" s="241" t="s">
        <v>53</v>
      </c>
      <c r="C72" s="242" t="s">
        <v>267</v>
      </c>
      <c r="D72" s="243" t="s">
        <v>268</v>
      </c>
      <c r="E72" s="242" t="s">
        <v>56</v>
      </c>
      <c r="F72" s="242" t="s">
        <v>57</v>
      </c>
      <c r="G72" s="242" t="s">
        <v>58</v>
      </c>
      <c r="H72" s="242" t="s">
        <v>59</v>
      </c>
      <c r="I72" s="242" t="s">
        <v>60</v>
      </c>
      <c r="J72" s="242" t="s">
        <v>61</v>
      </c>
      <c r="K72" s="244">
        <f>=EDATE(L72,-3)</f>
        <v>46203</v>
      </c>
      <c r="L72" s="341">
        <v>46295</v>
      </c>
      <c r="M72" s="297">
        <f>=EDATE(L72,3)</f>
        <v>46386</v>
      </c>
      <c r="N72" s="281">
        <v>0.0375</v>
      </c>
      <c r="O72" s="280">
        <v>0.03104562</v>
      </c>
      <c r="P72" s="281" t="s">
        <v>37</v>
      </c>
      <c r="Q72" s="281" t="s">
        <v>37</v>
      </c>
      <c r="R72" s="281" t="s">
        <v>37</v>
      </c>
      <c r="S72" s="281" t="s">
        <v>37</v>
      </c>
      <c r="T72" s="281" t="s">
        <v>37</v>
      </c>
      <c r="U72" s="30" t="s">
        <v>240</v>
      </c>
      <c r="V72" s="248" t="s">
        <v>124</v>
      </c>
      <c r="W72" s="266" t="s">
        <v>182</v>
      </c>
      <c r="X72" s="88">
        <f>=N72</f>
        <v>0.0375</v>
      </c>
      <c r="Y72" s="89">
        <v>392888.41</v>
      </c>
      <c r="Z72" s="90">
        <f>=Y72/X72*5%</f>
        <v>523851.213333333</v>
      </c>
      <c r="AA72" s="49" t="s">
        <v>52</v>
      </c>
      <c r="AB72" s="49" t="s">
        <v>41</v>
      </c>
      <c r="AC72" s="49" t="s">
        <v>41</v>
      </c>
      <c r="AD72" s="49" t="s">
        <v>41</v>
      </c>
      <c r="AE72" s="37">
        <f>=IFERROR(T72-N72,)</f>
        <v>0</v>
      </c>
    </row>
    <row r="73" spans="1:31" s="541" customFormat="1" ht="15" customHeight="1">
      <c r="A73" s="58">
        <v>72</v>
      </c>
      <c r="B73" s="241" t="s">
        <v>53</v>
      </c>
      <c r="C73" s="271" t="s">
        <v>269</v>
      </c>
      <c r="D73" s="272" t="s">
        <v>270</v>
      </c>
      <c r="E73" s="271" t="s">
        <v>56</v>
      </c>
      <c r="F73" s="271" t="s">
        <v>57</v>
      </c>
      <c r="G73" s="273" t="s">
        <v>58</v>
      </c>
      <c r="H73" s="273" t="s">
        <v>59</v>
      </c>
      <c r="I73" s="273" t="s">
        <v>60</v>
      </c>
      <c r="J73" s="273" t="s">
        <v>245</v>
      </c>
      <c r="K73" s="244">
        <f>=EDATE(L73,-3)</f>
        <v>46203</v>
      </c>
      <c r="L73" s="339">
        <v>46295</v>
      </c>
      <c r="M73" s="297">
        <f>=EDATE(L73,3)</f>
        <v>46386</v>
      </c>
      <c r="N73" s="281">
        <v>0.02511674</v>
      </c>
      <c r="O73" s="340">
        <v>0.02863849</v>
      </c>
      <c r="P73" s="281" t="s">
        <v>37</v>
      </c>
      <c r="Q73" s="281" t="s">
        <v>37</v>
      </c>
      <c r="R73" s="281" t="s">
        <v>37</v>
      </c>
      <c r="S73" s="281" t="s">
        <v>37</v>
      </c>
      <c r="T73" s="281" t="s">
        <v>37</v>
      </c>
      <c r="U73" s="148" t="s">
        <v>240</v>
      </c>
      <c r="V73" s="248" t="s">
        <v>124</v>
      </c>
      <c r="W73" s="266" t="s">
        <v>182</v>
      </c>
      <c r="X73" s="88">
        <f>=N73</f>
        <v>0.02511674</v>
      </c>
      <c r="Y73" s="89">
        <v>166677</v>
      </c>
      <c r="Z73" s="90">
        <f>=Y73/X73*5%</f>
        <v>331804.605215486</v>
      </c>
      <c r="AA73" s="49" t="s">
        <v>52</v>
      </c>
      <c r="AB73" s="49" t="s">
        <v>41</v>
      </c>
      <c r="AC73" s="49" t="s">
        <v>41</v>
      </c>
      <c r="AD73" s="49" t="s">
        <v>41</v>
      </c>
      <c r="AE73" s="37">
        <f>=IFERROR(T73-N73,)</f>
        <v>0</v>
      </c>
    </row>
    <row r="74" spans="1:31" s="541" customFormat="1" ht="15" customHeight="1">
      <c r="A74" s="108">
        <v>73</v>
      </c>
      <c r="B74" s="241" t="s">
        <v>42</v>
      </c>
      <c r="C74" s="82" t="s">
        <v>78</v>
      </c>
      <c r="D74" s="252" t="s">
        <v>271</v>
      </c>
      <c r="E74" s="82" t="s">
        <v>138</v>
      </c>
      <c r="F74" s="82" t="s">
        <v>154</v>
      </c>
      <c r="G74" s="82" t="s">
        <v>33</v>
      </c>
      <c r="H74" s="82" t="s">
        <v>92</v>
      </c>
      <c r="I74" s="82" t="s">
        <v>93</v>
      </c>
      <c r="J74" s="82" t="s">
        <v>272</v>
      </c>
      <c r="K74" s="244">
        <f>=EDATE(L74,-3)</f>
        <v>46203</v>
      </c>
      <c r="L74" s="341">
        <v>46295</v>
      </c>
      <c r="M74" s="297">
        <f>=EDATE(L74,3)</f>
        <v>46386</v>
      </c>
      <c r="N74" s="292">
        <v>-0.0266</v>
      </c>
      <c r="O74" s="342">
        <v>-0.0274</v>
      </c>
      <c r="P74" s="292">
        <v>0.0561</v>
      </c>
      <c r="Q74" s="292">
        <v>0.0918</v>
      </c>
      <c r="R74" s="292" t="s">
        <v>37</v>
      </c>
      <c r="S74" s="281" t="s">
        <v>37</v>
      </c>
      <c r="T74" s="292" t="s">
        <v>37</v>
      </c>
      <c r="U74" s="30" t="s">
        <v>240</v>
      </c>
      <c r="V74" s="248" t="s"/>
      <c r="W74" s="266" t="s"/>
      <c r="X74" s="88">
        <f>=N74</f>
        <v>-0.0266</v>
      </c>
      <c r="Y74" s="89">
        <v>-16822766.285194</v>
      </c>
      <c r="Z74" s="90">
        <f>=Y74/X74*5%</f>
        <v>31621741.1375827</v>
      </c>
      <c r="AA74" s="49" t="s">
        <v>52</v>
      </c>
      <c r="AB74" s="49" t="s">
        <v>52</v>
      </c>
      <c r="AC74" s="49" t="s">
        <v>41</v>
      </c>
      <c r="AD74" s="49" t="s">
        <v>41</v>
      </c>
      <c r="AE74" s="37">
        <f>=IFERROR(T74-N74,)</f>
        <v>0</v>
      </c>
    </row>
    <row r="75" spans="1:31" s="541" customFormat="1" ht="15" customHeight="1">
      <c r="A75" s="74">
        <v>74</v>
      </c>
      <c r="B75" s="81" t="s">
        <v>28</v>
      </c>
      <c r="C75" s="343" t="s">
        <v>267</v>
      </c>
      <c r="D75" s="344" t="s">
        <v>273</v>
      </c>
      <c r="E75" s="343" t="s">
        <v>31</v>
      </c>
      <c r="F75" s="343" t="s">
        <v>274</v>
      </c>
      <c r="G75" s="345" t="s">
        <v>91</v>
      </c>
      <c r="H75" s="345" t="s">
        <v>34</v>
      </c>
      <c r="I75" s="345" t="s">
        <v>35</v>
      </c>
      <c r="J75" s="345" t="s">
        <v>36</v>
      </c>
      <c r="K75" s="244">
        <f>=EDATE(L75,-3)</f>
        <v>46203</v>
      </c>
      <c r="L75" s="346">
        <v>46295</v>
      </c>
      <c r="M75" s="297">
        <f>=EDATE(L75,3)</f>
        <v>46386</v>
      </c>
      <c r="N75" s="347" t="s">
        <v>37</v>
      </c>
      <c r="O75" s="348">
        <v>-0.1349</v>
      </c>
      <c r="P75" s="347" t="s">
        <v>37</v>
      </c>
      <c r="Q75" s="347" t="s">
        <v>37</v>
      </c>
      <c r="R75" s="347" t="s">
        <v>37</v>
      </c>
      <c r="S75" s="86" t="s">
        <v>37</v>
      </c>
      <c r="T75" s="347" t="s">
        <v>37</v>
      </c>
      <c r="U75" s="30" t="s">
        <v>240</v>
      </c>
      <c r="V75" s="248" t="s"/>
      <c r="W75" s="266" t="s"/>
      <c r="X75" s="88">
        <f>=O75</f>
        <v>-0.1349</v>
      </c>
      <c r="Y75" s="115">
        <v>-2598866</v>
      </c>
      <c r="Z75" s="90">
        <f>=Y75/X75*5%</f>
        <v>963256.486286138</v>
      </c>
      <c r="AA75" s="36" t="s">
        <v>40</v>
      </c>
      <c r="AB75" s="36" t="s">
        <v>41</v>
      </c>
      <c r="AC75" s="36" t="s">
        <v>41</v>
      </c>
      <c r="AD75" s="36" t="s">
        <v>41</v>
      </c>
      <c r="AE75" s="37">
        <f>=IFERROR(T75-N75,)</f>
        <v>0</v>
      </c>
    </row>
    <row r="76" spans="1:31" s="541" customFormat="1" ht="15" customHeight="1">
      <c r="A76" s="349">
        <v>75</v>
      </c>
      <c r="B76" s="61" t="s">
        <v>86</v>
      </c>
      <c r="C76" s="350" t="s">
        <v>121</v>
      </c>
      <c r="D76" s="351" t="s">
        <v>275</v>
      </c>
      <c r="E76" s="350" t="s">
        <v>138</v>
      </c>
      <c r="F76" s="350" t="s">
        <v>90</v>
      </c>
      <c r="G76" s="350" t="s">
        <v>91</v>
      </c>
      <c r="H76" s="350" t="s">
        <v>92</v>
      </c>
      <c r="I76" s="350" t="s">
        <v>93</v>
      </c>
      <c r="J76" s="350" t="s">
        <v>276</v>
      </c>
      <c r="K76" s="244">
        <f>=EDATE(L76,-3)</f>
        <v>46203</v>
      </c>
      <c r="L76" s="352">
        <v>46295</v>
      </c>
      <c r="M76" s="297">
        <f>=EDATE(L76,3)</f>
        <v>46386</v>
      </c>
      <c r="N76" s="353">
        <v>0.1168</v>
      </c>
      <c r="O76" s="354">
        <v>0.1143</v>
      </c>
      <c r="P76" s="353" t="s">
        <v>37</v>
      </c>
      <c r="Q76" s="353" t="s">
        <v>37</v>
      </c>
      <c r="R76" s="353" t="s">
        <v>37</v>
      </c>
      <c r="S76" s="355" t="s">
        <v>37</v>
      </c>
      <c r="T76" s="353" t="s">
        <v>37</v>
      </c>
      <c r="U76" s="356" t="s">
        <v>240</v>
      </c>
      <c r="V76" s="248" t="s">
        <v>124</v>
      </c>
      <c r="W76" s="357" t="s">
        <v>277</v>
      </c>
      <c r="X76" s="88">
        <f>=N76</f>
        <v>0.1168</v>
      </c>
      <c r="Y76" s="89">
        <v>91413409</v>
      </c>
      <c r="Z76" s="90">
        <f>=Y76/X76*5%</f>
        <v>39132452.4828767</v>
      </c>
      <c r="AA76" s="49" t="s">
        <v>52</v>
      </c>
      <c r="AB76" s="49" t="s">
        <v>41</v>
      </c>
      <c r="AC76" s="49" t="s">
        <v>41</v>
      </c>
      <c r="AD76" s="49" t="s">
        <v>41</v>
      </c>
      <c r="AE76" s="37">
        <f>=IFERROR(T76-N76,)</f>
        <v>0</v>
      </c>
    </row>
    <row r="77" spans="1:31" s="541" customFormat="1" ht="15" customHeight="1">
      <c r="A77" s="264">
        <v>76</v>
      </c>
      <c r="B77" s="81" t="s">
        <v>86</v>
      </c>
      <c r="C77" s="343" t="s">
        <v>121</v>
      </c>
      <c r="D77" s="344" t="s">
        <v>278</v>
      </c>
      <c r="E77" s="343" t="s">
        <v>128</v>
      </c>
      <c r="F77" s="343" t="s">
        <v>90</v>
      </c>
      <c r="G77" s="345" t="s">
        <v>91</v>
      </c>
      <c r="H77" s="345" t="s">
        <v>92</v>
      </c>
      <c r="I77" s="345" t="s">
        <v>93</v>
      </c>
      <c r="J77" s="345" t="s">
        <v>276</v>
      </c>
      <c r="K77" s="244">
        <f>=EDATE(L77,-3)</f>
        <v>46203</v>
      </c>
      <c r="L77" s="346">
        <v>46295</v>
      </c>
      <c r="M77" s="297">
        <f>=EDATE(L77,3)</f>
        <v>46386</v>
      </c>
      <c r="N77" s="358">
        <v>0.04</v>
      </c>
      <c r="O77" s="291">
        <v>0.0279</v>
      </c>
      <c r="P77" s="358" t="s">
        <v>37</v>
      </c>
      <c r="Q77" s="358" t="s">
        <v>37</v>
      </c>
      <c r="R77" s="358" t="s">
        <v>37</v>
      </c>
      <c r="S77" s="358" t="s">
        <v>37</v>
      </c>
      <c r="T77" s="358" t="s">
        <v>37</v>
      </c>
      <c r="U77" s="30" t="s">
        <v>240</v>
      </c>
      <c r="V77" s="248" t="s">
        <v>124</v>
      </c>
      <c r="W77" s="266" t="s">
        <v>277</v>
      </c>
      <c r="X77" s="88">
        <f>=N77</f>
        <v>0.04</v>
      </c>
      <c r="Y77" s="89">
        <v>7536782</v>
      </c>
      <c r="Z77" s="90">
        <f>=Y77/X77*5%</f>
        <v>9420977.5</v>
      </c>
      <c r="AA77" s="49" t="s">
        <v>52</v>
      </c>
      <c r="AB77" s="49" t="s">
        <v>41</v>
      </c>
      <c r="AC77" s="49" t="s">
        <v>41</v>
      </c>
      <c r="AD77" s="49" t="s">
        <v>41</v>
      </c>
      <c r="AE77" s="37">
        <f>=IFERROR(T77-N77,)</f>
        <v>0</v>
      </c>
    </row>
    <row r="78" spans="1:31" s="541" customFormat="1" ht="15" customHeight="1">
      <c r="A78" s="74">
        <v>77</v>
      </c>
      <c r="B78" s="81" t="s">
        <v>86</v>
      </c>
      <c r="C78" s="253" t="s">
        <v>121</v>
      </c>
      <c r="D78" s="359" t="s">
        <v>279</v>
      </c>
      <c r="E78" s="253" t="s">
        <v>153</v>
      </c>
      <c r="F78" s="253" t="s">
        <v>90</v>
      </c>
      <c r="G78" s="253" t="s">
        <v>91</v>
      </c>
      <c r="H78" s="253" t="s">
        <v>92</v>
      </c>
      <c r="I78" s="253" t="s">
        <v>93</v>
      </c>
      <c r="J78" s="253" t="s">
        <v>276</v>
      </c>
      <c r="K78" s="244">
        <f>=EDATE(L78,-3)</f>
        <v>46203</v>
      </c>
      <c r="L78" s="360">
        <v>46295</v>
      </c>
      <c r="M78" s="297">
        <f>=EDATE(L78,3)</f>
        <v>46386</v>
      </c>
      <c r="N78" s="86">
        <v>0.048</v>
      </c>
      <c r="O78" s="298">
        <v>0.042</v>
      </c>
      <c r="P78" s="86" t="s">
        <v>37</v>
      </c>
      <c r="Q78" s="86" t="s">
        <v>37</v>
      </c>
      <c r="R78" s="86" t="s">
        <v>37</v>
      </c>
      <c r="S78" s="86" t="s">
        <v>37</v>
      </c>
      <c r="T78" s="86" t="s">
        <v>37</v>
      </c>
      <c r="U78" s="30" t="s">
        <v>240</v>
      </c>
      <c r="V78" s="248" t="s">
        <v>124</v>
      </c>
      <c r="W78" s="266" t="s">
        <v>277</v>
      </c>
      <c r="X78" s="88">
        <f>=N78</f>
        <v>0.048</v>
      </c>
      <c r="Y78" s="89">
        <v>17944407</v>
      </c>
      <c r="Z78" s="90">
        <f>=Y78/X78*5%</f>
        <v>18692090.625</v>
      </c>
      <c r="AA78" s="49" t="s">
        <v>52</v>
      </c>
      <c r="AB78" s="49" t="s">
        <v>41</v>
      </c>
      <c r="AC78" s="49" t="s">
        <v>41</v>
      </c>
      <c r="AD78" s="49" t="s">
        <v>41</v>
      </c>
      <c r="AE78" s="37">
        <f>=IFERROR(T78-N78,)</f>
        <v>0</v>
      </c>
    </row>
    <row r="79" spans="1:31" s="541" customFormat="1" ht="15" customHeight="1">
      <c r="A79" s="264">
        <v>78</v>
      </c>
      <c r="B79" s="81" t="s">
        <v>86</v>
      </c>
      <c r="C79" s="343" t="s">
        <v>121</v>
      </c>
      <c r="D79" s="344" t="s">
        <v>280</v>
      </c>
      <c r="E79" s="343" t="s">
        <v>89</v>
      </c>
      <c r="F79" s="343" t="s">
        <v>90</v>
      </c>
      <c r="G79" s="345" t="s">
        <v>91</v>
      </c>
      <c r="H79" s="345" t="s">
        <v>92</v>
      </c>
      <c r="I79" s="345" t="s">
        <v>93</v>
      </c>
      <c r="J79" s="345" t="s">
        <v>276</v>
      </c>
      <c r="K79" s="244">
        <f>=EDATE(L79,-3)</f>
        <v>46203</v>
      </c>
      <c r="L79" s="346">
        <v>46295</v>
      </c>
      <c r="M79" s="297">
        <f>=EDATE(L79,3)</f>
        <v>46386</v>
      </c>
      <c r="N79" s="86">
        <v>-0.1304</v>
      </c>
      <c r="O79" s="291">
        <v>-0.132</v>
      </c>
      <c r="P79" s="86" t="s">
        <v>37</v>
      </c>
      <c r="Q79" s="86" t="s">
        <v>37</v>
      </c>
      <c r="R79" s="86" t="s">
        <v>37</v>
      </c>
      <c r="S79" s="86" t="s">
        <v>37</v>
      </c>
      <c r="T79" s="86" t="s">
        <v>37</v>
      </c>
      <c r="U79" s="30" t="s">
        <v>240</v>
      </c>
      <c r="V79" s="248" t="s">
        <v>124</v>
      </c>
      <c r="W79" s="266" t="s">
        <v>277</v>
      </c>
      <c r="X79" s="88">
        <f>=N79</f>
        <v>-0.1304</v>
      </c>
      <c r="Y79" s="89">
        <v>-39775495</v>
      </c>
      <c r="Z79" s="90">
        <f>=Y79/X79*5%</f>
        <v>15251340.107362</v>
      </c>
      <c r="AA79" s="49" t="s">
        <v>52</v>
      </c>
      <c r="AB79" s="49" t="s">
        <v>41</v>
      </c>
      <c r="AC79" s="49" t="s">
        <v>41</v>
      </c>
      <c r="AD79" s="49" t="s">
        <v>41</v>
      </c>
      <c r="AE79" s="37">
        <f>=IFERROR(T79-N79,)</f>
        <v>0</v>
      </c>
    </row>
    <row r="80" spans="1:31" s="548" customFormat="1" ht="15" customHeight="1">
      <c r="A80" s="74">
        <v>79</v>
      </c>
      <c r="B80" s="81" t="s">
        <v>86</v>
      </c>
      <c r="C80" s="253" t="s">
        <v>121</v>
      </c>
      <c r="D80" s="359" t="s">
        <v>281</v>
      </c>
      <c r="E80" s="253" t="s">
        <v>282</v>
      </c>
      <c r="F80" s="253" t="s">
        <v>90</v>
      </c>
      <c r="G80" s="253" t="s">
        <v>91</v>
      </c>
      <c r="H80" s="253" t="s">
        <v>92</v>
      </c>
      <c r="I80" s="253" t="s">
        <v>93</v>
      </c>
      <c r="J80" s="253" t="s">
        <v>276</v>
      </c>
      <c r="K80" s="244">
        <f>=EDATE(L80,-3)</f>
        <v>46203</v>
      </c>
      <c r="L80" s="361">
        <v>46295</v>
      </c>
      <c r="M80" s="297">
        <f>=EDATE(L80,3)</f>
        <v>46386</v>
      </c>
      <c r="N80" s="86">
        <v>0.000016447472099</v>
      </c>
      <c r="O80" s="298">
        <v>-0.0058</v>
      </c>
      <c r="P80" s="86" t="s">
        <v>37</v>
      </c>
      <c r="Q80" s="86" t="s">
        <v>37</v>
      </c>
      <c r="R80" s="86" t="s">
        <v>37</v>
      </c>
      <c r="S80" s="86" t="s">
        <v>37</v>
      </c>
      <c r="T80" s="86" t="s">
        <v>37</v>
      </c>
      <c r="U80" s="236" t="s">
        <v>240</v>
      </c>
      <c r="V80" s="248" t="s">
        <v>124</v>
      </c>
      <c r="W80" s="266" t="s">
        <v>277</v>
      </c>
      <c r="X80" s="88">
        <f>=N80</f>
        <v>0.000016447472099</v>
      </c>
      <c r="Y80" s="303">
        <v>1814</v>
      </c>
      <c r="Z80" s="90">
        <f>=Y80/X80*5%</f>
        <v>5514525.23853283</v>
      </c>
      <c r="AA80" s="49" t="s">
        <v>52</v>
      </c>
      <c r="AB80" s="49" t="s">
        <v>41</v>
      </c>
      <c r="AC80" s="49" t="s">
        <v>41</v>
      </c>
      <c r="AD80" s="49" t="s">
        <v>41</v>
      </c>
      <c r="AE80" s="37">
        <f>=IFERROR(T80-N80,)</f>
        <v>0</v>
      </c>
    </row>
    <row r="81" spans="1:31" s="548" customFormat="1" ht="15" customHeight="1">
      <c r="A81" s="58">
        <v>84</v>
      </c>
      <c r="B81" s="241" t="s">
        <v>53</v>
      </c>
      <c r="C81" s="334" t="s">
        <v>223</v>
      </c>
      <c r="D81" s="362" t="s">
        <v>283</v>
      </c>
      <c r="E81" s="334" t="s">
        <v>56</v>
      </c>
      <c r="F81" s="334" t="s">
        <v>57</v>
      </c>
      <c r="G81" s="334" t="s">
        <v>58</v>
      </c>
      <c r="H81" s="334" t="s">
        <v>59</v>
      </c>
      <c r="I81" s="334" t="s">
        <v>60</v>
      </c>
      <c r="J81" s="334" t="s">
        <v>111</v>
      </c>
      <c r="K81" s="244">
        <f>=EDATE(L81,-3)</f>
        <v>46233</v>
      </c>
      <c r="L81" s="363">
        <v>46325</v>
      </c>
      <c r="M81" s="297">
        <f>=EDATE(L81,3)</f>
        <v>46417</v>
      </c>
      <c r="N81" s="306">
        <v>0.00842261</v>
      </c>
      <c r="O81" s="364">
        <v>0.01072698</v>
      </c>
      <c r="P81" s="306" t="s">
        <v>37</v>
      </c>
      <c r="Q81" s="306" t="s">
        <v>37</v>
      </c>
      <c r="R81" s="306" t="s">
        <v>37</v>
      </c>
      <c r="S81" s="306" t="s">
        <v>37</v>
      </c>
      <c r="T81" s="306" t="s">
        <v>37</v>
      </c>
      <c r="U81" s="30" t="s">
        <v>284</v>
      </c>
      <c r="V81" s="248" t="s">
        <v>124</v>
      </c>
      <c r="W81" s="266" t="s">
        <v>182</v>
      </c>
      <c r="X81" s="88">
        <f>=N81</f>
        <v>0.00842261</v>
      </c>
      <c r="Y81" s="89">
        <v>281883.34</v>
      </c>
      <c r="Z81" s="90">
        <f>=Y81/X81*5%</f>
        <v>1673372.86185636</v>
      </c>
      <c r="AA81" s="49" t="s">
        <v>52</v>
      </c>
      <c r="AB81" s="49" t="s">
        <v>41</v>
      </c>
      <c r="AC81" s="49" t="s">
        <v>41</v>
      </c>
      <c r="AD81" s="49" t="s">
        <v>41</v>
      </c>
      <c r="AE81" s="37">
        <f>=IFERROR(T81-N81,)</f>
        <v>0</v>
      </c>
    </row>
    <row r="82" spans="1:31" s="548" customFormat="1" ht="15" customHeight="1">
      <c r="A82" s="74">
        <v>85</v>
      </c>
      <c r="B82" s="241" t="s">
        <v>53</v>
      </c>
      <c r="C82" s="365" t="s">
        <v>223</v>
      </c>
      <c r="D82" s="366" t="s">
        <v>285</v>
      </c>
      <c r="E82" s="365" t="s">
        <v>56</v>
      </c>
      <c r="F82" s="365" t="s">
        <v>57</v>
      </c>
      <c r="G82" s="367" t="s">
        <v>58</v>
      </c>
      <c r="H82" s="367" t="s">
        <v>59</v>
      </c>
      <c r="I82" s="367" t="s">
        <v>60</v>
      </c>
      <c r="J82" s="367" t="s">
        <v>111</v>
      </c>
      <c r="K82" s="244">
        <f>=EDATE(L82,-3)</f>
        <v>46233</v>
      </c>
      <c r="L82" s="368">
        <v>46325</v>
      </c>
      <c r="M82" s="297">
        <f>=EDATE(L82,3)</f>
        <v>46417</v>
      </c>
      <c r="N82" s="306">
        <v>0.02157004</v>
      </c>
      <c r="O82" s="337">
        <v>0.02732242</v>
      </c>
      <c r="P82" s="306" t="s">
        <v>37</v>
      </c>
      <c r="Q82" s="306" t="s">
        <v>37</v>
      </c>
      <c r="R82" s="306" t="s">
        <v>37</v>
      </c>
      <c r="S82" s="306" t="s">
        <v>37</v>
      </c>
      <c r="T82" s="306" t="s">
        <v>37</v>
      </c>
      <c r="U82" s="30" t="s">
        <v>284</v>
      </c>
      <c r="V82" s="248" t="s">
        <v>124</v>
      </c>
      <c r="W82" s="266" t="s">
        <v>182</v>
      </c>
      <c r="X82" s="88">
        <f>=N82</f>
        <v>0.02157004</v>
      </c>
      <c r="Y82" s="89">
        <v>460060.38</v>
      </c>
      <c r="Z82" s="90">
        <f>=Y82/X82*5%</f>
        <v>1066433.76646497</v>
      </c>
      <c r="AA82" s="49" t="s">
        <v>52</v>
      </c>
      <c r="AB82" s="49" t="s">
        <v>41</v>
      </c>
      <c r="AC82" s="49" t="s">
        <v>41</v>
      </c>
      <c r="AD82" s="49" t="s">
        <v>41</v>
      </c>
      <c r="AE82" s="37">
        <f>=IFERROR(T82-N82,)</f>
        <v>0</v>
      </c>
    </row>
    <row r="83" spans="1:31" s="548" customFormat="1" ht="15" customHeight="1">
      <c r="A83" s="74">
        <v>86</v>
      </c>
      <c r="B83" s="81" t="s">
        <v>86</v>
      </c>
      <c r="C83" s="253" t="s">
        <v>116</v>
      </c>
      <c r="D83" s="359" t="s">
        <v>286</v>
      </c>
      <c r="E83" s="253" t="s">
        <v>89</v>
      </c>
      <c r="F83" s="253" t="s">
        <v>118</v>
      </c>
      <c r="G83" s="253" t="s">
        <v>91</v>
      </c>
      <c r="H83" s="253" t="s">
        <v>92</v>
      </c>
      <c r="I83" s="253" t="s">
        <v>49</v>
      </c>
      <c r="J83" s="253" t="s">
        <v>287</v>
      </c>
      <c r="K83" s="244">
        <f>=EDATE(L83,-3)</f>
        <v>46233</v>
      </c>
      <c r="L83" s="361">
        <v>46325</v>
      </c>
      <c r="M83" s="297">
        <f>=EDATE(L83,3)</f>
        <v>46417</v>
      </c>
      <c r="N83" s="347" t="s">
        <v>37</v>
      </c>
      <c r="O83" s="369">
        <v>0.02</v>
      </c>
      <c r="P83" s="347" t="s">
        <v>37</v>
      </c>
      <c r="Q83" s="347" t="s">
        <v>37</v>
      </c>
      <c r="R83" s="347" t="s">
        <v>37</v>
      </c>
      <c r="S83" s="347" t="s">
        <v>37</v>
      </c>
      <c r="T83" s="347" t="s">
        <v>37</v>
      </c>
      <c r="U83" s="30" t="s">
        <v>284</v>
      </c>
      <c r="V83" s="248" t="s"/>
      <c r="W83" s="266" t="s"/>
      <c r="X83" s="88">
        <f>=O83</f>
        <v>0.02</v>
      </c>
      <c r="Y83" s="89">
        <v>3749809</v>
      </c>
      <c r="Z83" s="90">
        <f>=Y83/X83*5%</f>
        <v>9374522.5</v>
      </c>
      <c r="AA83" s="49" t="s">
        <v>52</v>
      </c>
      <c r="AB83" s="49" t="s">
        <v>41</v>
      </c>
      <c r="AC83" s="49" t="s">
        <v>41</v>
      </c>
      <c r="AD83" s="49" t="s">
        <v>41</v>
      </c>
      <c r="AE83" s="37">
        <f>=IFERROR(T83-N83,)</f>
        <v>0</v>
      </c>
    </row>
    <row r="84" spans="1:31" s="549" customFormat="1" ht="15" customHeight="1">
      <c r="A84" s="74">
        <v>129</v>
      </c>
      <c r="B84" s="81" t="s">
        <v>53</v>
      </c>
      <c r="C84" s="343" t="s">
        <v>64</v>
      </c>
      <c r="D84" s="344" t="s">
        <v>288</v>
      </c>
      <c r="E84" s="343" t="s">
        <v>56</v>
      </c>
      <c r="F84" s="343" t="s">
        <v>57</v>
      </c>
      <c r="G84" s="345" t="s">
        <v>58</v>
      </c>
      <c r="H84" s="345" t="s">
        <v>59</v>
      </c>
      <c r="I84" s="345" t="s">
        <v>60</v>
      </c>
      <c r="J84" s="345" t="s">
        <v>186</v>
      </c>
      <c r="K84" s="254">
        <f>=EDATE(L84,-3)</f>
        <v>46233</v>
      </c>
      <c r="L84" s="370">
        <v>46325</v>
      </c>
      <c r="M84" s="371">
        <f>=EDATE(L84,3)</f>
        <v>46417</v>
      </c>
      <c r="N84" s="347" t="s">
        <v>37</v>
      </c>
      <c r="O84" s="372">
        <v>0.0536</v>
      </c>
      <c r="P84" s="347" t="s">
        <v>37</v>
      </c>
      <c r="Q84" s="347" t="s">
        <v>37</v>
      </c>
      <c r="R84" s="347" t="s">
        <v>37</v>
      </c>
      <c r="S84" s="347" t="s">
        <v>37</v>
      </c>
      <c r="T84" s="347" t="s">
        <v>37</v>
      </c>
      <c r="U84" s="30" t="s">
        <v>284</v>
      </c>
      <c r="V84" s="248" t="s">
        <v>124</v>
      </c>
      <c r="W84" s="32" t="s">
        <v>182</v>
      </c>
      <c r="X84" s="262">
        <f>=O84</f>
        <v>0.0536</v>
      </c>
      <c r="Y84" s="263">
        <v>151968.78</v>
      </c>
      <c r="Z84" s="90">
        <f>=Y84/X84*5%</f>
        <v>141761.921641791</v>
      </c>
      <c r="AA84" s="49" t="s">
        <v>52</v>
      </c>
      <c r="AB84" s="49" t="s">
        <v>41</v>
      </c>
      <c r="AC84" s="49" t="s">
        <v>41</v>
      </c>
      <c r="AD84" s="49" t="s">
        <v>41</v>
      </c>
      <c r="AE84" s="37">
        <f>=IFERROR(T84-N84,)</f>
        <v>0</v>
      </c>
    </row>
    <row r="85" spans="1:31" s="548" customFormat="1" ht="15" customHeight="1">
      <c r="A85" s="74">
        <v>130</v>
      </c>
      <c r="B85" s="81" t="s">
        <v>53</v>
      </c>
      <c r="C85" s="253" t="s">
        <v>64</v>
      </c>
      <c r="D85" s="359" t="s">
        <v>289</v>
      </c>
      <c r="E85" s="253" t="s">
        <v>56</v>
      </c>
      <c r="F85" s="253" t="s">
        <v>57</v>
      </c>
      <c r="G85" s="253" t="s">
        <v>58</v>
      </c>
      <c r="H85" s="253" t="s">
        <v>59</v>
      </c>
      <c r="I85" s="253" t="s">
        <v>60</v>
      </c>
      <c r="J85" s="253" t="s">
        <v>174</v>
      </c>
      <c r="K85" s="254">
        <f>=EDATE(L85,-3)</f>
        <v>46233</v>
      </c>
      <c r="L85" s="373">
        <v>46325</v>
      </c>
      <c r="M85" s="371">
        <f>=EDATE(L85,3)</f>
        <v>46417</v>
      </c>
      <c r="N85" s="347" t="s">
        <v>37</v>
      </c>
      <c r="O85" s="374">
        <v>0.0061</v>
      </c>
      <c r="P85" s="347" t="s">
        <v>37</v>
      </c>
      <c r="Q85" s="347" t="s">
        <v>37</v>
      </c>
      <c r="R85" s="347" t="s">
        <v>37</v>
      </c>
      <c r="S85" s="347" t="s">
        <v>37</v>
      </c>
      <c r="T85" s="347" t="s">
        <v>37</v>
      </c>
      <c r="U85" s="30" t="s">
        <v>284</v>
      </c>
      <c r="V85" s="248" t="s">
        <v>124</v>
      </c>
      <c r="W85" s="32" t="s">
        <v>182</v>
      </c>
      <c r="X85" s="262">
        <f>=O85</f>
        <v>0.0061</v>
      </c>
      <c r="Y85" s="263">
        <v>170286.05</v>
      </c>
      <c r="Z85" s="90">
        <f>=Y85/X85*5%</f>
        <v>1395787.29508197</v>
      </c>
      <c r="AA85" s="49" t="s">
        <v>52</v>
      </c>
      <c r="AB85" s="49" t="s">
        <v>41</v>
      </c>
      <c r="AC85" s="49" t="s">
        <v>41</v>
      </c>
      <c r="AD85" s="49" t="s">
        <v>41</v>
      </c>
      <c r="AE85" s="37">
        <f>=IFERROR(T85-N85,)</f>
        <v>0</v>
      </c>
    </row>
    <row r="86" spans="1:31" s="548" customFormat="1" ht="15.75" customHeight="1">
      <c r="A86" s="108">
        <v>131</v>
      </c>
      <c r="B86" s="81" t="s">
        <v>53</v>
      </c>
      <c r="C86" s="343" t="s">
        <v>64</v>
      </c>
      <c r="D86" s="344" t="s">
        <v>290</v>
      </c>
      <c r="E86" s="343" t="s">
        <v>56</v>
      </c>
      <c r="F86" s="343" t="s">
        <v>57</v>
      </c>
      <c r="G86" s="345" t="s">
        <v>58</v>
      </c>
      <c r="H86" s="345" t="s">
        <v>59</v>
      </c>
      <c r="I86" s="345" t="s">
        <v>60</v>
      </c>
      <c r="J86" s="345" t="s">
        <v>186</v>
      </c>
      <c r="K86" s="254">
        <f>=EDATE(L86,-3)</f>
        <v>46233</v>
      </c>
      <c r="L86" s="370">
        <v>46325</v>
      </c>
      <c r="M86" s="371">
        <f>=EDATE(L86,3)</f>
        <v>46417</v>
      </c>
      <c r="N86" s="347" t="s">
        <v>37</v>
      </c>
      <c r="O86" s="372">
        <v>0.0281</v>
      </c>
      <c r="P86" s="347" t="s">
        <v>37</v>
      </c>
      <c r="Q86" s="347" t="s">
        <v>37</v>
      </c>
      <c r="R86" s="347" t="s">
        <v>37</v>
      </c>
      <c r="S86" s="347" t="s">
        <v>37</v>
      </c>
      <c r="T86" s="347" t="s">
        <v>37</v>
      </c>
      <c r="U86" s="30" t="s">
        <v>284</v>
      </c>
      <c r="V86" s="248" t="s">
        <v>124</v>
      </c>
      <c r="W86" s="32" t="s">
        <v>182</v>
      </c>
      <c r="X86" s="262">
        <f>=O86</f>
        <v>0.0281</v>
      </c>
      <c r="Y86" s="263">
        <v>351865</v>
      </c>
      <c r="Z86" s="90">
        <f>=Y86/X86*5%</f>
        <v>626094.306049822</v>
      </c>
      <c r="AA86" s="49" t="s">
        <v>52</v>
      </c>
      <c r="AB86" s="49" t="s">
        <v>41</v>
      </c>
      <c r="AC86" s="49" t="s">
        <v>41</v>
      </c>
      <c r="AD86" s="49" t="s">
        <v>41</v>
      </c>
      <c r="AE86" s="37">
        <f>=IFERROR(T86-N86,)</f>
        <v>0</v>
      </c>
    </row>
    <row r="87" spans="1:31" s="541" customFormat="1" ht="15" customHeight="1">
      <c r="A87" s="58">
        <v>144</v>
      </c>
      <c r="B87" s="81" t="s">
        <v>86</v>
      </c>
      <c r="C87" s="253" t="s">
        <v>116</v>
      </c>
      <c r="D87" s="359" t="s">
        <v>291</v>
      </c>
      <c r="E87" s="253" t="s">
        <v>89</v>
      </c>
      <c r="F87" s="253" t="s">
        <v>118</v>
      </c>
      <c r="G87" s="253" t="s">
        <v>91</v>
      </c>
      <c r="H87" s="253" t="s">
        <v>92</v>
      </c>
      <c r="I87" s="253" t="s">
        <v>93</v>
      </c>
      <c r="J87" s="253" t="s">
        <v>292</v>
      </c>
      <c r="K87" s="375">
        <f>=EDATE(L87,-3)</f>
        <v>46234</v>
      </c>
      <c r="L87" s="373">
        <v>46326</v>
      </c>
      <c r="M87" s="371">
        <f>=EDATE(L87,3)</f>
        <v>46418</v>
      </c>
      <c r="N87" s="376">
        <v>-0.018</v>
      </c>
      <c r="O87" s="377">
        <v>0.02</v>
      </c>
      <c r="P87" s="86" t="s">
        <v>37</v>
      </c>
      <c r="Q87" s="86" t="s">
        <v>37</v>
      </c>
      <c r="R87" s="86" t="s">
        <v>37</v>
      </c>
      <c r="S87" s="86" t="s">
        <v>37</v>
      </c>
      <c r="T87" s="86" t="s">
        <v>37</v>
      </c>
      <c r="U87" s="30" t="s">
        <v>284</v>
      </c>
      <c r="V87" s="378" t="s"/>
      <c r="W87" s="379" t="s"/>
      <c r="X87" s="262">
        <f>=N87</f>
        <v>-0.018</v>
      </c>
      <c r="Y87" s="380">
        <v>-488474.15307056</v>
      </c>
      <c r="Z87" s="90">
        <f>=Y87/X87*5%</f>
        <v>1356872.64741822</v>
      </c>
      <c r="AA87" s="49" t="s">
        <v>52</v>
      </c>
      <c r="AB87" s="49" t="s">
        <v>41</v>
      </c>
      <c r="AC87" s="49" t="s">
        <v>41</v>
      </c>
      <c r="AD87" s="49" t="s">
        <v>41</v>
      </c>
      <c r="AE87" s="37">
        <f>=IFERROR(T87-N87,)</f>
        <v>0</v>
      </c>
    </row>
    <row r="88" spans="1:31" s="541" customFormat="1" ht="15" customHeight="1">
      <c r="A88" s="264">
        <v>87</v>
      </c>
      <c r="B88" s="241" t="s">
        <v>42</v>
      </c>
      <c r="C88" s="365" t="s">
        <v>293</v>
      </c>
      <c r="D88" s="366" t="s">
        <v>294</v>
      </c>
      <c r="E88" s="365" t="s">
        <v>295</v>
      </c>
      <c r="F88" s="365" t="s">
        <v>46</v>
      </c>
      <c r="G88" s="367" t="s">
        <v>47</v>
      </c>
      <c r="H88" s="367" t="s">
        <v>48</v>
      </c>
      <c r="I88" s="367" t="s">
        <v>49</v>
      </c>
      <c r="J88" s="367" t="s">
        <v>181</v>
      </c>
      <c r="K88" s="381">
        <f>=EDATE(L88,-3)</f>
        <v>46235</v>
      </c>
      <c r="L88" s="382">
        <v>46327</v>
      </c>
      <c r="M88" s="297">
        <f>=EDATE(L88,3)</f>
        <v>46419</v>
      </c>
      <c r="N88" s="246">
        <v>0.03216346</v>
      </c>
      <c r="O88" s="247">
        <v>0.03216346</v>
      </c>
      <c r="P88" s="246" t="s">
        <v>37</v>
      </c>
      <c r="Q88" s="246" t="s">
        <v>37</v>
      </c>
      <c r="R88" s="246" t="s">
        <v>37</v>
      </c>
      <c r="S88" s="246">
        <v>0.0828</v>
      </c>
      <c r="T88" s="246" t="s">
        <v>37</v>
      </c>
      <c r="U88" s="30" t="s">
        <v>284</v>
      </c>
      <c r="V88" s="248" t="s"/>
      <c r="W88" s="266" t="s">
        <v>296</v>
      </c>
      <c r="X88" s="88">
        <f>=N88</f>
        <v>0.03216346</v>
      </c>
      <c r="Y88" s="89">
        <v>1330584.64755886</v>
      </c>
      <c r="Z88" s="90">
        <f>=Y88/X88*5%</f>
        <v>2068472.4957434</v>
      </c>
      <c r="AA88" s="49" t="s">
        <v>52</v>
      </c>
      <c r="AB88" s="49" t="s">
        <v>41</v>
      </c>
      <c r="AC88" s="49" t="s">
        <v>52</v>
      </c>
      <c r="AD88" s="49" t="s">
        <v>41</v>
      </c>
      <c r="AE88" s="37">
        <f>=IFERROR(T88-N88,)</f>
        <v>0</v>
      </c>
    </row>
    <row r="89" spans="1:31" s="541" customFormat="1" ht="15" customHeight="1">
      <c r="A89" s="264">
        <v>88</v>
      </c>
      <c r="B89" s="81" t="s">
        <v>53</v>
      </c>
      <c r="C89" s="253" t="s">
        <v>297</v>
      </c>
      <c r="D89" s="359" t="s">
        <v>298</v>
      </c>
      <c r="E89" s="253" t="s">
        <v>56</v>
      </c>
      <c r="F89" s="253" t="s">
        <v>57</v>
      </c>
      <c r="G89" s="253" t="s">
        <v>58</v>
      </c>
      <c r="H89" s="253" t="s">
        <v>59</v>
      </c>
      <c r="I89" s="253" t="s">
        <v>60</v>
      </c>
      <c r="J89" s="253" t="s">
        <v>194</v>
      </c>
      <c r="K89" s="244">
        <f>=EDATE(L89,-3)</f>
        <v>46254</v>
      </c>
      <c r="L89" s="383">
        <v>46346</v>
      </c>
      <c r="M89" s="297">
        <f>=EDATE(L89,3)</f>
        <v>46438</v>
      </c>
      <c r="N89" s="86" t="s">
        <v>37</v>
      </c>
      <c r="O89" s="291">
        <v>0.05449172</v>
      </c>
      <c r="P89" s="86" t="s">
        <v>37</v>
      </c>
      <c r="Q89" s="86" t="s">
        <v>37</v>
      </c>
      <c r="R89" s="86" t="s">
        <v>37</v>
      </c>
      <c r="S89" s="86" t="s">
        <v>37</v>
      </c>
      <c r="T89" s="86" t="s">
        <v>37</v>
      </c>
      <c r="U89" s="30" t="s">
        <v>284</v>
      </c>
      <c r="V89" s="248" t="s">
        <v>124</v>
      </c>
      <c r="W89" s="266" t="s">
        <v>182</v>
      </c>
      <c r="X89" s="88">
        <f>=O89</f>
        <v>0.05449172</v>
      </c>
      <c r="Y89" s="89">
        <v>1007900.72</v>
      </c>
      <c r="Z89" s="90">
        <f>=Y89/X89*5%</f>
        <v>924820.064406115</v>
      </c>
      <c r="AA89" s="49" t="s">
        <v>52</v>
      </c>
      <c r="AB89" s="49" t="s">
        <v>41</v>
      </c>
      <c r="AC89" s="49" t="s">
        <v>41</v>
      </c>
      <c r="AD89" s="49" t="s">
        <v>41</v>
      </c>
      <c r="AE89" s="37">
        <f>=IFERROR(T89-N89,)</f>
        <v>0</v>
      </c>
    </row>
    <row r="90" spans="1:31" s="550" customFormat="1" ht="15" customHeight="1">
      <c r="A90" s="384">
        <v>89</v>
      </c>
      <c r="B90" s="385" t="s">
        <v>53</v>
      </c>
      <c r="C90" s="386" t="s">
        <v>299</v>
      </c>
      <c r="D90" s="387" t="s">
        <v>300</v>
      </c>
      <c r="E90" s="386" t="s">
        <v>301</v>
      </c>
      <c r="F90" s="386" t="s">
        <v>167</v>
      </c>
      <c r="G90" s="388" t="s">
        <v>58</v>
      </c>
      <c r="H90" s="388" t="s">
        <v>92</v>
      </c>
      <c r="I90" s="388" t="s">
        <v>93</v>
      </c>
      <c r="J90" s="388" t="s">
        <v>93</v>
      </c>
      <c r="K90" s="389">
        <f>=EDATE(L90,-3)</f>
        <v>46264</v>
      </c>
      <c r="L90" s="390">
        <v>46356</v>
      </c>
      <c r="M90" s="297">
        <f>=EDATE(L90,3)</f>
        <v>46446</v>
      </c>
      <c r="N90" s="391">
        <v>0.0246</v>
      </c>
      <c r="O90" s="392">
        <v>0.03508449</v>
      </c>
      <c r="P90" s="391" t="s">
        <v>37</v>
      </c>
      <c r="Q90" s="391" t="s">
        <v>37</v>
      </c>
      <c r="R90" s="391" t="s">
        <v>37</v>
      </c>
      <c r="S90" s="391" t="s">
        <v>37</v>
      </c>
      <c r="T90" s="391" t="s">
        <v>37</v>
      </c>
      <c r="U90" s="30" t="s">
        <v>284</v>
      </c>
      <c r="V90" s="393" t="s"/>
      <c r="W90" s="394" t="s"/>
      <c r="X90" s="395">
        <f>=N90</f>
        <v>0.0246</v>
      </c>
      <c r="Y90" s="396">
        <v>15088887.2311035</v>
      </c>
      <c r="Z90" s="397">
        <f>=Y90/X90*5%</f>
        <v>30668469.9819177</v>
      </c>
      <c r="AA90" s="398" t="s">
        <v>52</v>
      </c>
      <c r="AB90" s="398" t="s">
        <v>41</v>
      </c>
      <c r="AC90" s="398" t="s">
        <v>41</v>
      </c>
      <c r="AD90" s="398" t="s">
        <v>41</v>
      </c>
      <c r="AE90" s="37">
        <f>=IFERROR(T90-N90,)</f>
        <v>0</v>
      </c>
    </row>
    <row r="91" spans="1:31" s="550" customFormat="1" ht="15" customHeight="1">
      <c r="A91" s="399">
        <v>90</v>
      </c>
      <c r="B91" s="385" t="s">
        <v>53</v>
      </c>
      <c r="C91" s="400" t="s">
        <v>299</v>
      </c>
      <c r="D91" s="401" t="s">
        <v>302</v>
      </c>
      <c r="E91" s="400" t="s">
        <v>303</v>
      </c>
      <c r="F91" s="400" t="s">
        <v>167</v>
      </c>
      <c r="G91" s="400" t="s">
        <v>58</v>
      </c>
      <c r="H91" s="400" t="s">
        <v>92</v>
      </c>
      <c r="I91" s="400" t="s">
        <v>93</v>
      </c>
      <c r="J91" s="400" t="s">
        <v>304</v>
      </c>
      <c r="K91" s="389">
        <f>=EDATE(L91,-3)</f>
        <v>46264</v>
      </c>
      <c r="L91" s="402">
        <v>46356</v>
      </c>
      <c r="M91" s="297">
        <f>=EDATE(L91,3)</f>
        <v>46446</v>
      </c>
      <c r="N91" s="391">
        <v>0.0289</v>
      </c>
      <c r="O91" s="403">
        <v>0.03519763</v>
      </c>
      <c r="P91" s="391" t="s">
        <v>37</v>
      </c>
      <c r="Q91" s="391" t="s">
        <v>37</v>
      </c>
      <c r="R91" s="391" t="s">
        <v>37</v>
      </c>
      <c r="S91" s="391" t="s">
        <v>37</v>
      </c>
      <c r="T91" s="391" t="s">
        <v>37</v>
      </c>
      <c r="U91" s="30" t="s">
        <v>284</v>
      </c>
      <c r="V91" s="393" t="s"/>
      <c r="W91" s="394" t="s"/>
      <c r="X91" s="395">
        <f>=N91</f>
        <v>0.0289</v>
      </c>
      <c r="Y91" s="396">
        <v>30645060.4033983</v>
      </c>
      <c r="Z91" s="397">
        <f>=Y91/X91*5%</f>
        <v>53019135.6460178</v>
      </c>
      <c r="AA91" s="398" t="s">
        <v>52</v>
      </c>
      <c r="AB91" s="398" t="s">
        <v>41</v>
      </c>
      <c r="AC91" s="398" t="s">
        <v>41</v>
      </c>
      <c r="AD91" s="398" t="s">
        <v>41</v>
      </c>
      <c r="AE91" s="37">
        <f>=IFERROR(T91-N91,)</f>
        <v>0</v>
      </c>
    </row>
    <row r="92" spans="1:31" s="541" customFormat="1" ht="15" customHeight="1">
      <c r="A92" s="58">
        <v>91</v>
      </c>
      <c r="B92" s="241" t="s">
        <v>28</v>
      </c>
      <c r="C92" s="365" t="s">
        <v>64</v>
      </c>
      <c r="D92" s="366" t="s">
        <v>305</v>
      </c>
      <c r="E92" s="365" t="s">
        <v>31</v>
      </c>
      <c r="F92" s="365" t="s">
        <v>66</v>
      </c>
      <c r="G92" s="367" t="s">
        <v>47</v>
      </c>
      <c r="H92" s="367" t="s">
        <v>34</v>
      </c>
      <c r="I92" s="367" t="s">
        <v>35</v>
      </c>
      <c r="J92" s="367" t="s">
        <v>67</v>
      </c>
      <c r="K92" s="244">
        <f>=EDATE(L92,-3)</f>
        <v>46264</v>
      </c>
      <c r="L92" s="404">
        <v>46356</v>
      </c>
      <c r="M92" s="297">
        <f>=EDATE(L92,3)</f>
        <v>46446</v>
      </c>
      <c r="N92" s="246" t="s">
        <v>37</v>
      </c>
      <c r="O92" s="276">
        <v>0.02</v>
      </c>
      <c r="P92" s="246" t="s">
        <v>37</v>
      </c>
      <c r="Q92" s="246" t="s">
        <v>37</v>
      </c>
      <c r="R92" s="246" t="s">
        <v>37</v>
      </c>
      <c r="S92" s="246" t="s">
        <v>37</v>
      </c>
      <c r="T92" s="246" t="s">
        <v>37</v>
      </c>
      <c r="U92" s="236" t="s">
        <v>284</v>
      </c>
      <c r="V92" s="248" t="s"/>
      <c r="W92" s="266" t="s"/>
      <c r="X92" s="88">
        <f>=O92</f>
        <v>0.02</v>
      </c>
      <c r="Y92" s="115">
        <v>561006</v>
      </c>
      <c r="Z92" s="90">
        <f>=Y92/X92*5%</f>
        <v>1402515</v>
      </c>
      <c r="AA92" s="36" t="s">
        <v>52</v>
      </c>
      <c r="AB92" s="36" t="s">
        <v>41</v>
      </c>
      <c r="AC92" s="36" t="s">
        <v>41</v>
      </c>
      <c r="AD92" s="36" t="s">
        <v>41</v>
      </c>
      <c r="AE92" s="37">
        <f>=IFERROR(T92-N92,)</f>
        <v>0</v>
      </c>
    </row>
    <row r="93" spans="1:31" s="541" customFormat="1" ht="15" customHeight="1">
      <c r="A93" s="74">
        <v>92</v>
      </c>
      <c r="B93" s="241" t="s">
        <v>53</v>
      </c>
      <c r="C93" s="334" t="s">
        <v>225</v>
      </c>
      <c r="D93" s="362" t="s">
        <v>306</v>
      </c>
      <c r="E93" s="334" t="s">
        <v>56</v>
      </c>
      <c r="F93" s="334" t="s">
        <v>57</v>
      </c>
      <c r="G93" s="334" t="s">
        <v>58</v>
      </c>
      <c r="H93" s="334" t="s">
        <v>59</v>
      </c>
      <c r="I93" s="334" t="s">
        <v>60</v>
      </c>
      <c r="J93" s="334" t="s">
        <v>227</v>
      </c>
      <c r="K93" s="244">
        <f>=EDATE(L93,-3)</f>
        <v>46264</v>
      </c>
      <c r="L93" s="360">
        <v>46356</v>
      </c>
      <c r="M93" s="297">
        <f>=EDATE(L93,3)</f>
        <v>46446</v>
      </c>
      <c r="N93" s="246">
        <v>0.01034897</v>
      </c>
      <c r="O93" s="251">
        <v>0.01097341</v>
      </c>
      <c r="P93" s="246" t="s">
        <v>37</v>
      </c>
      <c r="Q93" s="246" t="s">
        <v>37</v>
      </c>
      <c r="R93" s="246" t="s">
        <v>37</v>
      </c>
      <c r="S93" s="246" t="s">
        <v>37</v>
      </c>
      <c r="T93" s="246" t="s">
        <v>37</v>
      </c>
      <c r="U93" s="30" t="s">
        <v>284</v>
      </c>
      <c r="V93" s="248" t="s">
        <v>124</v>
      </c>
      <c r="W93" s="266" t="s">
        <v>182</v>
      </c>
      <c r="X93" s="88">
        <f>=N93</f>
        <v>0.01034897</v>
      </c>
      <c r="Y93" s="89">
        <v>83599.02</v>
      </c>
      <c r="Z93" s="90">
        <f>=Y93/X93*5%</f>
        <v>403900.194898623</v>
      </c>
      <c r="AA93" s="49" t="s">
        <v>52</v>
      </c>
      <c r="AB93" s="49" t="s">
        <v>41</v>
      </c>
      <c r="AC93" s="49" t="s">
        <v>41</v>
      </c>
      <c r="AD93" s="49" t="s">
        <v>41</v>
      </c>
      <c r="AE93" s="37">
        <f>=IFERROR(T93-N93,)</f>
        <v>0</v>
      </c>
    </row>
    <row r="94" spans="1:31" s="541" customFormat="1" ht="15" customHeight="1">
      <c r="A94" s="78">
        <v>93</v>
      </c>
      <c r="B94" s="241" t="s">
        <v>42</v>
      </c>
      <c r="C94" s="343" t="s">
        <v>299</v>
      </c>
      <c r="D94" s="344" t="s">
        <v>307</v>
      </c>
      <c r="E94" s="343" t="s">
        <v>89</v>
      </c>
      <c r="F94" s="343" t="s">
        <v>154</v>
      </c>
      <c r="G94" s="345" t="s">
        <v>33</v>
      </c>
      <c r="H94" s="345" t="s">
        <v>92</v>
      </c>
      <c r="I94" s="345" t="s">
        <v>49</v>
      </c>
      <c r="J94" s="345" t="s">
        <v>308</v>
      </c>
      <c r="K94" s="244">
        <f>=EDATE(L94,-3)</f>
        <v>46264</v>
      </c>
      <c r="L94" s="404">
        <v>46356</v>
      </c>
      <c r="M94" s="297">
        <f>=EDATE(L94,3)</f>
        <v>46446</v>
      </c>
      <c r="N94" s="405" t="s">
        <v>37</v>
      </c>
      <c r="O94" s="406">
        <v>0.0715</v>
      </c>
      <c r="P94" s="405" t="s">
        <v>37</v>
      </c>
      <c r="Q94" s="405">
        <v>0.1023</v>
      </c>
      <c r="R94" s="405" t="s">
        <v>37</v>
      </c>
      <c r="S94" s="405" t="s">
        <v>37</v>
      </c>
      <c r="T94" s="405" t="s">
        <v>37</v>
      </c>
      <c r="U94" s="30" t="s">
        <v>284</v>
      </c>
      <c r="V94" s="248" t="s"/>
      <c r="W94" s="266" t="s"/>
      <c r="X94" s="88">
        <f>=O94</f>
        <v>0.0715</v>
      </c>
      <c r="Y94" s="407">
        <v>19567629</v>
      </c>
      <c r="Z94" s="90">
        <f>=Y94/X94*5%</f>
        <v>13683656.6433566</v>
      </c>
      <c r="AA94" s="49" t="s">
        <v>52</v>
      </c>
      <c r="AB94" s="49" t="s">
        <v>52</v>
      </c>
      <c r="AC94" s="49" t="s">
        <v>41</v>
      </c>
      <c r="AD94" s="49" t="s">
        <v>41</v>
      </c>
      <c r="AE94" s="37">
        <f>=IFERROR(T94-N94,)</f>
        <v>0</v>
      </c>
    </row>
    <row r="95" spans="1:31" s="550" customFormat="1" ht="15" customHeight="1">
      <c r="A95" s="399">
        <v>94</v>
      </c>
      <c r="B95" s="385" t="s">
        <v>53</v>
      </c>
      <c r="C95" s="400" t="s">
        <v>147</v>
      </c>
      <c r="D95" s="401" t="s">
        <v>309</v>
      </c>
      <c r="E95" s="400" t="s">
        <v>138</v>
      </c>
      <c r="F95" s="400" t="s">
        <v>149</v>
      </c>
      <c r="G95" s="400" t="s">
        <v>58</v>
      </c>
      <c r="H95" s="400" t="s">
        <v>92</v>
      </c>
      <c r="I95" s="400" t="s">
        <v>93</v>
      </c>
      <c r="J95" s="400" t="s">
        <v>310</v>
      </c>
      <c r="K95" s="389">
        <f>=EDATE(L95,-3)</f>
        <v>46295</v>
      </c>
      <c r="L95" s="402">
        <v>46386</v>
      </c>
      <c r="M95" s="297">
        <f>=EDATE(L95,3)</f>
        <v>46476</v>
      </c>
      <c r="N95" s="391">
        <v>-0.2568</v>
      </c>
      <c r="O95" s="403">
        <v>-0.25678355</v>
      </c>
      <c r="P95" s="391" t="s">
        <v>37</v>
      </c>
      <c r="Q95" s="391" t="s">
        <v>37</v>
      </c>
      <c r="R95" s="391" t="s">
        <v>37</v>
      </c>
      <c r="S95" s="391" t="s">
        <v>37</v>
      </c>
      <c r="T95" s="391" t="s">
        <v>37</v>
      </c>
      <c r="U95" s="236" t="s">
        <v>284</v>
      </c>
      <c r="V95" s="408" t="s"/>
      <c r="W95" s="394" t="s"/>
      <c r="X95" s="395">
        <f>=N95</f>
        <v>-0.2568</v>
      </c>
      <c r="Y95" s="409">
        <v>-184847671.1</v>
      </c>
      <c r="Z95" s="397">
        <f>=Y95/X95*5%</f>
        <v>35990590.1674455</v>
      </c>
      <c r="AA95" s="398" t="s">
        <v>52</v>
      </c>
      <c r="AB95" s="398" t="s">
        <v>41</v>
      </c>
      <c r="AC95" s="398" t="s">
        <v>41</v>
      </c>
      <c r="AD95" s="398" t="s">
        <v>41</v>
      </c>
      <c r="AE95" s="37">
        <f>=IFERROR(T95-N95,)</f>
        <v>0</v>
      </c>
    </row>
    <row r="96" spans="1:31" s="541" customFormat="1" ht="15" customHeight="1">
      <c r="A96" s="58">
        <v>95</v>
      </c>
      <c r="B96" s="241" t="s">
        <v>53</v>
      </c>
      <c r="C96" s="365" t="s">
        <v>64</v>
      </c>
      <c r="D96" s="366" t="s">
        <v>311</v>
      </c>
      <c r="E96" s="365" t="s">
        <v>56</v>
      </c>
      <c r="F96" s="365" t="s">
        <v>57</v>
      </c>
      <c r="G96" s="367" t="s">
        <v>58</v>
      </c>
      <c r="H96" s="367" t="s">
        <v>59</v>
      </c>
      <c r="I96" s="367" t="s">
        <v>60</v>
      </c>
      <c r="J96" s="367" t="s">
        <v>174</v>
      </c>
      <c r="K96" s="244">
        <f>=EDATE(L96,-3)</f>
        <v>46295</v>
      </c>
      <c r="L96" s="404">
        <v>46386</v>
      </c>
      <c r="M96" s="297">
        <f>=EDATE(L96,3)</f>
        <v>46476</v>
      </c>
      <c r="N96" s="246">
        <v>0.08240509</v>
      </c>
      <c r="O96" s="247">
        <v>0.07675479</v>
      </c>
      <c r="P96" s="246" t="s">
        <v>37</v>
      </c>
      <c r="Q96" s="246" t="s">
        <v>37</v>
      </c>
      <c r="R96" s="246" t="s">
        <v>37</v>
      </c>
      <c r="S96" s="246" t="s">
        <v>37</v>
      </c>
      <c r="T96" s="405" t="s">
        <v>37</v>
      </c>
      <c r="U96" s="236" t="s">
        <v>284</v>
      </c>
      <c r="V96" s="325" t="s">
        <v>124</v>
      </c>
      <c r="W96" s="266" t="s">
        <v>182</v>
      </c>
      <c r="X96" s="88">
        <f>=N96</f>
        <v>0.08240509</v>
      </c>
      <c r="Y96" s="89">
        <v>2120952.85</v>
      </c>
      <c r="Z96" s="90">
        <f>=Y96/X96*5%</f>
        <v>1286906.45808408</v>
      </c>
      <c r="AA96" s="49" t="s">
        <v>52</v>
      </c>
      <c r="AB96" s="49" t="s">
        <v>41</v>
      </c>
      <c r="AC96" s="49" t="s">
        <v>41</v>
      </c>
      <c r="AD96" s="49" t="s">
        <v>41</v>
      </c>
      <c r="AE96" s="37">
        <f>=IFERROR(T96-N96,)</f>
        <v>0</v>
      </c>
    </row>
    <row r="97" spans="1:31" s="541" customFormat="1" ht="15" customHeight="1">
      <c r="A97" s="74">
        <v>96</v>
      </c>
      <c r="B97" s="230" t="s">
        <v>86</v>
      </c>
      <c r="C97" s="253" t="s">
        <v>121</v>
      </c>
      <c r="D97" s="410" t="s">
        <v>312</v>
      </c>
      <c r="E97" s="253" t="s">
        <v>128</v>
      </c>
      <c r="F97" s="253" t="s">
        <v>90</v>
      </c>
      <c r="G97" s="253" t="s">
        <v>91</v>
      </c>
      <c r="H97" s="253" t="s">
        <v>92</v>
      </c>
      <c r="I97" s="253" t="s">
        <v>93</v>
      </c>
      <c r="J97" s="253" t="s">
        <v>94</v>
      </c>
      <c r="K97" s="244">
        <f>=EDATE(L97,-3)</f>
        <v>46295</v>
      </c>
      <c r="L97" s="360">
        <v>46387</v>
      </c>
      <c r="M97" s="24">
        <f>=EDATE(L97,3)</f>
        <v>46477</v>
      </c>
      <c r="N97" s="86" t="s">
        <v>37</v>
      </c>
      <c r="O97" s="291" t="s">
        <v>37</v>
      </c>
      <c r="P97" s="86" t="s">
        <v>37</v>
      </c>
      <c r="Q97" s="86" t="s">
        <v>37</v>
      </c>
      <c r="R97" s="86" t="s">
        <v>37</v>
      </c>
      <c r="S97" s="86" t="s">
        <v>37</v>
      </c>
      <c r="T97" s="86" t="s">
        <v>37</v>
      </c>
      <c r="U97" s="30" t="s">
        <v>38</v>
      </c>
      <c r="V97" s="248" t="s"/>
      <c r="W97" s="266" t="s">
        <v>313</v>
      </c>
      <c r="X97" s="33" t="s">
        <v>38</v>
      </c>
      <c r="Y97" s="34" t="s"/>
      <c r="Z97" s="35" t="s"/>
      <c r="AA97" s="49" t="s">
        <v>41</v>
      </c>
      <c r="AB97" s="49" t="s">
        <v>41</v>
      </c>
      <c r="AC97" s="49" t="s">
        <v>41</v>
      </c>
      <c r="AD97" s="49" t="s">
        <v>41</v>
      </c>
      <c r="AE97" s="37">
        <f>=IFERROR(T97-N97,)</f>
        <v>0</v>
      </c>
    </row>
    <row r="98" spans="1:31" s="541" customFormat="1" ht="15" customHeight="1">
      <c r="A98" s="384">
        <v>153</v>
      </c>
      <c r="B98" s="411" t="s">
        <v>196</v>
      </c>
      <c r="C98" s="412" t="s">
        <v>314</v>
      </c>
      <c r="D98" s="413" t="s">
        <v>658</v>
      </c>
      <c r="E98" s="412" t="s">
        <v>89</v>
      </c>
      <c r="F98" s="412" t="s">
        <v>32</v>
      </c>
      <c r="G98" s="414" t="s">
        <v>58</v>
      </c>
      <c r="H98" s="414" t="s">
        <v>92</v>
      </c>
      <c r="I98" s="414" t="s">
        <v>93</v>
      </c>
      <c r="J98" s="414" t="s">
        <v>315</v>
      </c>
      <c r="K98" s="415">
        <f>=EDATE(L98,-3)</f>
        <v>46296</v>
      </c>
      <c r="L98" s="416">
        <v>46388</v>
      </c>
      <c r="M98" s="371">
        <f>=EDATE(L98,3)</f>
        <v>46478</v>
      </c>
      <c r="N98" s="417" t="s">
        <v>37</v>
      </c>
      <c r="O98" s="418">
        <v>0.105</v>
      </c>
      <c r="P98" s="417" t="s">
        <v>37</v>
      </c>
      <c r="Q98" s="417" t="s">
        <v>37</v>
      </c>
      <c r="R98" s="417" t="s">
        <v>37</v>
      </c>
      <c r="S98" s="417" t="s">
        <v>37</v>
      </c>
      <c r="T98" s="417" t="s">
        <v>37</v>
      </c>
      <c r="U98" s="30" t="s">
        <v>316</v>
      </c>
      <c r="V98" s="393" t="s"/>
      <c r="W98" s="394" t="s">
        <v>317</v>
      </c>
      <c r="X98" s="419" t="s"/>
      <c r="Y98" s="420" t="s"/>
      <c r="Z98" s="421" t="s"/>
      <c r="AA98" s="398" t="s">
        <v>52</v>
      </c>
      <c r="AB98" s="398" t="s">
        <v>41</v>
      </c>
      <c r="AC98" s="398" t="s">
        <v>41</v>
      </c>
      <c r="AD98" s="398" t="s">
        <v>41</v>
      </c>
      <c r="AE98" s="37">
        <f>=IFERROR(T98-N98,)</f>
        <v>0</v>
      </c>
    </row>
    <row r="99" spans="1:31" s="541" customFormat="1" ht="15" customHeight="1">
      <c r="A99" s="264">
        <v>97</v>
      </c>
      <c r="B99" s="331" t="s">
        <v>42</v>
      </c>
      <c r="C99" s="334" t="s">
        <v>293</v>
      </c>
      <c r="D99" s="422" t="s">
        <v>318</v>
      </c>
      <c r="E99" s="334" t="s">
        <v>45</v>
      </c>
      <c r="F99" s="334" t="s">
        <v>46</v>
      </c>
      <c r="G99" s="423" t="s">
        <v>47</v>
      </c>
      <c r="H99" s="334" t="s">
        <v>48</v>
      </c>
      <c r="I99" s="334" t="s">
        <v>49</v>
      </c>
      <c r="J99" s="334" t="s">
        <v>319</v>
      </c>
      <c r="K99" s="244">
        <f>=EDATE(L99,-3)</f>
        <v>46325</v>
      </c>
      <c r="L99" s="360">
        <v>46417</v>
      </c>
      <c r="M99" s="297">
        <f>=EDATE(L99,3)</f>
        <v>46507</v>
      </c>
      <c r="N99" s="246">
        <v>0.0074</v>
      </c>
      <c r="O99" s="247">
        <v>0.0074</v>
      </c>
      <c r="P99" s="246">
        <v>0.0547</v>
      </c>
      <c r="Q99" s="246" t="s">
        <v>37</v>
      </c>
      <c r="R99" s="246" t="s">
        <v>37</v>
      </c>
      <c r="S99" s="246" t="s">
        <v>37</v>
      </c>
      <c r="T99" s="250" t="s">
        <v>37</v>
      </c>
      <c r="U99" s="236" t="s">
        <v>284</v>
      </c>
      <c r="V99" s="330" t="s"/>
      <c r="W99" s="326" t="s">
        <v>320</v>
      </c>
      <c r="X99" s="327" t="s"/>
      <c r="Y99" s="328" t="s"/>
      <c r="Z99" s="329" t="s"/>
      <c r="AA99" s="227" t="s">
        <v>52</v>
      </c>
      <c r="AB99" s="227" t="s">
        <v>52</v>
      </c>
      <c r="AC99" s="227" t="s">
        <v>41</v>
      </c>
      <c r="AD99" s="227" t="s">
        <v>41</v>
      </c>
      <c r="AE99" s="228">
        <f>=IFERROR(T99-N99,)</f>
        <v>0</v>
      </c>
    </row>
    <row r="100" spans="1:31" s="541" customFormat="1" ht="15" customHeight="1">
      <c r="A100" s="58">
        <v>98</v>
      </c>
      <c r="B100" s="331" t="s">
        <v>42</v>
      </c>
      <c r="C100" s="365" t="s">
        <v>254</v>
      </c>
      <c r="D100" s="424" t="s">
        <v>321</v>
      </c>
      <c r="E100" s="365" t="s">
        <v>322</v>
      </c>
      <c r="F100" s="365" t="s">
        <v>46</v>
      </c>
      <c r="G100" s="367" t="s">
        <v>47</v>
      </c>
      <c r="H100" s="367" t="s">
        <v>48</v>
      </c>
      <c r="I100" s="367" t="s">
        <v>49</v>
      </c>
      <c r="J100" s="367" t="s">
        <v>50</v>
      </c>
      <c r="K100" s="244">
        <f>=EDATE(L100,-3)</f>
        <v>46325</v>
      </c>
      <c r="L100" s="404">
        <v>46417</v>
      </c>
      <c r="M100" s="297">
        <f>=EDATE(L100,3)</f>
        <v>46507</v>
      </c>
      <c r="N100" s="281">
        <v>0.0876</v>
      </c>
      <c r="O100" s="305">
        <v>0.0876</v>
      </c>
      <c r="P100" s="281" t="s">
        <v>37</v>
      </c>
      <c r="Q100" s="281" t="s">
        <v>37</v>
      </c>
      <c r="R100" s="281" t="s">
        <v>37</v>
      </c>
      <c r="S100" s="281" t="s">
        <v>37</v>
      </c>
      <c r="T100" s="281" t="s">
        <v>37</v>
      </c>
      <c r="U100" s="236" t="s">
        <v>284</v>
      </c>
      <c r="V100" s="330" t="s"/>
      <c r="W100" s="326" t="s"/>
      <c r="X100" s="327" t="s"/>
      <c r="Y100" s="328" t="s"/>
      <c r="Z100" s="329" t="s"/>
      <c r="AA100" s="227" t="s">
        <v>52</v>
      </c>
      <c r="AB100" s="227" t="s">
        <v>41</v>
      </c>
      <c r="AC100" s="227" t="s">
        <v>41</v>
      </c>
      <c r="AD100" s="227" t="s">
        <v>41</v>
      </c>
      <c r="AE100" s="228">
        <f>=IFERROR(T100-N100,)</f>
        <v>0</v>
      </c>
    </row>
    <row r="101" spans="1:31" s="541" customFormat="1" ht="15" customHeight="1">
      <c r="A101" s="74">
        <v>99</v>
      </c>
      <c r="B101" s="230" t="s">
        <v>53</v>
      </c>
      <c r="C101" s="253" t="s">
        <v>269</v>
      </c>
      <c r="D101" s="410" t="s">
        <v>323</v>
      </c>
      <c r="E101" s="253" t="s">
        <v>56</v>
      </c>
      <c r="F101" s="253" t="s">
        <v>57</v>
      </c>
      <c r="G101" s="253" t="s">
        <v>58</v>
      </c>
      <c r="H101" s="253" t="s">
        <v>59</v>
      </c>
      <c r="I101" s="253" t="s">
        <v>60</v>
      </c>
      <c r="J101" s="253" t="s">
        <v>245</v>
      </c>
      <c r="K101" s="244">
        <f>=EDATE(L101,-3)</f>
        <v>46325</v>
      </c>
      <c r="L101" s="360">
        <v>46417</v>
      </c>
      <c r="M101" s="297">
        <f>=EDATE(L101,3)</f>
        <v>46507</v>
      </c>
      <c r="N101" s="258" t="s">
        <v>37</v>
      </c>
      <c r="O101" s="265">
        <v>0.06421323</v>
      </c>
      <c r="P101" s="258" t="s">
        <v>37</v>
      </c>
      <c r="Q101" s="258" t="s">
        <v>37</v>
      </c>
      <c r="R101" s="258" t="s">
        <v>37</v>
      </c>
      <c r="S101" s="258" t="s">
        <v>37</v>
      </c>
      <c r="T101" s="258" t="s">
        <v>37</v>
      </c>
      <c r="U101" s="30" t="s">
        <v>284</v>
      </c>
      <c r="V101" s="248" t="s"/>
      <c r="W101" s="266" t="s"/>
      <c r="X101" s="33" t="s"/>
      <c r="Y101" s="34" t="s"/>
      <c r="Z101" s="35" t="s"/>
      <c r="AA101" s="49" t="s">
        <v>52</v>
      </c>
      <c r="AB101" s="49" t="s">
        <v>41</v>
      </c>
      <c r="AC101" s="49" t="s">
        <v>41</v>
      </c>
      <c r="AD101" s="49" t="s">
        <v>41</v>
      </c>
      <c r="AE101" s="37">
        <f>=IFERROR(T101-N101,)</f>
        <v>0</v>
      </c>
    </row>
    <row r="102" spans="1:31" s="541" customFormat="1" ht="15" customHeight="1">
      <c r="A102" s="108">
        <v>140</v>
      </c>
      <c r="B102" s="230" t="s">
        <v>196</v>
      </c>
      <c r="C102" s="343" t="s">
        <v>197</v>
      </c>
      <c r="D102" s="344" t="s">
        <v>324</v>
      </c>
      <c r="E102" s="343" t="s">
        <v>89</v>
      </c>
      <c r="F102" s="343" t="s">
        <v>154</v>
      </c>
      <c r="G102" s="345" t="s">
        <v>58</v>
      </c>
      <c r="H102" s="345" t="s">
        <v>92</v>
      </c>
      <c r="I102" s="345" t="s"/>
      <c r="J102" s="345" t="s"/>
      <c r="K102" s="375">
        <f>=EDATE(L102,-3)</f>
        <v>46325</v>
      </c>
      <c r="L102" s="370">
        <v>46417</v>
      </c>
      <c r="M102" s="255">
        <f>=EDATE(L102,3)</f>
        <v>46507</v>
      </c>
      <c r="N102" s="86" t="s">
        <v>37</v>
      </c>
      <c r="O102" s="291" t="s">
        <v>37</v>
      </c>
      <c r="P102" s="86" t="s">
        <v>37</v>
      </c>
      <c r="Q102" s="86" t="s">
        <v>37</v>
      </c>
      <c r="R102" s="86" t="s">
        <v>37</v>
      </c>
      <c r="S102" s="86" t="s">
        <v>37</v>
      </c>
      <c r="T102" s="86" t="s">
        <v>37</v>
      </c>
      <c r="U102" s="30" t="s">
        <v>38</v>
      </c>
      <c r="V102" s="378" t="s"/>
      <c r="W102" s="32" t="s">
        <v>325</v>
      </c>
      <c r="X102" s="425" t="s"/>
      <c r="Y102" s="426" t="s"/>
      <c r="Z102" s="35" t="s"/>
      <c r="AA102" s="49" t="s">
        <v>41</v>
      </c>
      <c r="AB102" s="49" t="s">
        <v>41</v>
      </c>
      <c r="AC102" s="49" t="s">
        <v>41</v>
      </c>
      <c r="AD102" s="49" t="s">
        <v>41</v>
      </c>
      <c r="AE102" s="37">
        <f>=IFERROR(T102-N102,)</f>
        <v>0</v>
      </c>
    </row>
    <row r="103" spans="1:31" s="547" customFormat="1" ht="15" customHeight="1">
      <c r="A103" s="74">
        <v>141</v>
      </c>
      <c r="B103" s="230" t="s">
        <v>196</v>
      </c>
      <c r="C103" s="253" t="s">
        <v>197</v>
      </c>
      <c r="D103" s="359" t="s">
        <v>326</v>
      </c>
      <c r="E103" s="253" t="s">
        <v>153</v>
      </c>
      <c r="F103" s="253" t="s">
        <v>154</v>
      </c>
      <c r="G103" s="350" t="s">
        <v>58</v>
      </c>
      <c r="H103" s="253" t="s">
        <v>92</v>
      </c>
      <c r="I103" s="253" t="s">
        <v>93</v>
      </c>
      <c r="J103" s="343" t="s"/>
      <c r="K103" s="375">
        <f>=EDATE(L103,-3)</f>
        <v>46325</v>
      </c>
      <c r="L103" s="373">
        <v>46417</v>
      </c>
      <c r="M103" s="255">
        <f>=EDATE(L103,3)</f>
        <v>46507</v>
      </c>
      <c r="N103" s="86" t="s">
        <v>37</v>
      </c>
      <c r="O103" s="298" t="s">
        <v>37</v>
      </c>
      <c r="P103" s="86" t="s">
        <v>37</v>
      </c>
      <c r="Q103" s="86" t="s">
        <v>37</v>
      </c>
      <c r="R103" s="86" t="s">
        <v>37</v>
      </c>
      <c r="S103" s="86" t="s">
        <v>37</v>
      </c>
      <c r="T103" s="86" t="s">
        <v>37</v>
      </c>
      <c r="U103" s="236" t="s">
        <v>38</v>
      </c>
      <c r="V103" s="427" t="s"/>
      <c r="W103" s="428" t="s">
        <v>325</v>
      </c>
      <c r="X103" s="429" t="s"/>
      <c r="Y103" s="430" t="s"/>
      <c r="Z103" s="329" t="s"/>
      <c r="AA103" s="227" t="s">
        <v>41</v>
      </c>
      <c r="AB103" s="227" t="s">
        <v>41</v>
      </c>
      <c r="AC103" s="227" t="s">
        <v>41</v>
      </c>
      <c r="AD103" s="227" t="s">
        <v>41</v>
      </c>
      <c r="AE103" s="228">
        <f>=IFERROR(T103-N103,)</f>
        <v>0</v>
      </c>
    </row>
    <row r="104" spans="1:31" s="547" customFormat="1" ht="15" customHeight="1">
      <c r="A104" s="58">
        <v>134</v>
      </c>
      <c r="B104" s="230" t="s">
        <v>86</v>
      </c>
      <c r="C104" s="343" t="s">
        <v>121</v>
      </c>
      <c r="D104" s="344" t="s">
        <v>327</v>
      </c>
      <c r="E104" s="343" t="s">
        <v>128</v>
      </c>
      <c r="F104" s="343" t="s">
        <v>90</v>
      </c>
      <c r="G104" s="345" t="s">
        <v>91</v>
      </c>
      <c r="H104" s="345" t="s">
        <v>92</v>
      </c>
      <c r="I104" s="345" t="s"/>
      <c r="J104" s="345" t="s">
        <v>94</v>
      </c>
      <c r="K104" s="375">
        <f>=EDATE(L104,-3)</f>
        <v>46326</v>
      </c>
      <c r="L104" s="370">
        <v>46418</v>
      </c>
      <c r="M104" s="371">
        <f>=EDATE(L104,3)</f>
        <v>46507</v>
      </c>
      <c r="N104" s="86">
        <v>0.0264</v>
      </c>
      <c r="O104" s="431">
        <v>0.0264</v>
      </c>
      <c r="P104" s="258" t="s">
        <v>37</v>
      </c>
      <c r="Q104" s="258" t="s">
        <v>37</v>
      </c>
      <c r="R104" s="258" t="s">
        <v>37</v>
      </c>
      <c r="S104" s="258" t="s">
        <v>37</v>
      </c>
      <c r="T104" s="258" t="s">
        <v>37</v>
      </c>
      <c r="U104" s="236" t="s">
        <v>316</v>
      </c>
      <c r="V104" s="427" t="s"/>
      <c r="W104" s="432" t="s"/>
      <c r="X104" s="433">
        <v>0.0264</v>
      </c>
      <c r="Y104" s="434">
        <v>2569050</v>
      </c>
      <c r="Z104" s="226">
        <f>=Y104/X104*5%</f>
        <v>4865625</v>
      </c>
      <c r="AA104" s="227" t="s">
        <v>52</v>
      </c>
      <c r="AB104" s="227" t="s">
        <v>41</v>
      </c>
      <c r="AC104" s="227" t="s">
        <v>41</v>
      </c>
      <c r="AD104" s="227" t="s">
        <v>41</v>
      </c>
      <c r="AE104" s="228">
        <f>=IFERROR(T104-N104,)</f>
        <v>0</v>
      </c>
    </row>
    <row r="105" spans="1:31" s="547" customFormat="1" ht="15" customHeight="1">
      <c r="A105" s="20">
        <v>19</v>
      </c>
      <c r="B105" s="63" t="s">
        <v>53</v>
      </c>
      <c r="C105" s="435" t="s">
        <v>101</v>
      </c>
      <c r="D105" s="436" t="s">
        <v>328</v>
      </c>
      <c r="E105" s="435" t="s">
        <v>56</v>
      </c>
      <c r="F105" s="435" t="s">
        <v>57</v>
      </c>
      <c r="G105" s="435" t="s">
        <v>58</v>
      </c>
      <c r="H105" s="435" t="s">
        <v>59</v>
      </c>
      <c r="I105" s="435" t="s">
        <v>60</v>
      </c>
      <c r="J105" s="437" t="s">
        <v>245</v>
      </c>
      <c r="K105" s="52">
        <f>=EDATE(L105,-3)</f>
        <v>46327</v>
      </c>
      <c r="L105" s="25">
        <v>46419</v>
      </c>
      <c r="M105" s="297">
        <f>=EDATE(L105,3)</f>
        <v>46508</v>
      </c>
      <c r="N105" s="62">
        <v>0.01759759</v>
      </c>
      <c r="O105" s="55">
        <v>0.00342138</v>
      </c>
      <c r="P105" s="62">
        <v>0.01553656</v>
      </c>
      <c r="Q105" s="62" t="s">
        <v>37</v>
      </c>
      <c r="R105" s="62" t="s">
        <v>37</v>
      </c>
      <c r="S105" s="62">
        <v>0.0154</v>
      </c>
      <c r="T105" s="62" t="s">
        <v>37</v>
      </c>
      <c r="U105" s="30" t="s">
        <v>284</v>
      </c>
      <c r="V105" s="56" t="s"/>
      <c r="W105" s="67" t="s">
        <v>329</v>
      </c>
      <c r="X105" s="33" t="s"/>
      <c r="Y105" s="34" t="s"/>
      <c r="Z105" s="35" t="s"/>
      <c r="AA105" s="49" t="s">
        <v>52</v>
      </c>
      <c r="AB105" s="49" t="s">
        <v>41</v>
      </c>
      <c r="AC105" s="49" t="s">
        <v>40</v>
      </c>
      <c r="AD105" s="49" t="s">
        <v>41</v>
      </c>
      <c r="AE105" s="37">
        <f>=IFERROR(T105-N105,)</f>
        <v>0</v>
      </c>
    </row>
    <row r="106" spans="1:31" s="547" customFormat="1" ht="15" customHeight="1">
      <c r="A106" s="74">
        <v>149</v>
      </c>
      <c r="B106" s="230" t="s">
        <v>28</v>
      </c>
      <c r="C106" s="343" t="s">
        <v>225</v>
      </c>
      <c r="D106" s="344" t="s">
        <v>330</v>
      </c>
      <c r="E106" s="343" t="s">
        <v>31</v>
      </c>
      <c r="F106" s="343" t="s">
        <v>77</v>
      </c>
      <c r="G106" s="345" t="s">
        <v>47</v>
      </c>
      <c r="H106" s="345" t="s">
        <v>34</v>
      </c>
      <c r="I106" s="345" t="s">
        <v>35</v>
      </c>
      <c r="J106" s="343" t="s">
        <v>331</v>
      </c>
      <c r="K106" s="375">
        <v>46388</v>
      </c>
      <c r="L106" s="370">
        <v>46447</v>
      </c>
      <c r="M106" s="438">
        <v>46539</v>
      </c>
      <c r="N106" s="86">
        <v>-0.0298</v>
      </c>
      <c r="O106" s="298">
        <v>-0.0267</v>
      </c>
      <c r="P106" s="86" t="s">
        <v>37</v>
      </c>
      <c r="Q106" s="86" t="s">
        <v>37</v>
      </c>
      <c r="R106" s="86" t="s">
        <v>37</v>
      </c>
      <c r="S106" s="86" t="s">
        <v>37</v>
      </c>
      <c r="T106" s="358" t="s">
        <v>37</v>
      </c>
      <c r="U106" s="30" t="s">
        <v>316</v>
      </c>
      <c r="V106" s="378" t="s"/>
      <c r="W106" s="32" t="s">
        <v>332</v>
      </c>
      <c r="X106" s="425" t="s"/>
      <c r="Y106" s="426" t="s"/>
      <c r="Z106" s="35" t="s"/>
      <c r="AA106" s="36" t="s">
        <v>52</v>
      </c>
      <c r="AB106" s="36" t="s">
        <v>41</v>
      </c>
      <c r="AC106" s="36" t="s">
        <v>41</v>
      </c>
      <c r="AD106" s="36" t="s">
        <v>41</v>
      </c>
      <c r="AE106" s="37">
        <f>=IFERROR(T106-N106,)</f>
        <v>0</v>
      </c>
    </row>
    <row r="107" spans="1:31" s="547" customFormat="1" ht="15" customHeight="1">
      <c r="A107" s="74">
        <v>80</v>
      </c>
      <c r="B107" s="230" t="s">
        <v>196</v>
      </c>
      <c r="C107" s="350" t="s">
        <v>197</v>
      </c>
      <c r="D107" s="351" t="s">
        <v>333</v>
      </c>
      <c r="E107" s="350" t="s">
        <v>153</v>
      </c>
      <c r="F107" s="350" t="s">
        <v>154</v>
      </c>
      <c r="G107" s="350" t="s">
        <v>58</v>
      </c>
      <c r="H107" s="350" t="s">
        <v>92</v>
      </c>
      <c r="I107" s="350" t="s">
        <v>93</v>
      </c>
      <c r="J107" s="350" t="s">
        <v>334</v>
      </c>
      <c r="K107" s="244">
        <f>=EDATE(L107,-3)</f>
        <v>46386</v>
      </c>
      <c r="L107" s="360">
        <v>46476</v>
      </c>
      <c r="M107" s="297">
        <f>=EDATE(L107,3)</f>
        <v>46568</v>
      </c>
      <c r="N107" s="86" t="s">
        <v>37</v>
      </c>
      <c r="O107" s="291">
        <v>-0.0094</v>
      </c>
      <c r="P107" s="86" t="s">
        <v>37</v>
      </c>
      <c r="Q107" s="86" t="s">
        <v>37</v>
      </c>
      <c r="R107" s="86" t="s">
        <v>37</v>
      </c>
      <c r="S107" s="86" t="s">
        <v>37</v>
      </c>
      <c r="T107" s="86" t="s">
        <v>37</v>
      </c>
      <c r="U107" s="30" t="s">
        <v>316</v>
      </c>
      <c r="V107" s="248" t="s"/>
      <c r="W107" s="266" t="s">
        <v>335</v>
      </c>
      <c r="X107" s="88">
        <f>=O107</f>
        <v>-0.0094</v>
      </c>
      <c r="Y107" s="89">
        <v>-1141204.01</v>
      </c>
      <c r="Z107" s="90">
        <f>=Y107/X107*5%</f>
        <v>6070234.09574468</v>
      </c>
      <c r="AA107" s="49" t="s">
        <v>52</v>
      </c>
      <c r="AB107" s="49" t="s">
        <v>41</v>
      </c>
      <c r="AC107" s="49" t="s">
        <v>41</v>
      </c>
      <c r="AD107" s="49" t="s">
        <v>41</v>
      </c>
      <c r="AE107" s="37">
        <f>=IFERROR(T107-N107,)</f>
        <v>0</v>
      </c>
    </row>
    <row r="108" spans="1:31" s="547" customFormat="1" ht="15" customHeight="1">
      <c r="A108" s="58">
        <v>81</v>
      </c>
      <c r="B108" s="230" t="s">
        <v>196</v>
      </c>
      <c r="C108" s="343" t="s">
        <v>197</v>
      </c>
      <c r="D108" s="344" t="s">
        <v>336</v>
      </c>
      <c r="E108" s="343" t="s">
        <v>138</v>
      </c>
      <c r="F108" s="343" t="s">
        <v>154</v>
      </c>
      <c r="G108" s="345" t="s">
        <v>58</v>
      </c>
      <c r="H108" s="345" t="s">
        <v>92</v>
      </c>
      <c r="I108" s="345" t="s">
        <v>93</v>
      </c>
      <c r="J108" s="345" t="s">
        <v>337</v>
      </c>
      <c r="K108" s="244">
        <f>=EDATE(L108,-3)</f>
        <v>46386</v>
      </c>
      <c r="L108" s="404">
        <v>46476</v>
      </c>
      <c r="M108" s="297">
        <f>=EDATE(L108,3)</f>
        <v>46568</v>
      </c>
      <c r="N108" s="86" t="s">
        <v>37</v>
      </c>
      <c r="O108" s="291">
        <v>-0.2596</v>
      </c>
      <c r="P108" s="86" t="s">
        <v>37</v>
      </c>
      <c r="Q108" s="86" t="s">
        <v>37</v>
      </c>
      <c r="R108" s="86" t="s">
        <v>37</v>
      </c>
      <c r="S108" s="86" t="s">
        <v>37</v>
      </c>
      <c r="T108" s="86" t="s">
        <v>37</v>
      </c>
      <c r="U108" s="30" t="s">
        <v>316</v>
      </c>
      <c r="V108" s="248" t="s"/>
      <c r="W108" s="266" t="s">
        <v>335</v>
      </c>
      <c r="X108" s="88">
        <f>=O108</f>
        <v>-0.2596</v>
      </c>
      <c r="Y108" s="89">
        <v>-44050021.2</v>
      </c>
      <c r="Z108" s="90">
        <f>=Y108/X108*5%</f>
        <v>8484210.55469954</v>
      </c>
      <c r="AA108" s="49" t="s">
        <v>52</v>
      </c>
      <c r="AB108" s="49" t="s">
        <v>41</v>
      </c>
      <c r="AC108" s="49" t="s">
        <v>41</v>
      </c>
      <c r="AD108" s="49" t="s">
        <v>41</v>
      </c>
      <c r="AE108" s="37">
        <f>=IFERROR(T108-N108,)</f>
        <v>0</v>
      </c>
    </row>
    <row r="109" spans="1:31" s="547" customFormat="1" ht="15" customHeight="1">
      <c r="A109" s="58">
        <v>82</v>
      </c>
      <c r="B109" s="230" t="s">
        <v>196</v>
      </c>
      <c r="C109" s="350" t="s">
        <v>197</v>
      </c>
      <c r="D109" s="351" t="s">
        <v>338</v>
      </c>
      <c r="E109" s="350" t="s">
        <v>128</v>
      </c>
      <c r="F109" s="350" t="s">
        <v>154</v>
      </c>
      <c r="G109" s="350" t="s">
        <v>58</v>
      </c>
      <c r="H109" s="350" t="s">
        <v>92</v>
      </c>
      <c r="I109" s="350" t="s">
        <v>93</v>
      </c>
      <c r="J109" s="350" t="s">
        <v>339</v>
      </c>
      <c r="K109" s="244">
        <f>=EDATE(L109,-3)</f>
        <v>46386</v>
      </c>
      <c r="L109" s="360">
        <v>46476</v>
      </c>
      <c r="M109" s="297">
        <f>=EDATE(L109,3)</f>
        <v>46568</v>
      </c>
      <c r="N109" s="86" t="s">
        <v>37</v>
      </c>
      <c r="O109" s="291">
        <v>-0.2131</v>
      </c>
      <c r="P109" s="86" t="s">
        <v>37</v>
      </c>
      <c r="Q109" s="86" t="s">
        <v>37</v>
      </c>
      <c r="R109" s="86" t="s">
        <v>37</v>
      </c>
      <c r="S109" s="86" t="s">
        <v>37</v>
      </c>
      <c r="T109" s="86" t="s">
        <v>37</v>
      </c>
      <c r="U109" s="30" t="s">
        <v>316</v>
      </c>
      <c r="V109" s="248" t="s"/>
      <c r="W109" s="266" t="s">
        <v>335</v>
      </c>
      <c r="X109" s="88">
        <f>=O109</f>
        <v>-0.2131</v>
      </c>
      <c r="Y109" s="89">
        <v>-12768734.7453</v>
      </c>
      <c r="Z109" s="90">
        <f>=Y109/X109*5%</f>
        <v>2995949.02517597</v>
      </c>
      <c r="AA109" s="49" t="s">
        <v>52</v>
      </c>
      <c r="AB109" s="49" t="s">
        <v>41</v>
      </c>
      <c r="AC109" s="49" t="s">
        <v>41</v>
      </c>
      <c r="AD109" s="49" t="s">
        <v>41</v>
      </c>
      <c r="AE109" s="37">
        <f>=IFERROR(T109-N109,)</f>
        <v>0</v>
      </c>
    </row>
    <row r="110" spans="1:31" s="547" customFormat="1" ht="15" customHeight="1">
      <c r="A110" s="439">
        <v>49</v>
      </c>
      <c r="B110" s="210" t="s">
        <v>42</v>
      </c>
      <c r="C110" s="440" t="s">
        <v>225</v>
      </c>
      <c r="D110" s="441" t="s">
        <v>340</v>
      </c>
      <c r="E110" s="440" t="s">
        <v>341</v>
      </c>
      <c r="F110" s="440" t="s">
        <v>77</v>
      </c>
      <c r="G110" s="442" t="s">
        <v>47</v>
      </c>
      <c r="H110" s="442" t="s">
        <v>92</v>
      </c>
      <c r="I110" s="442" t="s">
        <v>49</v>
      </c>
      <c r="J110" s="442" t="s">
        <v>342</v>
      </c>
      <c r="K110" s="443">
        <f>=EDATE(L110,-3)</f>
        <v>46386</v>
      </c>
      <c r="L110" s="444">
        <v>46476</v>
      </c>
      <c r="M110" s="297">
        <f>=EDATE(L110,3)</f>
        <v>46568</v>
      </c>
      <c r="N110" s="445">
        <v>-0.0945</v>
      </c>
      <c r="O110" s="445">
        <v>0.015</v>
      </c>
      <c r="P110" s="445" t="s">
        <v>37</v>
      </c>
      <c r="Q110" s="445" t="s">
        <v>37</v>
      </c>
      <c r="R110" s="445" t="s">
        <v>37</v>
      </c>
      <c r="S110" s="445" t="s">
        <v>37</v>
      </c>
      <c r="T110" s="446" t="s">
        <v>37</v>
      </c>
      <c r="U110" s="30" t="s">
        <v>316</v>
      </c>
      <c r="V110" s="173" t="s"/>
      <c r="W110" s="87" t="s"/>
      <c r="X110" s="33" t="s"/>
      <c r="Y110" s="34" t="s"/>
      <c r="Z110" s="35" t="s"/>
      <c r="AA110" s="49" t="s">
        <v>52</v>
      </c>
      <c r="AB110" s="49" t="s">
        <v>41</v>
      </c>
      <c r="AC110" s="49" t="s">
        <v>41</v>
      </c>
      <c r="AD110" s="49" t="s">
        <v>41</v>
      </c>
      <c r="AE110" s="37">
        <f>=IFERROR(T110-N110,)</f>
        <v>0</v>
      </c>
    </row>
    <row r="111" spans="1:31" s="541" customFormat="1" ht="15" customHeight="1">
      <c r="A111" s="78">
        <v>100</v>
      </c>
      <c r="B111" s="447" t="s">
        <v>42</v>
      </c>
      <c r="C111" s="423" t="s">
        <v>343</v>
      </c>
      <c r="D111" s="448" t="s">
        <v>344</v>
      </c>
      <c r="E111" s="423" t="s">
        <v>89</v>
      </c>
      <c r="F111" s="423" t="s">
        <v>77</v>
      </c>
      <c r="G111" s="423" t="s">
        <v>47</v>
      </c>
      <c r="H111" s="423" t="s">
        <v>92</v>
      </c>
      <c r="I111" s="423" t="s">
        <v>93</v>
      </c>
      <c r="J111" s="423" t="s">
        <v>345</v>
      </c>
      <c r="K111" s="244">
        <f>=EDATE(L111,-3)</f>
        <v>46386</v>
      </c>
      <c r="L111" s="449">
        <v>46476</v>
      </c>
      <c r="M111" s="297">
        <f>=EDATE(L111,3)</f>
        <v>46568</v>
      </c>
      <c r="N111" s="250">
        <v>-0.0434</v>
      </c>
      <c r="O111" s="251">
        <v>0.00468304</v>
      </c>
      <c r="P111" s="250" t="s">
        <v>37</v>
      </c>
      <c r="Q111" s="250" t="s">
        <v>37</v>
      </c>
      <c r="R111" s="250" t="s">
        <v>37</v>
      </c>
      <c r="S111" s="250" t="s">
        <v>37</v>
      </c>
      <c r="T111" s="250" t="s">
        <v>37</v>
      </c>
      <c r="U111" s="30" t="s">
        <v>284</v>
      </c>
      <c r="V111" s="248" t="s"/>
      <c r="W111" s="266" t="s"/>
      <c r="X111" s="33" t="s"/>
      <c r="Y111" s="34" t="s"/>
      <c r="Z111" s="35" t="s"/>
      <c r="AA111" s="49" t="s">
        <v>52</v>
      </c>
      <c r="AB111" s="49" t="s">
        <v>41</v>
      </c>
      <c r="AC111" s="49" t="s">
        <v>41</v>
      </c>
      <c r="AD111" s="49" t="s">
        <v>41</v>
      </c>
      <c r="AE111" s="37">
        <f>=IFERROR(T111-N111,)</f>
        <v>0</v>
      </c>
    </row>
    <row r="112" spans="1:31" s="541" customFormat="1" ht="15" customHeight="1">
      <c r="A112" s="74">
        <v>101</v>
      </c>
      <c r="B112" s="61" t="s">
        <v>42</v>
      </c>
      <c r="C112" s="343" t="s">
        <v>343</v>
      </c>
      <c r="D112" s="450" t="s">
        <v>346</v>
      </c>
      <c r="E112" s="343" t="s">
        <v>153</v>
      </c>
      <c r="F112" s="343" t="s">
        <v>77</v>
      </c>
      <c r="G112" s="345" t="s">
        <v>47</v>
      </c>
      <c r="H112" s="345" t="s">
        <v>92</v>
      </c>
      <c r="I112" s="345" t="s">
        <v>93</v>
      </c>
      <c r="J112" s="345" t="s">
        <v>345</v>
      </c>
      <c r="K112" s="244">
        <f>=EDATE(L112,-3)</f>
        <v>46386</v>
      </c>
      <c r="L112" s="404">
        <v>46476</v>
      </c>
      <c r="M112" s="297">
        <f>=EDATE(L112,3)</f>
        <v>46568</v>
      </c>
      <c r="N112" s="250">
        <v>-0.0511</v>
      </c>
      <c r="O112" s="247">
        <v>0.02393304</v>
      </c>
      <c r="P112" s="250" t="s">
        <v>37</v>
      </c>
      <c r="Q112" s="250" t="s">
        <v>37</v>
      </c>
      <c r="R112" s="250" t="s">
        <v>37</v>
      </c>
      <c r="S112" s="250" t="s">
        <v>37</v>
      </c>
      <c r="T112" s="250" t="s">
        <v>37</v>
      </c>
      <c r="U112" s="30" t="s">
        <v>284</v>
      </c>
      <c r="V112" s="248" t="s"/>
      <c r="W112" s="266" t="s"/>
      <c r="X112" s="33" t="s"/>
      <c r="Y112" s="34" t="s"/>
      <c r="Z112" s="35" t="s"/>
      <c r="AA112" s="49" t="s">
        <v>52</v>
      </c>
      <c r="AB112" s="49" t="s">
        <v>41</v>
      </c>
      <c r="AC112" s="49" t="s">
        <v>41</v>
      </c>
      <c r="AD112" s="49" t="s">
        <v>41</v>
      </c>
      <c r="AE112" s="37">
        <f>=IFERROR(T112-N112,)</f>
        <v>0</v>
      </c>
    </row>
    <row r="113" spans="1:31" s="541" customFormat="1" ht="15" customHeight="1">
      <c r="A113" s="74">
        <v>102</v>
      </c>
      <c r="B113" s="451" t="s">
        <v>42</v>
      </c>
      <c r="C113" s="452" t="s">
        <v>225</v>
      </c>
      <c r="D113" s="448" t="s">
        <v>347</v>
      </c>
      <c r="E113" s="452" t="s">
        <v>138</v>
      </c>
      <c r="F113" s="452" t="s">
        <v>77</v>
      </c>
      <c r="G113" s="452" t="s">
        <v>47</v>
      </c>
      <c r="H113" s="452" t="s">
        <v>92</v>
      </c>
      <c r="I113" s="452" t="s">
        <v>93</v>
      </c>
      <c r="J113" s="452" t="s">
        <v>348</v>
      </c>
      <c r="K113" s="286">
        <f>=EDATE(L113,-3)</f>
        <v>46386</v>
      </c>
      <c r="L113" s="360">
        <v>46476</v>
      </c>
      <c r="M113" s="297">
        <f>=EDATE(L113,3)</f>
        <v>46568</v>
      </c>
      <c r="N113" s="250">
        <v>-0.0111</v>
      </c>
      <c r="O113" s="453">
        <v>0.0161</v>
      </c>
      <c r="P113" s="246" t="s">
        <v>37</v>
      </c>
      <c r="Q113" s="246" t="s">
        <v>37</v>
      </c>
      <c r="R113" s="246" t="s">
        <v>37</v>
      </c>
      <c r="S113" s="246" t="s">
        <v>37</v>
      </c>
      <c r="T113" s="86" t="s">
        <v>37</v>
      </c>
      <c r="U113" s="454" t="s">
        <v>316</v>
      </c>
      <c r="V113" s="248" t="s">
        <v>124</v>
      </c>
      <c r="W113" s="266" t="s"/>
      <c r="X113" s="33" t="s"/>
      <c r="Y113" s="34" t="s"/>
      <c r="Z113" s="35" t="s"/>
      <c r="AA113" s="49" t="s">
        <v>52</v>
      </c>
      <c r="AB113" s="49" t="s">
        <v>41</v>
      </c>
      <c r="AC113" s="49" t="s">
        <v>41</v>
      </c>
      <c r="AD113" s="49" t="s">
        <v>41</v>
      </c>
      <c r="AE113" s="37">
        <f>=IFERROR(T113-N113,)</f>
        <v>0</v>
      </c>
    </row>
    <row r="114" spans="1:31" s="541" customFormat="1" ht="15" customHeight="1">
      <c r="A114" s="74">
        <v>103</v>
      </c>
      <c r="B114" s="451" t="s">
        <v>28</v>
      </c>
      <c r="C114" s="455" t="s">
        <v>225</v>
      </c>
      <c r="D114" s="424" t="s">
        <v>349</v>
      </c>
      <c r="E114" s="455" t="s">
        <v>31</v>
      </c>
      <c r="F114" s="455" t="s">
        <v>77</v>
      </c>
      <c r="G114" s="456" t="s">
        <v>47</v>
      </c>
      <c r="H114" s="456" t="s">
        <v>34</v>
      </c>
      <c r="I114" s="456" t="s">
        <v>35</v>
      </c>
      <c r="J114" s="457" t="s">
        <v>350</v>
      </c>
      <c r="K114" s="286">
        <f>=EDATE(L114,-3)</f>
        <v>46386</v>
      </c>
      <c r="L114" s="404">
        <v>46476</v>
      </c>
      <c r="M114" s="297">
        <f>=EDATE(L114,3)</f>
        <v>46568</v>
      </c>
      <c r="N114" s="250" t="s">
        <v>37</v>
      </c>
      <c r="O114" s="247">
        <v>0.0333</v>
      </c>
      <c r="P114" s="250" t="s">
        <v>37</v>
      </c>
      <c r="Q114" s="250" t="s">
        <v>37</v>
      </c>
      <c r="R114" s="250" t="s">
        <v>37</v>
      </c>
      <c r="S114" s="250" t="s">
        <v>37</v>
      </c>
      <c r="T114" s="458" t="s">
        <v>37</v>
      </c>
      <c r="U114" s="454" t="s">
        <v>316</v>
      </c>
      <c r="V114" s="248" t="s"/>
      <c r="W114" s="266" t="s">
        <v>332</v>
      </c>
      <c r="X114" s="33" t="s"/>
      <c r="Y114" s="34" t="s"/>
      <c r="Z114" s="35" t="s"/>
      <c r="AA114" s="36" t="s">
        <v>52</v>
      </c>
      <c r="AB114" s="36" t="s">
        <v>41</v>
      </c>
      <c r="AC114" s="36" t="s">
        <v>41</v>
      </c>
      <c r="AD114" s="36" t="s">
        <v>41</v>
      </c>
      <c r="AE114" s="37">
        <f>=IFERROR(T114-N114,)</f>
        <v>0</v>
      </c>
    </row>
    <row r="115" spans="1:31" s="541" customFormat="1" ht="15" customHeight="1">
      <c r="A115" s="74">
        <v>104</v>
      </c>
      <c r="B115" s="451" t="s">
        <v>42</v>
      </c>
      <c r="C115" s="459" t="s">
        <v>225</v>
      </c>
      <c r="D115" s="460" t="s">
        <v>351</v>
      </c>
      <c r="E115" s="459" t="s">
        <v>89</v>
      </c>
      <c r="F115" s="459" t="s">
        <v>77</v>
      </c>
      <c r="G115" s="459" t="s">
        <v>47</v>
      </c>
      <c r="H115" s="459" t="s">
        <v>92</v>
      </c>
      <c r="I115" s="459" t="s">
        <v>93</v>
      </c>
      <c r="J115" s="459" t="s">
        <v>287</v>
      </c>
      <c r="K115" s="286">
        <f>=EDATE(L115,-3)</f>
        <v>46386</v>
      </c>
      <c r="L115" s="360">
        <v>46476</v>
      </c>
      <c r="M115" s="297">
        <f>=EDATE(L115,3)</f>
        <v>46568</v>
      </c>
      <c r="N115" s="461">
        <v>-0.043</v>
      </c>
      <c r="O115" s="251">
        <v>0.015</v>
      </c>
      <c r="P115" s="461" t="s">
        <v>37</v>
      </c>
      <c r="Q115" s="461" t="s">
        <v>37</v>
      </c>
      <c r="R115" s="461" t="s">
        <v>37</v>
      </c>
      <c r="S115" s="461" t="s">
        <v>37</v>
      </c>
      <c r="T115" s="461" t="s">
        <v>37</v>
      </c>
      <c r="U115" s="30" t="s">
        <v>316</v>
      </c>
      <c r="V115" s="248" t="s">
        <v>124</v>
      </c>
      <c r="W115" s="266" t="s"/>
      <c r="X115" s="33" t="s"/>
      <c r="Y115" s="34" t="s"/>
      <c r="Z115" s="35" t="s"/>
      <c r="AA115" s="49" t="s">
        <v>52</v>
      </c>
      <c r="AB115" s="49" t="s">
        <v>41</v>
      </c>
      <c r="AC115" s="49" t="s">
        <v>41</v>
      </c>
      <c r="AD115" s="49" t="s">
        <v>41</v>
      </c>
      <c r="AE115" s="37">
        <f>=IFERROR(T115-N115,)</f>
        <v>0</v>
      </c>
    </row>
    <row r="116" spans="1:31" s="541" customFormat="1" ht="15" customHeight="1">
      <c r="A116" s="74">
        <v>105</v>
      </c>
      <c r="B116" s="451" t="s">
        <v>42</v>
      </c>
      <c r="C116" s="462" t="s">
        <v>225</v>
      </c>
      <c r="D116" s="450" t="s">
        <v>352</v>
      </c>
      <c r="E116" s="462" t="s">
        <v>153</v>
      </c>
      <c r="F116" s="462" t="s">
        <v>77</v>
      </c>
      <c r="G116" s="463" t="s">
        <v>47</v>
      </c>
      <c r="H116" s="463" t="s">
        <v>92</v>
      </c>
      <c r="I116" s="463" t="s">
        <v>93</v>
      </c>
      <c r="J116" s="462" t="s">
        <v>353</v>
      </c>
      <c r="K116" s="286">
        <f>=EDATE(L116,-3)</f>
        <v>46386</v>
      </c>
      <c r="L116" s="404">
        <v>46476</v>
      </c>
      <c r="M116" s="24">
        <f>=EDATE(L116,3)</f>
        <v>46568</v>
      </c>
      <c r="N116" s="461" t="s">
        <v>37</v>
      </c>
      <c r="O116" s="406" t="s">
        <v>37</v>
      </c>
      <c r="P116" s="461" t="s">
        <v>37</v>
      </c>
      <c r="Q116" s="461" t="s">
        <v>37</v>
      </c>
      <c r="R116" s="461" t="s">
        <v>37</v>
      </c>
      <c r="S116" s="461" t="s">
        <v>37</v>
      </c>
      <c r="T116" s="461" t="s">
        <v>37</v>
      </c>
      <c r="U116" s="30" t="s">
        <v>38</v>
      </c>
      <c r="V116" s="248" t="s">
        <v>124</v>
      </c>
      <c r="W116" s="266" t="s">
        <v>354</v>
      </c>
      <c r="X116" s="33" t="s"/>
      <c r="Y116" s="34" t="s"/>
      <c r="Z116" s="35" t="s"/>
      <c r="AA116" s="49" t="s">
        <v>41</v>
      </c>
      <c r="AB116" s="49" t="s">
        <v>41</v>
      </c>
      <c r="AC116" s="49" t="s">
        <v>41</v>
      </c>
      <c r="AD116" s="49" t="s">
        <v>41</v>
      </c>
      <c r="AE116" s="37">
        <f>=IFERROR(T116-N116,)</f>
        <v>0</v>
      </c>
    </row>
    <row r="117" spans="1:31" s="541" customFormat="1" ht="15" customHeight="1">
      <c r="A117" s="264">
        <v>106</v>
      </c>
      <c r="B117" s="451" t="s">
        <v>28</v>
      </c>
      <c r="C117" s="459" t="s">
        <v>225</v>
      </c>
      <c r="D117" s="460" t="s">
        <v>355</v>
      </c>
      <c r="E117" s="459" t="s">
        <v>356</v>
      </c>
      <c r="F117" s="459" t="s">
        <v>77</v>
      </c>
      <c r="G117" s="459" t="s">
        <v>47</v>
      </c>
      <c r="H117" s="459" t="s">
        <v>34</v>
      </c>
      <c r="I117" s="459" t="s">
        <v>35</v>
      </c>
      <c r="J117" s="462" t="s">
        <v>233</v>
      </c>
      <c r="K117" s="286">
        <f>=EDATE(L117,-3)</f>
        <v>46386</v>
      </c>
      <c r="L117" s="449">
        <v>46476</v>
      </c>
      <c r="M117" s="297">
        <f>=EDATE(L117,3)</f>
        <v>46568</v>
      </c>
      <c r="N117" s="461" t="s">
        <v>37</v>
      </c>
      <c r="O117" s="251">
        <v>0.0142</v>
      </c>
      <c r="P117" s="461" t="s">
        <v>37</v>
      </c>
      <c r="Q117" s="461" t="s">
        <v>37</v>
      </c>
      <c r="R117" s="461" t="s">
        <v>37</v>
      </c>
      <c r="S117" s="461" t="s">
        <v>37</v>
      </c>
      <c r="T117" s="461" t="s">
        <v>37</v>
      </c>
      <c r="U117" s="30" t="s">
        <v>316</v>
      </c>
      <c r="V117" s="248" t="s"/>
      <c r="W117" s="266" t="s">
        <v>332</v>
      </c>
      <c r="X117" s="33" t="s"/>
      <c r="Y117" s="34" t="s"/>
      <c r="Z117" s="35" t="s"/>
      <c r="AA117" s="36" t="s">
        <v>52</v>
      </c>
      <c r="AB117" s="36" t="s">
        <v>41</v>
      </c>
      <c r="AC117" s="36" t="s">
        <v>41</v>
      </c>
      <c r="AD117" s="36" t="s">
        <v>41</v>
      </c>
      <c r="AE117" s="37">
        <f>=IFERROR(T117-N117,)</f>
        <v>0</v>
      </c>
    </row>
    <row r="118" spans="1:31" s="541" customFormat="1" ht="15" customHeight="1">
      <c r="A118" s="74">
        <v>107</v>
      </c>
      <c r="B118" s="451" t="s">
        <v>28</v>
      </c>
      <c r="C118" s="462" t="s">
        <v>225</v>
      </c>
      <c r="D118" s="450" t="s">
        <v>357</v>
      </c>
      <c r="E118" s="462" t="s">
        <v>232</v>
      </c>
      <c r="F118" s="462" t="s">
        <v>77</v>
      </c>
      <c r="G118" s="463" t="s">
        <v>47</v>
      </c>
      <c r="H118" s="463" t="s">
        <v>34</v>
      </c>
      <c r="I118" s="463" t="s">
        <v>35</v>
      </c>
      <c r="J118" s="462" t="s">
        <v>233</v>
      </c>
      <c r="K118" s="286">
        <f>=EDATE(L118,-3)</f>
        <v>46386</v>
      </c>
      <c r="L118" s="404">
        <v>46476</v>
      </c>
      <c r="M118" s="297">
        <f>=EDATE(L118,3)</f>
        <v>46568</v>
      </c>
      <c r="N118" s="461" t="s">
        <v>37</v>
      </c>
      <c r="O118" s="342">
        <v>-0.1533</v>
      </c>
      <c r="P118" s="461" t="s">
        <v>37</v>
      </c>
      <c r="Q118" s="461" t="s">
        <v>37</v>
      </c>
      <c r="R118" s="461" t="s">
        <v>37</v>
      </c>
      <c r="S118" s="461" t="s">
        <v>37</v>
      </c>
      <c r="T118" s="461" t="s">
        <v>37</v>
      </c>
      <c r="U118" s="30" t="s">
        <v>316</v>
      </c>
      <c r="V118" s="248" t="s"/>
      <c r="W118" s="266" t="s">
        <v>332</v>
      </c>
      <c r="X118" s="33" t="s"/>
      <c r="Y118" s="34" t="s"/>
      <c r="Z118" s="35" t="s"/>
      <c r="AA118" s="36" t="s">
        <v>52</v>
      </c>
      <c r="AB118" s="36" t="s">
        <v>41</v>
      </c>
      <c r="AC118" s="36" t="s">
        <v>41</v>
      </c>
      <c r="AD118" s="36" t="s">
        <v>41</v>
      </c>
      <c r="AE118" s="37">
        <f>=IFERROR(T118-N118,)</f>
        <v>0</v>
      </c>
    </row>
    <row r="119" spans="1:31" ht="15" customHeight="1">
      <c r="A119" s="74">
        <v>108</v>
      </c>
      <c r="B119" s="451" t="s">
        <v>28</v>
      </c>
      <c r="C119" s="459" t="s">
        <v>225</v>
      </c>
      <c r="D119" s="460" t="s">
        <v>358</v>
      </c>
      <c r="E119" s="459" t="s">
        <v>235</v>
      </c>
      <c r="F119" s="459" t="s">
        <v>77</v>
      </c>
      <c r="G119" s="459" t="s">
        <v>47</v>
      </c>
      <c r="H119" s="459" t="s">
        <v>34</v>
      </c>
      <c r="I119" s="459" t="s">
        <v>35</v>
      </c>
      <c r="J119" s="462" t="s">
        <v>236</v>
      </c>
      <c r="K119" s="286">
        <f>=EDATE(L119,-3)</f>
        <v>46386</v>
      </c>
      <c r="L119" s="449">
        <v>46476</v>
      </c>
      <c r="M119" s="297">
        <f>=EDATE(L119,3)</f>
        <v>46568</v>
      </c>
      <c r="N119" s="461" t="s">
        <v>37</v>
      </c>
      <c r="O119" s="251">
        <v>0.0026</v>
      </c>
      <c r="P119" s="461" t="s">
        <v>37</v>
      </c>
      <c r="Q119" s="461" t="s">
        <v>37</v>
      </c>
      <c r="R119" s="461" t="s">
        <v>37</v>
      </c>
      <c r="S119" s="461" t="s">
        <v>37</v>
      </c>
      <c r="T119" s="461" t="s">
        <v>37</v>
      </c>
      <c r="U119" s="30" t="s">
        <v>316</v>
      </c>
      <c r="V119" s="248" t="s"/>
      <c r="W119" s="266" t="s">
        <v>332</v>
      </c>
      <c r="X119" s="33" t="s"/>
      <c r="Y119" s="34" t="s"/>
      <c r="Z119" s="35" t="s"/>
      <c r="AA119" s="36" t="s">
        <v>52</v>
      </c>
      <c r="AB119" s="36" t="s">
        <v>41</v>
      </c>
      <c r="AC119" s="36" t="s">
        <v>41</v>
      </c>
      <c r="AD119" s="36" t="s">
        <v>41</v>
      </c>
      <c r="AE119" s="37">
        <f>=IFERROR(T119-N119,)</f>
        <v>0</v>
      </c>
    </row>
    <row r="120" spans="1:31" ht="15" customHeight="1">
      <c r="A120" s="108">
        <v>111</v>
      </c>
      <c r="B120" s="61" t="s">
        <v>196</v>
      </c>
      <c r="C120" s="343" t="s">
        <v>197</v>
      </c>
      <c r="D120" s="450" t="s">
        <v>659</v>
      </c>
      <c r="E120" s="343" t="s">
        <v>89</v>
      </c>
      <c r="F120" s="343" t="s">
        <v>154</v>
      </c>
      <c r="G120" s="345" t="s">
        <v>58</v>
      </c>
      <c r="H120" s="345" t="s">
        <v>92</v>
      </c>
      <c r="I120" s="345" t="s">
        <v>93</v>
      </c>
      <c r="J120" s="343" t="s">
        <v>124</v>
      </c>
      <c r="K120" s="244">
        <f>=EDATE(L120,-3)</f>
        <v>46386</v>
      </c>
      <c r="L120" s="404">
        <v>46476</v>
      </c>
      <c r="M120" s="297">
        <f>=EDATE(L120,3)</f>
        <v>46568</v>
      </c>
      <c r="N120" s="358" t="s">
        <v>37</v>
      </c>
      <c r="O120" s="291">
        <v>-0.0412</v>
      </c>
      <c r="P120" s="358" t="s">
        <v>37</v>
      </c>
      <c r="Q120" s="358" t="s">
        <v>37</v>
      </c>
      <c r="R120" s="358" t="s">
        <v>37</v>
      </c>
      <c r="S120" s="358" t="s">
        <v>37</v>
      </c>
      <c r="T120" s="358" t="s">
        <v>37</v>
      </c>
      <c r="U120" s="30" t="s">
        <v>316</v>
      </c>
      <c r="V120" s="378" t="s"/>
      <c r="W120" s="32" t="s">
        <v>359</v>
      </c>
      <c r="X120" s="425" t="s"/>
      <c r="Y120" s="426" t="s"/>
      <c r="Z120" s="35" t="s"/>
      <c r="AA120" s="49" t="s">
        <v>52</v>
      </c>
      <c r="AB120" s="49" t="s">
        <v>41</v>
      </c>
      <c r="AC120" s="49" t="s">
        <v>41</v>
      </c>
      <c r="AD120" s="49" t="s">
        <v>41</v>
      </c>
      <c r="AE120" s="37">
        <f>=IFERROR(T120-N120,)</f>
        <v>0</v>
      </c>
    </row>
    <row r="121" spans="1:31" ht="15" customHeight="1">
      <c r="A121" s="58">
        <v>137</v>
      </c>
      <c r="B121" s="61" t="s">
        <v>42</v>
      </c>
      <c r="C121" s="350" t="s">
        <v>360</v>
      </c>
      <c r="D121" s="351" t="s">
        <v>361</v>
      </c>
      <c r="E121" s="350" t="s">
        <v>89</v>
      </c>
      <c r="F121" s="350" t="s">
        <v>154</v>
      </c>
      <c r="G121" s="350" t="s">
        <v>58</v>
      </c>
      <c r="H121" s="350" t="s">
        <v>92</v>
      </c>
      <c r="I121" s="350" t="s"/>
      <c r="J121" s="350" t="s"/>
      <c r="K121" s="375">
        <f>=EDATE(L121,-3)</f>
        <v>46417</v>
      </c>
      <c r="L121" s="373">
        <v>46507</v>
      </c>
      <c r="M121" s="371">
        <f>=EDATE(L121,3)</f>
        <v>46598</v>
      </c>
      <c r="N121" s="458">
        <v>-0.0073</v>
      </c>
      <c r="O121" s="298">
        <v>0.0079</v>
      </c>
      <c r="P121" s="358" t="s">
        <v>37</v>
      </c>
      <c r="Q121" s="358" t="s">
        <v>37</v>
      </c>
      <c r="R121" s="358" t="s">
        <v>37</v>
      </c>
      <c r="S121" s="358" t="s">
        <v>37</v>
      </c>
      <c r="T121" s="358" t="s">
        <v>37</v>
      </c>
      <c r="U121" s="30" t="s">
        <v>316</v>
      </c>
      <c r="V121" s="378" t="s"/>
      <c r="W121" s="379" t="s"/>
      <c r="X121" s="425" t="s"/>
      <c r="Y121" s="426" t="s"/>
      <c r="Z121" s="35" t="s"/>
      <c r="AA121" s="49" t="s">
        <v>52</v>
      </c>
      <c r="AB121" s="49" t="s">
        <v>41</v>
      </c>
      <c r="AC121" s="49" t="s">
        <v>41</v>
      </c>
      <c r="AD121" s="49" t="s">
        <v>41</v>
      </c>
      <c r="AE121" s="37">
        <f>=IFERROR(T121-N121,)</f>
        <v>0</v>
      </c>
    </row>
    <row r="122" spans="1:31" ht="15" customHeight="1">
      <c r="A122" s="74">
        <v>109</v>
      </c>
      <c r="B122" s="464" t="s">
        <v>42</v>
      </c>
      <c r="C122" s="455" t="s">
        <v>299</v>
      </c>
      <c r="D122" s="424" t="s">
        <v>362</v>
      </c>
      <c r="E122" s="455" t="s">
        <v>301</v>
      </c>
      <c r="F122" s="455" t="s">
        <v>167</v>
      </c>
      <c r="G122" s="456" t="s">
        <v>58</v>
      </c>
      <c r="H122" s="456" t="s">
        <v>92</v>
      </c>
      <c r="I122" s="456" t="s">
        <v>93</v>
      </c>
      <c r="J122" s="456" t="s">
        <v>93</v>
      </c>
      <c r="K122" s="286">
        <f>=EDATE(L122,-3)</f>
        <v>46446</v>
      </c>
      <c r="L122" s="404">
        <v>46537</v>
      </c>
      <c r="M122" s="24">
        <f>=EDATE(L122,3)</f>
        <v>46629</v>
      </c>
      <c r="N122" s="246" t="s">
        <v>37</v>
      </c>
      <c r="O122" s="247" t="s">
        <v>37</v>
      </c>
      <c r="P122" s="246" t="s">
        <v>37</v>
      </c>
      <c r="Q122" s="246" t="s">
        <v>37</v>
      </c>
      <c r="R122" s="246" t="s">
        <v>37</v>
      </c>
      <c r="S122" s="246" t="s">
        <v>37</v>
      </c>
      <c r="T122" s="250" t="s">
        <v>37</v>
      </c>
      <c r="U122" s="30" t="s">
        <v>38</v>
      </c>
      <c r="V122" s="248" t="s"/>
      <c r="W122" s="266" t="s">
        <v>363</v>
      </c>
      <c r="X122" s="33" t="s"/>
      <c r="Y122" s="34" t="s"/>
      <c r="Z122" s="35" t="s"/>
      <c r="AA122" s="49" t="s">
        <v>41</v>
      </c>
      <c r="AB122" s="49" t="s">
        <v>41</v>
      </c>
      <c r="AC122" s="49" t="s">
        <v>41</v>
      </c>
      <c r="AD122" s="49" t="s">
        <v>41</v>
      </c>
      <c r="AE122" s="37">
        <f>=IFERROR(T122-N122,)</f>
        <v>0</v>
      </c>
    </row>
    <row r="123" spans="1:31" ht="15" customHeight="1">
      <c r="A123" s="264">
        <v>110</v>
      </c>
      <c r="B123" s="447" t="s">
        <v>53</v>
      </c>
      <c r="C123" s="423" t="s">
        <v>269</v>
      </c>
      <c r="D123" s="448" t="s">
        <v>364</v>
      </c>
      <c r="E123" s="423" t="s">
        <v>56</v>
      </c>
      <c r="F123" s="423" t="s">
        <v>57</v>
      </c>
      <c r="G123" s="423" t="s">
        <v>58</v>
      </c>
      <c r="H123" s="423" t="s">
        <v>59</v>
      </c>
      <c r="I123" s="423" t="s">
        <v>60</v>
      </c>
      <c r="J123" s="465" t="s">
        <v>245</v>
      </c>
      <c r="K123" s="244">
        <f>=EDATE(L123,-3)</f>
        <v>46446</v>
      </c>
      <c r="L123" s="383">
        <v>46538</v>
      </c>
      <c r="M123" s="297">
        <f>=EDATE(L123,3)</f>
        <v>46630</v>
      </c>
      <c r="N123" s="250">
        <v>0.0405</v>
      </c>
      <c r="O123" s="453">
        <v>0.05521375</v>
      </c>
      <c r="P123" s="250" t="s">
        <v>37</v>
      </c>
      <c r="Q123" s="250" t="s">
        <v>37</v>
      </c>
      <c r="R123" s="250" t="s">
        <v>37</v>
      </c>
      <c r="S123" s="250" t="s">
        <v>37</v>
      </c>
      <c r="T123" s="250" t="s">
        <v>37</v>
      </c>
      <c r="U123" s="30" t="s">
        <v>284</v>
      </c>
      <c r="V123" s="248" t="s"/>
      <c r="W123" s="266" t="s"/>
      <c r="X123" s="33" t="s"/>
      <c r="Y123" s="34" t="s"/>
      <c r="Z123" s="35" t="s"/>
      <c r="AA123" s="49" t="s">
        <v>52</v>
      </c>
      <c r="AB123" s="49" t="s">
        <v>41</v>
      </c>
      <c r="AC123" s="49" t="s">
        <v>41</v>
      </c>
      <c r="AD123" s="49" t="s">
        <v>41</v>
      </c>
      <c r="AE123" s="37">
        <f>=IFERROR(T123-N123,)</f>
        <v>0</v>
      </c>
    </row>
    <row r="124" spans="1:31" ht="15" customHeight="1">
      <c r="A124" s="74">
        <v>127</v>
      </c>
      <c r="B124" s="61" t="s">
        <v>53</v>
      </c>
      <c r="C124" s="343" t="s">
        <v>297</v>
      </c>
      <c r="D124" s="344" t="s">
        <v>365</v>
      </c>
      <c r="E124" s="343" t="s">
        <v>56</v>
      </c>
      <c r="F124" s="343" t="s">
        <v>57</v>
      </c>
      <c r="G124" s="345" t="s">
        <v>58</v>
      </c>
      <c r="H124" s="345" t="s">
        <v>59</v>
      </c>
      <c r="I124" s="345" t="s">
        <v>60</v>
      </c>
      <c r="J124" s="466" t="s">
        <v>245</v>
      </c>
      <c r="K124" s="254">
        <f>=EDATE(L124,-3)</f>
        <v>46446</v>
      </c>
      <c r="L124" s="370">
        <v>46538</v>
      </c>
      <c r="M124" s="371">
        <f>=EDATE(L124,3)</f>
        <v>46630</v>
      </c>
      <c r="N124" s="358" t="s">
        <v>37</v>
      </c>
      <c r="O124" s="298">
        <v>0.0456</v>
      </c>
      <c r="P124" s="458" t="s">
        <v>37</v>
      </c>
      <c r="Q124" s="358" t="s">
        <v>37</v>
      </c>
      <c r="R124" s="358" t="s">
        <v>37</v>
      </c>
      <c r="S124" s="358" t="s">
        <v>37</v>
      </c>
      <c r="T124" s="358" t="s">
        <v>37</v>
      </c>
      <c r="U124" s="30" t="s">
        <v>284</v>
      </c>
      <c r="V124" s="248" t="s"/>
      <c r="W124" s="266" t="s"/>
      <c r="X124" s="33" t="s"/>
      <c r="Y124" s="34" t="s"/>
      <c r="Z124" s="35" t="s"/>
      <c r="AA124" s="49" t="s">
        <v>52</v>
      </c>
      <c r="AB124" s="49" t="s">
        <v>41</v>
      </c>
      <c r="AC124" s="49" t="s">
        <v>41</v>
      </c>
      <c r="AD124" s="49" t="s">
        <v>41</v>
      </c>
      <c r="AE124" s="37">
        <f>=IFERROR(T124-N124,)</f>
        <v>0</v>
      </c>
    </row>
    <row r="125" spans="1:31" ht="15" customHeight="1">
      <c r="A125" s="74">
        <v>112</v>
      </c>
      <c r="B125" s="61" t="s">
        <v>28</v>
      </c>
      <c r="C125" s="350" t="s">
        <v>343</v>
      </c>
      <c r="D125" s="351" t="s">
        <v>366</v>
      </c>
      <c r="E125" s="350" t="s">
        <v>31</v>
      </c>
      <c r="F125" s="350" t="s">
        <v>77</v>
      </c>
      <c r="G125" s="350" t="s">
        <v>47</v>
      </c>
      <c r="H125" s="350" t="s">
        <v>34</v>
      </c>
      <c r="I125" s="350" t="s">
        <v>35</v>
      </c>
      <c r="J125" s="350" t="s">
        <v>367</v>
      </c>
      <c r="K125" s="244">
        <f>=EDATE(L125,-3)</f>
        <v>46466</v>
      </c>
      <c r="L125" s="467">
        <v>46558</v>
      </c>
      <c r="M125" s="297">
        <f>=EDATE(L125,3)</f>
        <v>46650</v>
      </c>
      <c r="N125" s="358">
        <v>0.025</v>
      </c>
      <c r="O125" s="291">
        <v>0.0674</v>
      </c>
      <c r="P125" s="358" t="s">
        <v>37</v>
      </c>
      <c r="Q125" s="358" t="s">
        <v>37</v>
      </c>
      <c r="R125" s="358" t="s">
        <v>37</v>
      </c>
      <c r="S125" s="358" t="s">
        <v>37</v>
      </c>
      <c r="T125" s="358" t="s">
        <v>37</v>
      </c>
      <c r="U125" s="30" t="s">
        <v>316</v>
      </c>
      <c r="V125" s="248" t="s"/>
      <c r="W125" s="266" t="s">
        <v>332</v>
      </c>
      <c r="X125" s="33" t="s"/>
      <c r="Y125" s="34" t="s"/>
      <c r="Z125" s="35" t="s"/>
      <c r="AA125" s="36" t="s">
        <v>52</v>
      </c>
      <c r="AB125" s="36" t="s">
        <v>41</v>
      </c>
      <c r="AC125" s="36" t="s">
        <v>41</v>
      </c>
      <c r="AD125" s="36" t="s">
        <v>41</v>
      </c>
      <c r="AE125" s="37">
        <f>=IFERROR(T125-N125,)</f>
        <v>0</v>
      </c>
    </row>
    <row r="126" spans="1:31" ht="15" customHeight="1">
      <c r="A126" s="58">
        <v>113</v>
      </c>
      <c r="B126" s="447" t="s">
        <v>42</v>
      </c>
      <c r="C126" s="343" t="s">
        <v>78</v>
      </c>
      <c r="D126" s="344" t="s">
        <v>368</v>
      </c>
      <c r="E126" s="343" t="s">
        <v>138</v>
      </c>
      <c r="F126" s="343" t="s">
        <v>369</v>
      </c>
      <c r="G126" s="345" t="s">
        <v>33</v>
      </c>
      <c r="H126" s="345" t="s">
        <v>92</v>
      </c>
      <c r="I126" s="345" t="s">
        <v>93</v>
      </c>
      <c r="J126" s="345" t="s">
        <v>258</v>
      </c>
      <c r="K126" s="244">
        <f>=EDATE(L126,-3)</f>
        <v>46467</v>
      </c>
      <c r="L126" s="346">
        <v>46559</v>
      </c>
      <c r="M126" s="24">
        <f>=EDATE(L126,3)</f>
        <v>46651</v>
      </c>
      <c r="N126" s="358" t="s">
        <v>37</v>
      </c>
      <c r="O126" s="298" t="s">
        <v>37</v>
      </c>
      <c r="P126" s="358" t="s">
        <v>37</v>
      </c>
      <c r="Q126" s="358" t="s">
        <v>37</v>
      </c>
      <c r="R126" s="358" t="s">
        <v>37</v>
      </c>
      <c r="S126" s="358" t="s">
        <v>37</v>
      </c>
      <c r="T126" s="358" t="s">
        <v>37</v>
      </c>
      <c r="U126" s="30" t="s">
        <v>38</v>
      </c>
      <c r="V126" s="248" t="s"/>
      <c r="W126" s="266" t="s">
        <v>359</v>
      </c>
      <c r="X126" s="33" t="s"/>
      <c r="Y126" s="34" t="s"/>
      <c r="Z126" s="35" t="s"/>
      <c r="AA126" s="49" t="s">
        <v>41</v>
      </c>
      <c r="AB126" s="49" t="s">
        <v>41</v>
      </c>
      <c r="AC126" s="49" t="s">
        <v>41</v>
      </c>
      <c r="AD126" s="49" t="s">
        <v>41</v>
      </c>
      <c r="AE126" s="37">
        <f>=IFERROR(T126-N126,)</f>
        <v>0</v>
      </c>
    </row>
    <row r="127" spans="1:31" ht="15" customHeight="1">
      <c r="A127" s="74">
        <v>43</v>
      </c>
      <c r="B127" s="63" t="s">
        <v>53</v>
      </c>
      <c r="C127" s="435" t="s">
        <v>101</v>
      </c>
      <c r="D127" s="436" t="s">
        <v>370</v>
      </c>
      <c r="E127" s="435" t="s">
        <v>56</v>
      </c>
      <c r="F127" s="435" t="s">
        <v>57</v>
      </c>
      <c r="G127" s="435" t="s">
        <v>58</v>
      </c>
      <c r="H127" s="435" t="s">
        <v>59</v>
      </c>
      <c r="I127" s="435" t="s">
        <v>60</v>
      </c>
      <c r="J127" s="435" t="s">
        <v>245</v>
      </c>
      <c r="K127" s="52">
        <f>=EDATE(L127,-3)</f>
        <v>46476</v>
      </c>
      <c r="L127" s="468">
        <v>46568</v>
      </c>
      <c r="M127" s="297">
        <f>=EDATE(L127,3)</f>
        <v>46660</v>
      </c>
      <c r="N127" s="469" t="s">
        <v>37</v>
      </c>
      <c r="O127" s="54">
        <v>0.12419522</v>
      </c>
      <c r="P127" s="469" t="s">
        <v>37</v>
      </c>
      <c r="Q127" s="469" t="s">
        <v>37</v>
      </c>
      <c r="R127" s="469" t="s">
        <v>37</v>
      </c>
      <c r="S127" s="469" t="s">
        <v>37</v>
      </c>
      <c r="T127" s="469" t="s">
        <v>37</v>
      </c>
      <c r="U127" s="30" t="s">
        <v>284</v>
      </c>
      <c r="V127" s="56" t="s"/>
      <c r="W127" s="61" t="s">
        <v>371</v>
      </c>
      <c r="X127" s="33" t="s"/>
      <c r="Y127" s="34" t="s"/>
      <c r="Z127" s="35" t="s"/>
      <c r="AA127" s="49" t="s">
        <v>52</v>
      </c>
      <c r="AB127" s="49" t="s">
        <v>41</v>
      </c>
      <c r="AC127" s="49" t="s">
        <v>41</v>
      </c>
      <c r="AD127" s="49" t="s">
        <v>41</v>
      </c>
      <c r="AE127" s="37">
        <f>=IFERROR(T127-N127,)</f>
        <v>0</v>
      </c>
    </row>
    <row r="128" spans="1:31" s="541" customFormat="1" ht="15" customHeight="1">
      <c r="A128" s="74">
        <v>114</v>
      </c>
      <c r="B128" s="447" t="s">
        <v>42</v>
      </c>
      <c r="C128" s="343" t="s">
        <v>78</v>
      </c>
      <c r="D128" s="344" t="s">
        <v>372</v>
      </c>
      <c r="E128" s="343" t="s">
        <v>153</v>
      </c>
      <c r="F128" s="343" t="s">
        <v>154</v>
      </c>
      <c r="G128" s="345" t="s">
        <v>33</v>
      </c>
      <c r="H128" s="345" t="s">
        <v>92</v>
      </c>
      <c r="I128" s="345" t="s">
        <v>93</v>
      </c>
      <c r="J128" s="345" t="s">
        <v>373</v>
      </c>
      <c r="K128" s="244">
        <f>=EDATE(L128,-3)</f>
        <v>46476</v>
      </c>
      <c r="L128" s="346">
        <v>46568</v>
      </c>
      <c r="M128" s="297">
        <f>=EDATE(L128,3)</f>
        <v>46660</v>
      </c>
      <c r="N128" s="358">
        <v>-0.0826</v>
      </c>
      <c r="O128" s="291">
        <v>-0.0344</v>
      </c>
      <c r="P128" s="347" t="s">
        <v>37</v>
      </c>
      <c r="Q128" s="358" t="s">
        <v>37</v>
      </c>
      <c r="R128" s="358" t="s">
        <v>37</v>
      </c>
      <c r="S128" s="358" t="s">
        <v>37</v>
      </c>
      <c r="T128" s="358" t="s">
        <v>37</v>
      </c>
      <c r="U128" s="30" t="s">
        <v>316</v>
      </c>
      <c r="V128" s="248" t="s"/>
      <c r="W128" s="266" t="s"/>
      <c r="X128" s="33" t="s"/>
      <c r="Y128" s="34" t="s"/>
      <c r="Z128" s="35" t="s"/>
      <c r="AA128" s="49" t="s">
        <v>52</v>
      </c>
      <c r="AB128" s="49" t="s">
        <v>41</v>
      </c>
      <c r="AC128" s="49" t="s">
        <v>41</v>
      </c>
      <c r="AD128" s="49" t="s">
        <v>41</v>
      </c>
      <c r="AE128" s="37">
        <f>=IFERROR(T128-N128,)</f>
        <v>0</v>
      </c>
    </row>
    <row r="129" spans="1:31" ht="15" customHeight="1">
      <c r="A129" s="58">
        <v>133</v>
      </c>
      <c r="B129" s="61" t="s">
        <v>53</v>
      </c>
      <c r="C129" s="350" t="s">
        <v>209</v>
      </c>
      <c r="D129" s="351" t="s">
        <v>374</v>
      </c>
      <c r="E129" s="350" t="s">
        <v>56</v>
      </c>
      <c r="F129" s="350" t="s">
        <v>57</v>
      </c>
      <c r="G129" s="350" t="s">
        <v>58</v>
      </c>
      <c r="H129" s="350" t="s">
        <v>59</v>
      </c>
      <c r="I129" s="350" t="s">
        <v>60</v>
      </c>
      <c r="J129" s="350" t="s">
        <v>227</v>
      </c>
      <c r="K129" s="375">
        <f>=EDATE(L129,-3)</f>
        <v>46476</v>
      </c>
      <c r="L129" s="470">
        <v>46568</v>
      </c>
      <c r="M129" s="371">
        <f>=EDATE(L129,3)</f>
        <v>46660</v>
      </c>
      <c r="N129" s="358" t="s">
        <v>37</v>
      </c>
      <c r="O129" s="471">
        <v>0.031</v>
      </c>
      <c r="P129" s="358" t="s">
        <v>37</v>
      </c>
      <c r="Q129" s="358" t="s">
        <v>37</v>
      </c>
      <c r="R129" s="461" t="s">
        <v>37</v>
      </c>
      <c r="S129" s="358" t="s">
        <v>37</v>
      </c>
      <c r="T129" s="358" t="s">
        <v>37</v>
      </c>
      <c r="U129" s="30" t="s">
        <v>284</v>
      </c>
      <c r="V129" s="378" t="s"/>
      <c r="W129" s="379" t="s"/>
      <c r="X129" s="262" t="s"/>
      <c r="Y129" s="263" t="s"/>
      <c r="Z129" s="90" t="s"/>
      <c r="AA129" s="49" t="s">
        <v>52</v>
      </c>
      <c r="AB129" s="49" t="s">
        <v>41</v>
      </c>
      <c r="AC129" s="49" t="s">
        <v>41</v>
      </c>
      <c r="AD129" s="49" t="s">
        <v>41</v>
      </c>
      <c r="AE129" s="37">
        <f>=IFERROR(T129-N129,)</f>
        <v>0</v>
      </c>
    </row>
    <row r="130" spans="1:31" ht="15" customHeight="1">
      <c r="A130" s="58">
        <v>138</v>
      </c>
      <c r="B130" s="61" t="s">
        <v>196</v>
      </c>
      <c r="C130" s="343" t="s">
        <v>197</v>
      </c>
      <c r="D130" s="344" t="s">
        <v>375</v>
      </c>
      <c r="E130" s="343" t="s">
        <v>89</v>
      </c>
      <c r="F130" s="343" t="s">
        <v>154</v>
      </c>
      <c r="G130" s="345" t="s">
        <v>58</v>
      </c>
      <c r="H130" s="345" t="s">
        <v>92</v>
      </c>
      <c r="I130" s="345" t="s"/>
      <c r="J130" s="345" t="s"/>
      <c r="K130" s="375">
        <f>=EDATE(L130,-3)</f>
        <v>46476</v>
      </c>
      <c r="L130" s="370">
        <v>46568</v>
      </c>
      <c r="M130" s="255">
        <f>=EDATE(L130,3)</f>
        <v>46660</v>
      </c>
      <c r="N130" s="358" t="s">
        <v>37</v>
      </c>
      <c r="O130" s="291" t="s">
        <v>37</v>
      </c>
      <c r="P130" s="358" t="s">
        <v>37</v>
      </c>
      <c r="Q130" s="358" t="s">
        <v>37</v>
      </c>
      <c r="R130" s="358" t="s">
        <v>37</v>
      </c>
      <c r="S130" s="358" t="s">
        <v>37</v>
      </c>
      <c r="T130" s="358" t="s">
        <v>37</v>
      </c>
      <c r="U130" s="30" t="s">
        <v>38</v>
      </c>
      <c r="V130" s="378" t="s"/>
      <c r="W130" s="32" t="s">
        <v>325</v>
      </c>
      <c r="X130" s="425" t="s"/>
      <c r="Y130" s="426" t="s"/>
      <c r="Z130" s="35" t="s"/>
      <c r="AA130" s="49" t="s">
        <v>41</v>
      </c>
      <c r="AB130" s="49" t="s">
        <v>41</v>
      </c>
      <c r="AC130" s="49" t="s">
        <v>41</v>
      </c>
      <c r="AD130" s="49" t="s">
        <v>41</v>
      </c>
      <c r="AE130" s="37">
        <f>=IFERROR(T130-N130,)</f>
        <v>0</v>
      </c>
    </row>
    <row r="131" spans="1:31" ht="15" customHeight="1">
      <c r="A131" s="58">
        <v>139</v>
      </c>
      <c r="B131" s="61" t="s">
        <v>196</v>
      </c>
      <c r="C131" s="350" t="s">
        <v>197</v>
      </c>
      <c r="D131" s="351" t="s">
        <v>376</v>
      </c>
      <c r="E131" s="350" t="s">
        <v>153</v>
      </c>
      <c r="F131" s="350" t="s">
        <v>154</v>
      </c>
      <c r="G131" s="350" t="s">
        <v>58</v>
      </c>
      <c r="H131" s="350" t="s">
        <v>92</v>
      </c>
      <c r="I131" s="350" t="s">
        <v>93</v>
      </c>
      <c r="J131" s="350" t="s"/>
      <c r="K131" s="375">
        <f>=EDATE(L131,-3)</f>
        <v>46476</v>
      </c>
      <c r="L131" s="470">
        <v>46568</v>
      </c>
      <c r="M131" s="255">
        <f>=EDATE(L131,3)</f>
        <v>46660</v>
      </c>
      <c r="N131" s="358" t="s">
        <v>37</v>
      </c>
      <c r="O131" s="298" t="s">
        <v>37</v>
      </c>
      <c r="P131" s="358" t="s">
        <v>37</v>
      </c>
      <c r="Q131" s="358" t="s">
        <v>37</v>
      </c>
      <c r="R131" s="358" t="s">
        <v>37</v>
      </c>
      <c r="S131" s="358" t="s">
        <v>37</v>
      </c>
      <c r="T131" s="358" t="s">
        <v>37</v>
      </c>
      <c r="U131" s="30" t="s">
        <v>38</v>
      </c>
      <c r="V131" s="378" t="s"/>
      <c r="W131" s="32" t="s">
        <v>325</v>
      </c>
      <c r="X131" s="425" t="s"/>
      <c r="Y131" s="426" t="s"/>
      <c r="Z131" s="35" t="s"/>
      <c r="AA131" s="49" t="s">
        <v>41</v>
      </c>
      <c r="AB131" s="49" t="s">
        <v>41</v>
      </c>
      <c r="AC131" s="49" t="s">
        <v>41</v>
      </c>
      <c r="AD131" s="49" t="s">
        <v>41</v>
      </c>
      <c r="AE131" s="37">
        <f>=IFERROR(T131-N131,)</f>
        <v>0</v>
      </c>
    </row>
    <row r="132" spans="1:31" ht="15" customHeight="1">
      <c r="A132" s="58">
        <v>142</v>
      </c>
      <c r="B132" s="61" t="s">
        <v>196</v>
      </c>
      <c r="C132" s="343" t="s">
        <v>197</v>
      </c>
      <c r="D132" s="344" t="s">
        <v>377</v>
      </c>
      <c r="E132" s="343" t="s">
        <v>138</v>
      </c>
      <c r="F132" s="343" t="s">
        <v>154</v>
      </c>
      <c r="G132" s="345" t="s">
        <v>58</v>
      </c>
      <c r="H132" s="345" t="s">
        <v>92</v>
      </c>
      <c r="I132" s="345" t="s"/>
      <c r="J132" s="345" t="s"/>
      <c r="K132" s="375">
        <f>=EDATE(L132,-3)</f>
        <v>46476</v>
      </c>
      <c r="L132" s="370">
        <v>46568</v>
      </c>
      <c r="M132" s="255">
        <f>=EDATE(L132,3)</f>
        <v>46660</v>
      </c>
      <c r="N132" s="358" t="s">
        <v>37</v>
      </c>
      <c r="O132" s="291" t="s">
        <v>37</v>
      </c>
      <c r="P132" s="358" t="s">
        <v>37</v>
      </c>
      <c r="Q132" s="358" t="s">
        <v>37</v>
      </c>
      <c r="R132" s="358" t="s">
        <v>37</v>
      </c>
      <c r="S132" s="358" t="s">
        <v>37</v>
      </c>
      <c r="T132" s="358" t="s">
        <v>37</v>
      </c>
      <c r="U132" s="30" t="s">
        <v>38</v>
      </c>
      <c r="V132" s="378" t="s"/>
      <c r="W132" s="32" t="s">
        <v>325</v>
      </c>
      <c r="X132" s="425" t="s"/>
      <c r="Y132" s="426" t="s"/>
      <c r="Z132" s="35" t="s"/>
      <c r="AA132" s="49" t="s">
        <v>41</v>
      </c>
      <c r="AB132" s="49" t="s">
        <v>41</v>
      </c>
      <c r="AC132" s="49" t="s">
        <v>41</v>
      </c>
      <c r="AD132" s="49" t="s">
        <v>41</v>
      </c>
      <c r="AE132" s="37">
        <f>=IFERROR(T132-N132,)</f>
        <v>0</v>
      </c>
    </row>
    <row r="133" spans="1:31" ht="15" customHeight="1">
      <c r="A133" s="58">
        <v>143</v>
      </c>
      <c r="B133" s="61" t="s">
        <v>196</v>
      </c>
      <c r="C133" s="350" t="s">
        <v>197</v>
      </c>
      <c r="D133" s="351" t="s">
        <v>378</v>
      </c>
      <c r="E133" s="350" t="s">
        <v>128</v>
      </c>
      <c r="F133" s="350" t="s">
        <v>154</v>
      </c>
      <c r="G133" s="350" t="s">
        <v>58</v>
      </c>
      <c r="H133" s="350" t="s">
        <v>92</v>
      </c>
      <c r="I133" s="350" t="s"/>
      <c r="J133" s="350" t="s"/>
      <c r="K133" s="375">
        <f>=EDATE(L133,-3)</f>
        <v>46476</v>
      </c>
      <c r="L133" s="470">
        <v>46568</v>
      </c>
      <c r="M133" s="255">
        <f>=EDATE(L133,3)</f>
        <v>46660</v>
      </c>
      <c r="N133" s="358" t="s">
        <v>37</v>
      </c>
      <c r="O133" s="298" t="s">
        <v>37</v>
      </c>
      <c r="P133" s="358" t="s">
        <v>37</v>
      </c>
      <c r="Q133" s="358" t="s">
        <v>37</v>
      </c>
      <c r="R133" s="358" t="s">
        <v>37</v>
      </c>
      <c r="S133" s="358" t="s">
        <v>37</v>
      </c>
      <c r="T133" s="358" t="s">
        <v>37</v>
      </c>
      <c r="U133" s="30" t="s">
        <v>38</v>
      </c>
      <c r="V133" s="378" t="s"/>
      <c r="W133" s="32" t="s">
        <v>325</v>
      </c>
      <c r="X133" s="425" t="s"/>
      <c r="Y133" s="426" t="s"/>
      <c r="Z133" s="35" t="s"/>
      <c r="AA133" s="49" t="s">
        <v>41</v>
      </c>
      <c r="AB133" s="49" t="s">
        <v>41</v>
      </c>
      <c r="AC133" s="49" t="s">
        <v>41</v>
      </c>
      <c r="AD133" s="49" t="s">
        <v>41</v>
      </c>
      <c r="AE133" s="37">
        <f>=IFERROR(T133-N133,)</f>
        <v>0</v>
      </c>
    </row>
    <row r="134" spans="1:31" ht="15" customHeight="1">
      <c r="A134" s="384">
        <v>150</v>
      </c>
      <c r="B134" s="472" t="s">
        <v>53</v>
      </c>
      <c r="C134" s="412" t="s">
        <v>379</v>
      </c>
      <c r="D134" s="413" t="s">
        <v>380</v>
      </c>
      <c r="E134" s="412" t="s">
        <v>138</v>
      </c>
      <c r="F134" s="412" t="s">
        <v>369</v>
      </c>
      <c r="G134" s="414" t="s">
        <v>58</v>
      </c>
      <c r="H134" s="414" t="s">
        <v>92</v>
      </c>
      <c r="I134" s="414" t="s">
        <v>93</v>
      </c>
      <c r="J134" s="414" t="s">
        <v>373</v>
      </c>
      <c r="K134" s="415">
        <f>=EDATE(L134,-3)</f>
        <v>46476</v>
      </c>
      <c r="L134" s="416">
        <v>46568</v>
      </c>
      <c r="M134" s="371">
        <f>=EDATE(L134,3)</f>
        <v>46660</v>
      </c>
      <c r="N134" s="473">
        <v>0.0442551</v>
      </c>
      <c r="O134" s="418">
        <v>0.04667013</v>
      </c>
      <c r="P134" s="473" t="s">
        <v>37</v>
      </c>
      <c r="Q134" s="473" t="s">
        <v>37</v>
      </c>
      <c r="R134" s="474" t="s">
        <v>37</v>
      </c>
      <c r="S134" s="473" t="s">
        <v>37</v>
      </c>
      <c r="T134" s="473" t="s">
        <v>37</v>
      </c>
      <c r="U134" s="30" t="s">
        <v>316</v>
      </c>
      <c r="V134" s="393" t="s"/>
      <c r="W134" s="394" t="s"/>
      <c r="X134" s="419" t="s"/>
      <c r="Y134" s="420" t="s"/>
      <c r="Z134" s="421" t="s"/>
      <c r="AA134" s="398" t="s">
        <v>52</v>
      </c>
      <c r="AB134" s="398" t="s">
        <v>41</v>
      </c>
      <c r="AC134" s="398" t="s">
        <v>41</v>
      </c>
      <c r="AD134" s="398" t="s">
        <v>41</v>
      </c>
      <c r="AE134" s="37">
        <f>=IFERROR(T134-N134,)</f>
        <v>0</v>
      </c>
    </row>
    <row r="135" spans="1:31" ht="15" customHeight="1">
      <c r="A135" s="384">
        <v>151</v>
      </c>
      <c r="B135" s="472" t="s">
        <v>53</v>
      </c>
      <c r="C135" s="475" t="s">
        <v>379</v>
      </c>
      <c r="D135" s="476" t="s">
        <v>381</v>
      </c>
      <c r="E135" s="475" t="s">
        <v>138</v>
      </c>
      <c r="F135" s="475" t="s">
        <v>369</v>
      </c>
      <c r="G135" s="475" t="s">
        <v>33</v>
      </c>
      <c r="H135" s="475" t="s">
        <v>92</v>
      </c>
      <c r="I135" s="475" t="s">
        <v>93</v>
      </c>
      <c r="J135" s="475" t="s">
        <v>373</v>
      </c>
      <c r="K135" s="415">
        <f>=EDATE(L135,-3)</f>
        <v>46476</v>
      </c>
      <c r="L135" s="477">
        <v>46568</v>
      </c>
      <c r="M135" s="371">
        <f>=EDATE(L135,3)</f>
        <v>46660</v>
      </c>
      <c r="N135" s="473">
        <v>0.03269552</v>
      </c>
      <c r="O135" s="478">
        <v>0.0377</v>
      </c>
      <c r="P135" s="473" t="s">
        <v>37</v>
      </c>
      <c r="Q135" s="473" t="s">
        <v>37</v>
      </c>
      <c r="R135" s="473" t="s">
        <v>37</v>
      </c>
      <c r="S135" s="473" t="s">
        <v>37</v>
      </c>
      <c r="T135" s="473" t="s">
        <v>37</v>
      </c>
      <c r="U135" s="30" t="s">
        <v>316</v>
      </c>
      <c r="V135" s="393" t="s"/>
      <c r="W135" s="394" t="s"/>
      <c r="X135" s="419" t="s"/>
      <c r="Y135" s="420" t="s"/>
      <c r="Z135" s="421" t="s"/>
      <c r="AA135" s="398" t="s">
        <v>52</v>
      </c>
      <c r="AB135" s="398" t="s">
        <v>41</v>
      </c>
      <c r="AC135" s="398" t="s">
        <v>41</v>
      </c>
      <c r="AD135" s="398" t="s">
        <v>41</v>
      </c>
      <c r="AE135" s="37">
        <f>=IFERROR(T135-N135,)</f>
        <v>0</v>
      </c>
    </row>
    <row r="136" spans="1:31" ht="15" customHeight="1">
      <c r="A136" s="58">
        <v>152</v>
      </c>
      <c r="B136" s="61" t="s">
        <v>86</v>
      </c>
      <c r="C136" s="343" t="s">
        <v>382</v>
      </c>
      <c r="D136" s="344" t="s">
        <v>660</v>
      </c>
      <c r="E136" s="343" t="s">
        <v>138</v>
      </c>
      <c r="F136" s="343" t="s">
        <v>162</v>
      </c>
      <c r="G136" s="345" t="s">
        <v>91</v>
      </c>
      <c r="H136" s="345" t="s">
        <v>92</v>
      </c>
      <c r="I136" s="345" t="s">
        <v>93</v>
      </c>
      <c r="J136" s="345" t="s">
        <v>258</v>
      </c>
      <c r="K136" s="375">
        <f>=EDATE(L136,-3)</f>
        <v>46476</v>
      </c>
      <c r="L136" s="370">
        <v>46568</v>
      </c>
      <c r="M136" s="371">
        <f>=EDATE(L136,3)</f>
        <v>46660</v>
      </c>
      <c r="N136" s="358" t="s">
        <v>37</v>
      </c>
      <c r="O136" s="479">
        <v>-0.3002</v>
      </c>
      <c r="P136" s="358" t="s">
        <v>37</v>
      </c>
      <c r="Q136" s="358" t="s">
        <v>37</v>
      </c>
      <c r="R136" s="358" t="s">
        <v>37</v>
      </c>
      <c r="S136" s="358" t="s">
        <v>37</v>
      </c>
      <c r="T136" s="358" t="s">
        <v>37</v>
      </c>
      <c r="U136" s="30" t="s">
        <v>316</v>
      </c>
      <c r="V136" s="378" t="s"/>
      <c r="W136" s="32" t="s">
        <v>317</v>
      </c>
      <c r="X136" s="88">
        <v>-0.31</v>
      </c>
      <c r="Y136" s="263">
        <v>-91083589</v>
      </c>
      <c r="Z136" s="90">
        <f>=Y136/X136*5%</f>
        <v>14690901.4516129</v>
      </c>
      <c r="AA136" s="49" t="s">
        <v>52</v>
      </c>
      <c r="AB136" s="49" t="s">
        <v>41</v>
      </c>
      <c r="AC136" s="49" t="s">
        <v>41</v>
      </c>
      <c r="AD136" s="49" t="s">
        <v>41</v>
      </c>
      <c r="AE136" s="37">
        <f>=IFERROR(T136-N136,)</f>
        <v>0</v>
      </c>
    </row>
    <row r="137" spans="1:31" ht="15" customHeight="1">
      <c r="A137" s="74">
        <v>115</v>
      </c>
      <c r="B137" s="61" t="s">
        <v>42</v>
      </c>
      <c r="C137" s="350" t="s">
        <v>225</v>
      </c>
      <c r="D137" s="351" t="s">
        <v>383</v>
      </c>
      <c r="E137" s="350" t="s">
        <v>138</v>
      </c>
      <c r="F137" s="343" t="s">
        <v>77</v>
      </c>
      <c r="G137" s="345" t="s">
        <v>47</v>
      </c>
      <c r="H137" s="345" t="s">
        <v>92</v>
      </c>
      <c r="I137" s="350" t="s">
        <v>49</v>
      </c>
      <c r="J137" s="350" t="s">
        <v>384</v>
      </c>
      <c r="K137" s="244">
        <f>=EDATE(L137,-3)</f>
        <v>46478</v>
      </c>
      <c r="L137" s="449">
        <v>46569</v>
      </c>
      <c r="M137" s="297">
        <f>=EDATE(L137,3)</f>
        <v>46661</v>
      </c>
      <c r="N137" s="358" t="s">
        <v>37</v>
      </c>
      <c r="O137" s="291">
        <v>0.0239</v>
      </c>
      <c r="P137" s="358" t="s">
        <v>37</v>
      </c>
      <c r="Q137" s="358" t="s">
        <v>37</v>
      </c>
      <c r="R137" s="358" t="s">
        <v>37</v>
      </c>
      <c r="S137" s="358" t="s">
        <v>37</v>
      </c>
      <c r="T137" s="358" t="s">
        <v>37</v>
      </c>
      <c r="U137" s="30" t="s">
        <v>316</v>
      </c>
      <c r="V137" s="248" t="s">
        <v>124</v>
      </c>
      <c r="W137" s="32" t="s">
        <v>385</v>
      </c>
      <c r="X137" s="33" t="s"/>
      <c r="Y137" s="34" t="s"/>
      <c r="Z137" s="35" t="s"/>
      <c r="AA137" s="49" t="s">
        <v>52</v>
      </c>
      <c r="AB137" s="49" t="s">
        <v>41</v>
      </c>
      <c r="AC137" s="49" t="s">
        <v>41</v>
      </c>
      <c r="AD137" s="49" t="s">
        <v>41</v>
      </c>
      <c r="AE137" s="37">
        <f>=IFERROR(T137-N137,)</f>
        <v>0</v>
      </c>
    </row>
    <row r="138" spans="1:31" ht="15" customHeight="1">
      <c r="A138" s="58">
        <v>116</v>
      </c>
      <c r="B138" s="61" t="s">
        <v>42</v>
      </c>
      <c r="C138" s="343" t="s">
        <v>225</v>
      </c>
      <c r="D138" s="344" t="s">
        <v>386</v>
      </c>
      <c r="E138" s="343" t="s">
        <v>153</v>
      </c>
      <c r="F138" s="343" t="s">
        <v>77</v>
      </c>
      <c r="G138" s="345" t="s">
        <v>47</v>
      </c>
      <c r="H138" s="345" t="s">
        <v>92</v>
      </c>
      <c r="I138" s="345" t="s">
        <v>49</v>
      </c>
      <c r="J138" s="463" t="s">
        <v>387</v>
      </c>
      <c r="K138" s="244">
        <f>=EDATE(L138,-3)</f>
        <v>46478</v>
      </c>
      <c r="L138" s="404">
        <v>46569</v>
      </c>
      <c r="M138" s="24">
        <f>=EDATE(L138,3)</f>
        <v>46661</v>
      </c>
      <c r="N138" s="86" t="s">
        <v>37</v>
      </c>
      <c r="O138" s="291" t="s">
        <v>37</v>
      </c>
      <c r="P138" s="358" t="s">
        <v>37</v>
      </c>
      <c r="Q138" s="358" t="s">
        <v>37</v>
      </c>
      <c r="R138" s="358" t="s">
        <v>37</v>
      </c>
      <c r="S138" s="358" t="s">
        <v>37</v>
      </c>
      <c r="T138" s="358" t="s">
        <v>37</v>
      </c>
      <c r="U138" s="30" t="s">
        <v>38</v>
      </c>
      <c r="V138" s="248" t="s">
        <v>124</v>
      </c>
      <c r="W138" s="266" t="s">
        <v>354</v>
      </c>
      <c r="X138" s="33" t="s"/>
      <c r="Y138" s="34" t="s"/>
      <c r="Z138" s="35" t="s"/>
      <c r="AA138" s="49" t="s">
        <v>41</v>
      </c>
      <c r="AB138" s="49" t="s">
        <v>41</v>
      </c>
      <c r="AC138" s="49" t="s">
        <v>41</v>
      </c>
      <c r="AD138" s="49" t="s">
        <v>41</v>
      </c>
      <c r="AE138" s="37">
        <f>=IFERROR(T138-N138,)</f>
        <v>0</v>
      </c>
    </row>
    <row r="139" spans="1:31" ht="15" customHeight="1">
      <c r="A139" s="74">
        <v>117</v>
      </c>
      <c r="B139" s="61" t="s">
        <v>42</v>
      </c>
      <c r="C139" s="350" t="s">
        <v>225</v>
      </c>
      <c r="D139" s="351" t="s">
        <v>388</v>
      </c>
      <c r="E139" s="350" t="s">
        <v>89</v>
      </c>
      <c r="F139" s="350" t="s">
        <v>77</v>
      </c>
      <c r="G139" s="350" t="s">
        <v>47</v>
      </c>
      <c r="H139" s="350" t="s">
        <v>92</v>
      </c>
      <c r="I139" s="350" t="s">
        <v>49</v>
      </c>
      <c r="J139" s="350" t="s">
        <v>389</v>
      </c>
      <c r="K139" s="244">
        <f>=EDATE(L139,-3)</f>
        <v>46478</v>
      </c>
      <c r="L139" s="449">
        <v>46569</v>
      </c>
      <c r="M139" s="297">
        <f>=EDATE(L139,3)</f>
        <v>46661</v>
      </c>
      <c r="N139" s="358" t="s">
        <v>37</v>
      </c>
      <c r="O139" s="291">
        <v>0.0213</v>
      </c>
      <c r="P139" s="358" t="s">
        <v>37</v>
      </c>
      <c r="Q139" s="358" t="s">
        <v>37</v>
      </c>
      <c r="R139" s="358" t="s">
        <v>37</v>
      </c>
      <c r="S139" s="358" t="s">
        <v>37</v>
      </c>
      <c r="T139" s="358" t="s">
        <v>37</v>
      </c>
      <c r="U139" s="30" t="s">
        <v>316</v>
      </c>
      <c r="V139" s="248" t="s">
        <v>124</v>
      </c>
      <c r="W139" s="32" t="s">
        <v>390</v>
      </c>
      <c r="X139" s="33" t="s"/>
      <c r="Y139" s="34" t="s"/>
      <c r="Z139" s="35" t="s"/>
      <c r="AA139" s="49" t="s">
        <v>52</v>
      </c>
      <c r="AB139" s="49" t="s">
        <v>41</v>
      </c>
      <c r="AC139" s="49" t="s">
        <v>41</v>
      </c>
      <c r="AD139" s="49" t="s">
        <v>41</v>
      </c>
      <c r="AE139" s="37">
        <f>=IFERROR(T139-N139,)</f>
        <v>0</v>
      </c>
    </row>
    <row r="140" spans="1:31" ht="15" customHeight="1">
      <c r="A140" s="74">
        <v>118</v>
      </c>
      <c r="B140" s="61" t="s">
        <v>42</v>
      </c>
      <c r="C140" s="343" t="s">
        <v>225</v>
      </c>
      <c r="D140" s="344" t="s">
        <v>391</v>
      </c>
      <c r="E140" s="343" t="s">
        <v>138</v>
      </c>
      <c r="F140" s="343" t="s">
        <v>77</v>
      </c>
      <c r="G140" s="345" t="s">
        <v>47</v>
      </c>
      <c r="H140" s="345" t="s">
        <v>92</v>
      </c>
      <c r="I140" s="345" t="s">
        <v>49</v>
      </c>
      <c r="J140" s="345" t="s">
        <v>392</v>
      </c>
      <c r="K140" s="244">
        <f>=EDATE(L140,-3)</f>
        <v>46478</v>
      </c>
      <c r="L140" s="404">
        <v>46569</v>
      </c>
      <c r="M140" s="297">
        <f>=EDATE(L140,3)</f>
        <v>46661</v>
      </c>
      <c r="N140" s="358">
        <v>-0.23332526</v>
      </c>
      <c r="O140" s="291">
        <v>0.00101772</v>
      </c>
      <c r="P140" s="358" t="s">
        <v>37</v>
      </c>
      <c r="Q140" s="358" t="s">
        <v>37</v>
      </c>
      <c r="R140" s="358" t="s">
        <v>37</v>
      </c>
      <c r="S140" s="358" t="s">
        <v>37</v>
      </c>
      <c r="T140" s="358" t="s">
        <v>37</v>
      </c>
      <c r="U140" s="30" t="s">
        <v>316</v>
      </c>
      <c r="V140" s="248" t="s">
        <v>124</v>
      </c>
      <c r="W140" s="32" t="s"/>
      <c r="X140" s="33" t="s"/>
      <c r="Y140" s="34" t="s"/>
      <c r="Z140" s="35" t="s"/>
      <c r="AA140" s="49" t="s">
        <v>52</v>
      </c>
      <c r="AB140" s="49" t="s">
        <v>41</v>
      </c>
      <c r="AC140" s="49" t="s">
        <v>41</v>
      </c>
      <c r="AD140" s="49" t="s">
        <v>41</v>
      </c>
      <c r="AE140" s="37">
        <f>=IFERROR(T140-N140,)</f>
        <v>0</v>
      </c>
    </row>
    <row r="141" spans="1:31" ht="15" customHeight="1">
      <c r="A141" s="58">
        <v>119</v>
      </c>
      <c r="B141" s="447" t="s">
        <v>42</v>
      </c>
      <c r="C141" s="423" t="s">
        <v>250</v>
      </c>
      <c r="D141" s="480" t="s">
        <v>393</v>
      </c>
      <c r="E141" s="423" t="s">
        <v>252</v>
      </c>
      <c r="F141" s="423" t="s">
        <v>46</v>
      </c>
      <c r="G141" s="423" t="s">
        <v>47</v>
      </c>
      <c r="H141" s="423" t="s">
        <v>48</v>
      </c>
      <c r="I141" s="423" t="s">
        <v>49</v>
      </c>
      <c r="J141" s="423" t="s">
        <v>204</v>
      </c>
      <c r="K141" s="244">
        <f>=EDATE(L141,-3)</f>
        <v>46507</v>
      </c>
      <c r="L141" s="467">
        <v>46598</v>
      </c>
      <c r="M141" s="297">
        <f>=EDATE(L141,3)</f>
        <v>46690</v>
      </c>
      <c r="N141" s="250">
        <v>-0.0153</v>
      </c>
      <c r="O141" s="247">
        <v>-0.0153</v>
      </c>
      <c r="P141" s="250" t="s">
        <v>37</v>
      </c>
      <c r="Q141" s="250" t="s">
        <v>37</v>
      </c>
      <c r="R141" s="250" t="s">
        <v>37</v>
      </c>
      <c r="S141" s="250" t="s">
        <v>37</v>
      </c>
      <c r="T141" s="250" t="s">
        <v>37</v>
      </c>
      <c r="U141" s="30" t="s">
        <v>284</v>
      </c>
      <c r="V141" s="248" t="s"/>
      <c r="W141" s="266" t="s"/>
      <c r="X141" s="33" t="s"/>
      <c r="Y141" s="34" t="s"/>
      <c r="Z141" s="35" t="s"/>
      <c r="AA141" s="49" t="s">
        <v>52</v>
      </c>
      <c r="AB141" s="49" t="s">
        <v>41</v>
      </c>
      <c r="AC141" s="49" t="s">
        <v>41</v>
      </c>
      <c r="AD141" s="49" t="s">
        <v>41</v>
      </c>
      <c r="AE141" s="37">
        <f>=IFERROR(T141-N141,)</f>
        <v>0</v>
      </c>
    </row>
    <row r="142" spans="1:31" ht="15" customHeight="1">
      <c r="A142" s="58">
        <v>154</v>
      </c>
      <c r="B142" s="61" t="s">
        <v>28</v>
      </c>
      <c r="C142" s="343" t="s">
        <v>394</v>
      </c>
      <c r="D142" s="481" t="s">
        <v>395</v>
      </c>
      <c r="E142" s="343" t="s">
        <v>31</v>
      </c>
      <c r="F142" s="343" t="s">
        <v>32</v>
      </c>
      <c r="G142" s="345" t="s">
        <v>58</v>
      </c>
      <c r="H142" s="345" t="s">
        <v>34</v>
      </c>
      <c r="I142" s="345" t="s">
        <v>35</v>
      </c>
      <c r="J142" s="345" t="s">
        <v>171</v>
      </c>
      <c r="K142" s="482">
        <v>46583</v>
      </c>
      <c r="L142" s="483">
        <v>46675</v>
      </c>
      <c r="M142" s="482">
        <v>46767</v>
      </c>
      <c r="N142" s="484">
        <v>0.1569</v>
      </c>
      <c r="O142" s="484" t="s">
        <v>37</v>
      </c>
      <c r="P142" s="484" t="s">
        <v>37</v>
      </c>
      <c r="Q142" s="484" t="s">
        <v>37</v>
      </c>
      <c r="R142" s="484" t="s">
        <v>37</v>
      </c>
      <c r="S142" s="484" t="s">
        <v>37</v>
      </c>
      <c r="T142" s="484" t="s">
        <v>37</v>
      </c>
      <c r="U142" s="30" t="s">
        <v>396</v>
      </c>
      <c r="V142" s="378" t="s"/>
      <c r="W142" s="379" t="s">
        <v>397</v>
      </c>
      <c r="X142" s="485" t="s"/>
      <c r="Y142" s="263" t="s"/>
      <c r="Z142" s="90" t="s"/>
      <c r="AA142" s="49" t="s">
        <v>41</v>
      </c>
      <c r="AB142" s="49" t="s">
        <v>41</v>
      </c>
      <c r="AC142" s="49" t="s">
        <v>41</v>
      </c>
      <c r="AD142" s="49" t="s">
        <v>41</v>
      </c>
      <c r="AE142" s="37">
        <f>=IFERROR(T142-N142,)</f>
        <v>0</v>
      </c>
    </row>
    <row r="143" spans="1:31" ht="15" customHeight="1">
      <c r="A143" s="74">
        <v>120</v>
      </c>
      <c r="B143" s="447" t="s">
        <v>42</v>
      </c>
      <c r="C143" s="423" t="s">
        <v>43</v>
      </c>
      <c r="D143" s="480" t="s">
        <v>398</v>
      </c>
      <c r="E143" s="423" t="s">
        <v>399</v>
      </c>
      <c r="F143" s="423" t="s">
        <v>77</v>
      </c>
      <c r="G143" s="423" t="s">
        <v>47</v>
      </c>
      <c r="H143" s="423" t="s">
        <v>92</v>
      </c>
      <c r="I143" s="423" t="s">
        <v>49</v>
      </c>
      <c r="J143" s="423" t="s">
        <v>400</v>
      </c>
      <c r="K143" s="244">
        <f>=EDATE(L143,-3)</f>
        <v>46598</v>
      </c>
      <c r="L143" s="467">
        <v>46690</v>
      </c>
      <c r="M143" s="297">
        <f>=EDATE(L143,3)</f>
        <v>46782</v>
      </c>
      <c r="N143" s="250">
        <v>0.0105</v>
      </c>
      <c r="O143" s="453">
        <v>0.02461832</v>
      </c>
      <c r="P143" s="250" t="s">
        <v>37</v>
      </c>
      <c r="Q143" s="250" t="s">
        <v>37</v>
      </c>
      <c r="R143" s="250" t="s">
        <v>37</v>
      </c>
      <c r="S143" s="250" t="s">
        <v>37</v>
      </c>
      <c r="T143" s="250" t="s">
        <v>37</v>
      </c>
      <c r="U143" s="30" t="s">
        <v>284</v>
      </c>
      <c r="V143" s="248" t="s"/>
      <c r="W143" s="266" t="s"/>
      <c r="X143" s="33" t="s"/>
      <c r="Y143" s="34" t="s"/>
      <c r="Z143" s="35" t="s"/>
      <c r="AA143" s="49" t="s">
        <v>52</v>
      </c>
      <c r="AB143" s="49" t="s">
        <v>41</v>
      </c>
      <c r="AC143" s="49" t="s">
        <v>41</v>
      </c>
      <c r="AD143" s="49" t="s">
        <v>41</v>
      </c>
      <c r="AE143" s="37">
        <f>=IFERROR(T143-N143,)</f>
        <v>0</v>
      </c>
    </row>
    <row r="144" spans="1:31" ht="15" customHeight="1">
      <c r="A144" s="58">
        <v>145</v>
      </c>
      <c r="B144" s="61" t="s">
        <v>196</v>
      </c>
      <c r="C144" s="343" t="s">
        <v>197</v>
      </c>
      <c r="D144" s="344" t="s">
        <v>401</v>
      </c>
      <c r="E144" s="343" t="s">
        <v>89</v>
      </c>
      <c r="F144" s="343" t="s">
        <v>154</v>
      </c>
      <c r="G144" s="345" t="s">
        <v>58</v>
      </c>
      <c r="H144" s="345" t="s">
        <v>92</v>
      </c>
      <c r="I144" s="345" t="s"/>
      <c r="J144" s="345" t="s"/>
      <c r="K144" s="254">
        <f>=EDATE(L144,-3)</f>
        <v>46598</v>
      </c>
      <c r="L144" s="370">
        <v>46690</v>
      </c>
      <c r="M144" s="255">
        <f>=EDATE(L144,3)</f>
        <v>46782</v>
      </c>
      <c r="N144" s="358" t="s">
        <v>37</v>
      </c>
      <c r="O144" s="298" t="s">
        <v>37</v>
      </c>
      <c r="P144" s="358" t="s">
        <v>37</v>
      </c>
      <c r="Q144" s="358" t="s">
        <v>37</v>
      </c>
      <c r="R144" s="358" t="s">
        <v>37</v>
      </c>
      <c r="S144" s="358" t="s">
        <v>37</v>
      </c>
      <c r="T144" s="358" t="s">
        <v>37</v>
      </c>
      <c r="U144" s="30" t="s">
        <v>38</v>
      </c>
      <c r="V144" s="378" t="s"/>
      <c r="W144" s="32" t="s">
        <v>325</v>
      </c>
      <c r="X144" s="425" t="s"/>
      <c r="Y144" s="426" t="s"/>
      <c r="Z144" s="35" t="s"/>
      <c r="AA144" s="49" t="s">
        <v>41</v>
      </c>
      <c r="AB144" s="49" t="s">
        <v>41</v>
      </c>
      <c r="AC144" s="49" t="s">
        <v>41</v>
      </c>
      <c r="AD144" s="49" t="s">
        <v>41</v>
      </c>
      <c r="AE144" s="37">
        <f>=IFERROR(T144-N144,)</f>
        <v>0</v>
      </c>
    </row>
    <row r="145" spans="1:31" ht="15" customHeight="1">
      <c r="A145" s="74">
        <v>121</v>
      </c>
      <c r="B145" s="61" t="s">
        <v>42</v>
      </c>
      <c r="C145" s="350" t="s">
        <v>78</v>
      </c>
      <c r="D145" s="351" t="s">
        <v>402</v>
      </c>
      <c r="E145" s="350" t="s">
        <v>138</v>
      </c>
      <c r="F145" s="350" t="s">
        <v>403</v>
      </c>
      <c r="G145" s="350" t="s">
        <v>58</v>
      </c>
      <c r="H145" s="350" t="s">
        <v>92</v>
      </c>
      <c r="I145" s="350" t="s">
        <v>93</v>
      </c>
      <c r="J145" s="350" t="s">
        <v>258</v>
      </c>
      <c r="K145" s="244">
        <f>=EDATE(L145,-3)</f>
        <v>46600</v>
      </c>
      <c r="L145" s="467">
        <v>46692</v>
      </c>
      <c r="M145" s="24">
        <f>=EDATE(L145,3)</f>
        <v>46784</v>
      </c>
      <c r="N145" s="86" t="s">
        <v>37</v>
      </c>
      <c r="O145" s="298" t="s">
        <v>37</v>
      </c>
      <c r="P145" s="358" t="s">
        <v>37</v>
      </c>
      <c r="Q145" s="358" t="s">
        <v>37</v>
      </c>
      <c r="R145" s="358" t="s">
        <v>37</v>
      </c>
      <c r="S145" s="358" t="s">
        <v>37</v>
      </c>
      <c r="T145" s="358" t="s">
        <v>37</v>
      </c>
      <c r="U145" s="30" t="s">
        <v>38</v>
      </c>
      <c r="V145" s="248" t="s"/>
      <c r="W145" s="266" t="s">
        <v>359</v>
      </c>
      <c r="X145" s="33" t="s"/>
      <c r="Y145" s="34" t="s"/>
      <c r="Z145" s="35" t="s"/>
      <c r="AA145" s="49" t="s">
        <v>41</v>
      </c>
      <c r="AB145" s="49" t="s">
        <v>41</v>
      </c>
      <c r="AC145" s="49" t="s">
        <v>41</v>
      </c>
      <c r="AD145" s="49" t="s">
        <v>41</v>
      </c>
      <c r="AE145" s="37">
        <f>=IFERROR(T145-N145,)</f>
        <v>0</v>
      </c>
    </row>
    <row r="146" spans="1:31" ht="15" customHeight="1">
      <c r="A146" s="384">
        <v>148</v>
      </c>
      <c r="B146" s="472" t="s">
        <v>53</v>
      </c>
      <c r="C146" s="412" t="s">
        <v>78</v>
      </c>
      <c r="D146" s="413" t="s">
        <v>404</v>
      </c>
      <c r="E146" s="412" t="s">
        <v>138</v>
      </c>
      <c r="F146" s="412" t="s">
        <v>403</v>
      </c>
      <c r="G146" s="414" t="s">
        <v>58</v>
      </c>
      <c r="H146" s="414" t="s">
        <v>92</v>
      </c>
      <c r="I146" s="414" t="s">
        <v>93</v>
      </c>
      <c r="J146" s="414" t="s">
        <v>155</v>
      </c>
      <c r="K146" s="415">
        <f>=EDATE(L146,-3)</f>
        <v>46600</v>
      </c>
      <c r="L146" s="416">
        <v>46692</v>
      </c>
      <c r="M146" s="371">
        <f>=EDATE(L146,3)</f>
        <v>46784</v>
      </c>
      <c r="N146" s="473">
        <v>-0.02661291</v>
      </c>
      <c r="O146" s="418">
        <v>-0.01291693</v>
      </c>
      <c r="P146" s="473" t="s">
        <v>37</v>
      </c>
      <c r="Q146" s="473" t="s">
        <v>37</v>
      </c>
      <c r="R146" s="473" t="s">
        <v>37</v>
      </c>
      <c r="S146" s="473" t="s">
        <v>37</v>
      </c>
      <c r="T146" s="473" t="s">
        <v>37</v>
      </c>
      <c r="U146" s="30" t="s">
        <v>316</v>
      </c>
      <c r="V146" s="393" t="s"/>
      <c r="W146" s="394" t="s"/>
      <c r="X146" s="419" t="s"/>
      <c r="Y146" s="420" t="s"/>
      <c r="Z146" s="421" t="s"/>
      <c r="AA146" s="398" t="s">
        <v>52</v>
      </c>
      <c r="AB146" s="398" t="s">
        <v>41</v>
      </c>
      <c r="AC146" s="398" t="s">
        <v>41</v>
      </c>
      <c r="AD146" s="398" t="s">
        <v>41</v>
      </c>
      <c r="AE146" s="37">
        <f>=IFERROR(T146-N146,)</f>
        <v>0</v>
      </c>
    </row>
    <row r="147" spans="1:31" s="551" customFormat="1" ht="15" customHeight="1">
      <c r="A147" s="58">
        <v>122</v>
      </c>
      <c r="B147" s="447" t="s">
        <v>28</v>
      </c>
      <c r="C147" s="486" t="s">
        <v>405</v>
      </c>
      <c r="D147" s="480" t="s">
        <v>406</v>
      </c>
      <c r="E147" s="486" t="s">
        <v>31</v>
      </c>
      <c r="F147" s="486" t="s">
        <v>407</v>
      </c>
      <c r="G147" s="486" t="s">
        <v>47</v>
      </c>
      <c r="H147" s="486" t="s">
        <v>34</v>
      </c>
      <c r="I147" s="486" t="s">
        <v>35</v>
      </c>
      <c r="J147" s="486" t="s">
        <v>124</v>
      </c>
      <c r="K147" s="244">
        <f>=EDATE(L147,-3)</f>
        <v>46650</v>
      </c>
      <c r="L147" s="487">
        <v>46741</v>
      </c>
      <c r="M147" s="24">
        <f>=EDATE(L147,3)</f>
        <v>46832</v>
      </c>
      <c r="N147" s="250" t="s">
        <v>37</v>
      </c>
      <c r="O147" s="453">
        <v>0.009</v>
      </c>
      <c r="P147" s="250" t="s">
        <v>37</v>
      </c>
      <c r="Q147" s="250" t="s">
        <v>37</v>
      </c>
      <c r="R147" s="250" t="s">
        <v>37</v>
      </c>
      <c r="S147" s="250" t="s">
        <v>37</v>
      </c>
      <c r="T147" s="250" t="s">
        <v>37</v>
      </c>
      <c r="U147" s="30" t="s">
        <v>38</v>
      </c>
      <c r="V147" s="248" t="s"/>
      <c r="W147" s="266" t="s">
        <v>408</v>
      </c>
      <c r="X147" s="33" t="s"/>
      <c r="Y147" s="34" t="s"/>
      <c r="Z147" s="35" t="s"/>
      <c r="AA147" s="36" t="s">
        <v>40</v>
      </c>
      <c r="AB147" s="36" t="s">
        <v>41</v>
      </c>
      <c r="AC147" s="36" t="s">
        <v>41</v>
      </c>
      <c r="AD147" s="36" t="s">
        <v>41</v>
      </c>
      <c r="AE147" s="37">
        <f>=IFERROR(T147-N147,)</f>
        <v>0</v>
      </c>
    </row>
    <row r="148" spans="1:31" ht="15" customHeight="1">
      <c r="A148" s="58">
        <v>123</v>
      </c>
      <c r="B148" s="61" t="s">
        <v>42</v>
      </c>
      <c r="C148" s="343" t="s">
        <v>293</v>
      </c>
      <c r="D148" s="344" t="s">
        <v>409</v>
      </c>
      <c r="E148" s="343" t="s">
        <v>138</v>
      </c>
      <c r="F148" s="343" t="s">
        <v>46</v>
      </c>
      <c r="G148" s="343" t="s">
        <v>47</v>
      </c>
      <c r="H148" s="343" t="s">
        <v>92</v>
      </c>
      <c r="I148" s="343" t="s">
        <v>49</v>
      </c>
      <c r="J148" s="343" t="s">
        <v>319</v>
      </c>
      <c r="K148" s="244">
        <f>=EDATE(L148,-3)</f>
        <v>46661</v>
      </c>
      <c r="L148" s="346">
        <v>46753</v>
      </c>
      <c r="M148" s="24">
        <f>=EDATE(L148,3)</f>
        <v>46844</v>
      </c>
      <c r="N148" s="358" t="s">
        <v>37</v>
      </c>
      <c r="O148" s="298" t="s">
        <v>37</v>
      </c>
      <c r="P148" s="358" t="s">
        <v>37</v>
      </c>
      <c r="Q148" s="358" t="s">
        <v>37</v>
      </c>
      <c r="R148" s="358" t="s">
        <v>37</v>
      </c>
      <c r="S148" s="358" t="s">
        <v>37</v>
      </c>
      <c r="T148" s="358" t="s">
        <v>37</v>
      </c>
      <c r="U148" s="30" t="s">
        <v>396</v>
      </c>
      <c r="V148" s="248" t="s"/>
      <c r="W148" s="266" t="s">
        <v>410</v>
      </c>
      <c r="X148" s="33" t="s"/>
      <c r="Y148" s="34" t="s"/>
      <c r="Z148" s="35" t="s"/>
      <c r="AA148" s="49" t="s">
        <v>41</v>
      </c>
      <c r="AB148" s="49" t="s">
        <v>41</v>
      </c>
      <c r="AC148" s="49" t="s">
        <v>41</v>
      </c>
      <c r="AD148" s="49" t="s">
        <v>41</v>
      </c>
      <c r="AE148" s="37">
        <f>=IFERROR(T148-N148,)</f>
        <v>0</v>
      </c>
    </row>
    <row r="149" spans="1:31" s="551" customFormat="1" ht="15" customHeight="1">
      <c r="A149" s="74">
        <v>124</v>
      </c>
      <c r="B149" s="447" t="s">
        <v>42</v>
      </c>
      <c r="C149" s="365" t="s">
        <v>78</v>
      </c>
      <c r="D149" s="366" t="s">
        <v>411</v>
      </c>
      <c r="E149" s="365" t="s">
        <v>138</v>
      </c>
      <c r="F149" s="365" t="s">
        <v>167</v>
      </c>
      <c r="G149" s="367" t="s">
        <v>58</v>
      </c>
      <c r="H149" s="367" t="s">
        <v>92</v>
      </c>
      <c r="I149" s="367" t="s">
        <v>93</v>
      </c>
      <c r="J149" s="367" t="s">
        <v>258</v>
      </c>
      <c r="K149" s="244">
        <f>=EDATE(L149,-3)</f>
        <v>46712</v>
      </c>
      <c r="L149" s="346">
        <v>46804</v>
      </c>
      <c r="M149" s="24">
        <f>=EDATE(L149,3)</f>
        <v>46894</v>
      </c>
      <c r="N149" s="250" t="s">
        <v>37</v>
      </c>
      <c r="O149" s="453" t="s">
        <v>37</v>
      </c>
      <c r="P149" s="250" t="s">
        <v>37</v>
      </c>
      <c r="Q149" s="250" t="s">
        <v>37</v>
      </c>
      <c r="R149" s="250" t="s">
        <v>37</v>
      </c>
      <c r="S149" s="250" t="s">
        <v>37</v>
      </c>
      <c r="T149" s="250" t="s">
        <v>37</v>
      </c>
      <c r="U149" s="30" t="s">
        <v>38</v>
      </c>
      <c r="V149" s="248" t="s"/>
      <c r="W149" s="266" t="s">
        <v>359</v>
      </c>
      <c r="X149" s="33" t="s"/>
      <c r="Y149" s="34" t="s"/>
      <c r="Z149" s="35" t="s"/>
      <c r="AA149" s="49" t="s">
        <v>41</v>
      </c>
      <c r="AB149" s="49" t="s">
        <v>41</v>
      </c>
      <c r="AC149" s="49" t="s">
        <v>41</v>
      </c>
      <c r="AD149" s="49" t="s">
        <v>41</v>
      </c>
      <c r="AE149" s="37">
        <f>=IFERROR(T149-N149,)</f>
        <v>0</v>
      </c>
    </row>
    <row r="150" spans="1:31" s="551" customFormat="1" ht="15" customHeight="1">
      <c r="A150" s="74">
        <v>125</v>
      </c>
      <c r="B150" s="447" t="s">
        <v>42</v>
      </c>
      <c r="C150" s="365" t="s">
        <v>293</v>
      </c>
      <c r="D150" s="366" t="s">
        <v>412</v>
      </c>
      <c r="E150" s="365" t="s">
        <v>45</v>
      </c>
      <c r="F150" s="365" t="s">
        <v>46</v>
      </c>
      <c r="G150" s="367" t="s">
        <v>47</v>
      </c>
      <c r="H150" s="367" t="s">
        <v>48</v>
      </c>
      <c r="I150" s="367" t="s">
        <v>49</v>
      </c>
      <c r="J150" s="367" t="s">
        <v>319</v>
      </c>
      <c r="K150" s="244">
        <f>=EDATE(L150,-3)</f>
        <v>46785</v>
      </c>
      <c r="L150" s="346">
        <v>46875</v>
      </c>
      <c r="M150" s="297">
        <f>=EDATE(L150,3)</f>
        <v>46967</v>
      </c>
      <c r="N150" s="250" t="s">
        <v>37</v>
      </c>
      <c r="O150" s="247">
        <v>0.0204</v>
      </c>
      <c r="P150" s="250" t="s">
        <v>37</v>
      </c>
      <c r="Q150" s="250" t="s">
        <v>37</v>
      </c>
      <c r="R150" s="250" t="s">
        <v>37</v>
      </c>
      <c r="S150" s="250" t="s">
        <v>37</v>
      </c>
      <c r="T150" s="250" t="s">
        <v>37</v>
      </c>
      <c r="U150" s="30" t="s">
        <v>284</v>
      </c>
      <c r="V150" s="248" t="s"/>
      <c r="W150" s="266" t="s"/>
      <c r="X150" s="33" t="s"/>
      <c r="Y150" s="34" t="s"/>
      <c r="Z150" s="35" t="s"/>
      <c r="AA150" s="49" t="s">
        <v>52</v>
      </c>
      <c r="AB150" s="49" t="s">
        <v>41</v>
      </c>
      <c r="AC150" s="49" t="s">
        <v>41</v>
      </c>
      <c r="AD150" s="49" t="s">
        <v>41</v>
      </c>
      <c r="AE150" s="37">
        <f>=IFERROR(T150-N150,)</f>
        <v>0</v>
      </c>
    </row>
    <row r="151" spans="1:31" ht="15" customHeight="1">
      <c r="A151" s="74">
        <v>126</v>
      </c>
      <c r="B151" s="447" t="s">
        <v>42</v>
      </c>
      <c r="C151" s="365" t="s">
        <v>293</v>
      </c>
      <c r="D151" s="366" t="s">
        <v>413</v>
      </c>
      <c r="E151" s="365" t="s">
        <v>414</v>
      </c>
      <c r="F151" s="365" t="s">
        <v>46</v>
      </c>
      <c r="G151" s="367" t="s">
        <v>47</v>
      </c>
      <c r="H151" s="367" t="s">
        <v>48</v>
      </c>
      <c r="I151" s="367" t="s">
        <v>49</v>
      </c>
      <c r="J151" s="367" t="s">
        <v>319</v>
      </c>
      <c r="K151" s="244">
        <f>=EDATE(L151,-3)</f>
        <v>46812</v>
      </c>
      <c r="L151" s="346">
        <v>46903</v>
      </c>
      <c r="M151" s="297">
        <f>=EDATE(L151,3)</f>
        <v>46995</v>
      </c>
      <c r="N151" s="250" t="s">
        <v>37</v>
      </c>
      <c r="O151" s="453">
        <v>0.045</v>
      </c>
      <c r="P151" s="250" t="s">
        <v>37</v>
      </c>
      <c r="Q151" s="250" t="s">
        <v>37</v>
      </c>
      <c r="R151" s="250" t="s">
        <v>37</v>
      </c>
      <c r="S151" s="250" t="s">
        <v>37</v>
      </c>
      <c r="T151" s="250" t="s">
        <v>37</v>
      </c>
      <c r="U151" s="30" t="s">
        <v>284</v>
      </c>
      <c r="V151" s="248" t="s"/>
      <c r="W151" s="266" t="s">
        <v>415</v>
      </c>
      <c r="X151" s="488" t="s"/>
      <c r="Y151" s="112" t="s"/>
      <c r="Z151" s="35" t="s"/>
      <c r="AA151" s="49" t="s">
        <v>52</v>
      </c>
      <c r="AB151" s="49" t="s">
        <v>41</v>
      </c>
      <c r="AC151" s="49" t="s">
        <v>41</v>
      </c>
      <c r="AD151" s="49" t="s">
        <v>41</v>
      </c>
      <c r="AE151" s="37">
        <f>=IFERROR(T151-N151,)</f>
        <v>0</v>
      </c>
    </row>
    <row r="152" spans="1:31" s="551" customFormat="1" ht="15" customHeight="1">
      <c r="A152" s="74">
        <v>135</v>
      </c>
      <c r="B152" s="61" t="s">
        <v>196</v>
      </c>
      <c r="C152" s="343" t="s">
        <v>197</v>
      </c>
      <c r="D152" s="344" t="s">
        <v>416</v>
      </c>
      <c r="E152" s="343" t="s">
        <v>153</v>
      </c>
      <c r="F152" s="343" t="s">
        <v>154</v>
      </c>
      <c r="G152" s="345" t="s">
        <v>58</v>
      </c>
      <c r="H152" s="345" t="s">
        <v>92</v>
      </c>
      <c r="I152" s="345" t="s">
        <v>93</v>
      </c>
      <c r="J152" s="345" t="s"/>
      <c r="K152" s="375" t="e">
        <f>=EDATE(L152,-3)</f>
        <v>#VALUE!</v>
      </c>
      <c r="L152" s="370" t="s">
        <v>124</v>
      </c>
      <c r="M152" s="255" t="e">
        <f>=EDATE(L152,3)</f>
        <v>#VALUE!</v>
      </c>
      <c r="N152" s="358" t="s">
        <v>37</v>
      </c>
      <c r="O152" s="298" t="s">
        <v>37</v>
      </c>
      <c r="P152" s="358" t="s">
        <v>37</v>
      </c>
      <c r="Q152" s="358" t="s">
        <v>37</v>
      </c>
      <c r="R152" s="358" t="s">
        <v>37</v>
      </c>
      <c r="S152" s="358" t="s">
        <v>37</v>
      </c>
      <c r="T152" s="358" t="s">
        <v>37</v>
      </c>
      <c r="U152" s="30" t="s">
        <v>38</v>
      </c>
      <c r="V152" s="378" t="s"/>
      <c r="W152" s="32" t="s">
        <v>325</v>
      </c>
      <c r="X152" s="425" t="s"/>
      <c r="Y152" s="426" t="s"/>
      <c r="Z152" s="35" t="s"/>
      <c r="AA152" s="49" t="s">
        <v>41</v>
      </c>
      <c r="AB152" s="49" t="s">
        <v>41</v>
      </c>
      <c r="AC152" s="49" t="s">
        <v>41</v>
      </c>
      <c r="AD152" s="49" t="s">
        <v>41</v>
      </c>
      <c r="AE152" s="37">
        <f>=IFERROR(T152-N152,)</f>
        <v>0</v>
      </c>
    </row>
    <row r="153" spans="1:31">
      <c r="A153" s="58">
        <v>136</v>
      </c>
      <c r="B153" s="61" t="s">
        <v>28</v>
      </c>
      <c r="C153" s="350" t="s">
        <v>98</v>
      </c>
      <c r="D153" s="351" t="s">
        <v>417</v>
      </c>
      <c r="E153" s="350" t="s">
        <v>31</v>
      </c>
      <c r="F153" s="343" t="s">
        <v>77</v>
      </c>
      <c r="G153" s="345" t="s">
        <v>47</v>
      </c>
      <c r="H153" s="350" t="s">
        <v>34</v>
      </c>
      <c r="I153" s="350" t="s"/>
      <c r="J153" s="350" t="s">
        <v>221</v>
      </c>
      <c r="K153" s="489" t="e">
        <f>=EDATE(L153,-3)</f>
        <v>#VALUE!</v>
      </c>
      <c r="L153" s="470" t="s">
        <v>124</v>
      </c>
      <c r="M153" s="490" t="e">
        <f>=EDATE(L153,3)</f>
        <v>#VALUE!</v>
      </c>
      <c r="N153" s="258" t="s">
        <v>37</v>
      </c>
      <c r="O153" s="288" t="s">
        <v>37</v>
      </c>
      <c r="P153" s="258" t="s">
        <v>37</v>
      </c>
      <c r="Q153" s="258" t="s">
        <v>37</v>
      </c>
      <c r="R153" s="258" t="s">
        <v>37</v>
      </c>
      <c r="S153" s="258" t="s">
        <v>37</v>
      </c>
      <c r="T153" s="258" t="s">
        <v>37</v>
      </c>
      <c r="U153" s="30" t="s">
        <v>396</v>
      </c>
      <c r="V153" s="378" t="s"/>
      <c r="W153" s="379" t="s">
        <v>418</v>
      </c>
      <c r="X153" s="425" t="s"/>
      <c r="Y153" s="426" t="s"/>
      <c r="Z153" s="35" t="s"/>
      <c r="AA153" s="36" t="s">
        <v>41</v>
      </c>
      <c r="AB153" s="36" t="s">
        <v>41</v>
      </c>
      <c r="AC153" s="36" t="s">
        <v>41</v>
      </c>
      <c r="AD153" s="36" t="s">
        <v>41</v>
      </c>
      <c r="AE153" s="37">
        <f>=IFERROR(T153-N153,)</f>
        <v>0</v>
      </c>
    </row>
    <row r="154" spans="1:31">
      <c r="A154" s="491" t="s"/>
      <c r="W154" s="379" t="s"/>
      <c r="X154" s="492" t="s"/>
      <c r="Y154" s="493" t="s"/>
      <c r="Z154" s="494" t="s"/>
      <c r="AA154" s="495" t="s"/>
      <c r="AB154" s="495" t="s"/>
      <c r="AC154" s="495" t="s"/>
      <c r="AD154" s="495" t="s"/>
      <c r="AE154" s="496" t="s"/>
    </row>
    <row r="155" spans="1:31">
      <c r="A155" s="491" t="s"/>
      <c r="W155" s="379" t="s"/>
      <c r="X155" s="492" t="s"/>
      <c r="Y155" s="493" t="s"/>
      <c r="Z155" s="494" t="s"/>
      <c r="AA155" s="495" t="s"/>
      <c r="AB155" s="495" t="s"/>
      <c r="AC155" s="495" t="s"/>
      <c r="AD155" s="495" t="s"/>
      <c r="AE155" s="496" t="s"/>
    </row>
    <row r="156" spans="1:31">
      <c r="A156" s="491" t="s"/>
      <c r="W156" s="379" t="s"/>
      <c r="X156" s="492" t="s"/>
      <c r="Y156" s="493" t="s"/>
      <c r="Z156" s="494" t="s"/>
      <c r="AA156" s="495" t="s"/>
      <c r="AB156" s="495" t="s"/>
      <c r="AC156" s="495" t="s"/>
      <c r="AD156" s="495" t="s"/>
      <c r="AE156" s="496" t="s"/>
    </row>
    <row r="157" spans="1:31">
      <c r="A157" s="491" t="s"/>
      <c r="W157" s="379" t="s"/>
      <c r="X157" s="492" t="s"/>
      <c r="Y157" s="493" t="s"/>
      <c r="Z157" s="494" t="s"/>
      <c r="AA157" s="495" t="s"/>
      <c r="AB157" s="495" t="s"/>
      <c r="AC157" s="495" t="s"/>
      <c r="AD157" s="495" t="s"/>
      <c r="AE157" s="496" t="s"/>
    </row>
    <row r="158" spans="1:31">
      <c r="A158" s="491" t="s"/>
      <c r="W158" s="379" t="s"/>
      <c r="X158" s="492" t="s"/>
      <c r="Y158" s="493" t="s"/>
      <c r="Z158" s="494" t="s"/>
      <c r="AA158" s="495" t="s"/>
      <c r="AB158" s="495" t="s"/>
      <c r="AC158" s="495" t="s"/>
      <c r="AD158" s="495" t="s"/>
      <c r="AE158" s="496" t="s"/>
    </row>
    <row r="159" spans="1:31">
      <c r="A159" s="491" t="s"/>
      <c r="W159" s="379" t="s"/>
      <c r="X159" s="492" t="s"/>
      <c r="Y159" s="493" t="s"/>
      <c r="Z159" s="494" t="s"/>
      <c r="AA159" s="495" t="s"/>
      <c r="AB159" s="495" t="s"/>
      <c r="AC159" s="495" t="s"/>
      <c r="AD159" s="495" t="s"/>
      <c r="AE159" s="496" t="s"/>
    </row>
    <row r="160" spans="1:31">
      <c r="A160" s="491" t="s"/>
      <c r="W160" s="379" t="s"/>
      <c r="X160" s="492" t="s"/>
      <c r="Y160" s="493" t="s"/>
      <c r="Z160" s="494" t="s"/>
      <c r="AA160" s="495" t="s"/>
      <c r="AB160" s="495" t="s"/>
      <c r="AC160" s="495" t="s"/>
      <c r="AD160" s="495" t="s"/>
      <c r="AE160" s="496" t="s"/>
    </row>
    <row r="161" spans="1:31">
      <c r="A161" s="491" t="s"/>
      <c r="W161" s="379" t="s"/>
      <c r="X161" s="492" t="s"/>
      <c r="Y161" s="493" t="s"/>
      <c r="Z161" s="494" t="s"/>
      <c r="AA161" s="495" t="s"/>
      <c r="AB161" s="495" t="s"/>
      <c r="AC161" s="495" t="s"/>
      <c r="AD161" s="495" t="s"/>
      <c r="AE161" s="496" t="s"/>
    </row>
    <row r="162" spans="1:31">
      <c r="A162" s="491" t="s"/>
      <c r="W162" s="379" t="s"/>
      <c r="X162" s="492" t="s"/>
      <c r="Y162" s="493" t="s"/>
      <c r="Z162" s="494" t="s"/>
      <c r="AA162" s="495" t="s"/>
      <c r="AB162" s="495" t="s"/>
      <c r="AC162" s="495" t="s"/>
      <c r="AD162" s="495" t="s"/>
      <c r="AE162" s="496" t="s"/>
    </row>
    <row r="163" spans="1:31">
      <c r="A163" s="491" t="s"/>
      <c r="W163" s="379" t="s"/>
      <c r="X163" s="492" t="s"/>
      <c r="Y163" s="493" t="s"/>
      <c r="Z163" s="494" t="s"/>
      <c r="AA163" s="495" t="s"/>
      <c r="AB163" s="495" t="s"/>
      <c r="AC163" s="495" t="s"/>
      <c r="AD163" s="495" t="s"/>
      <c r="AE163" s="496" t="s"/>
    </row>
    <row r="164" spans="1:31">
      <c r="A164" s="491" t="s"/>
      <c r="W164" s="379" t="s"/>
      <c r="X164" s="492" t="s"/>
      <c r="Y164" s="493" t="s"/>
      <c r="Z164" s="494" t="s"/>
      <c r="AA164" s="495" t="s"/>
      <c r="AB164" s="495" t="s"/>
      <c r="AC164" s="495" t="s"/>
      <c r="AD164" s="495" t="s"/>
      <c r="AE164" s="496" t="s"/>
    </row>
    <row r="165" spans="1:31">
      <c r="A165" s="491" t="s"/>
      <c r="W165" s="379" t="s"/>
      <c r="X165" s="492" t="s"/>
      <c r="Y165" s="493" t="s"/>
      <c r="Z165" s="494" t="s"/>
      <c r="AA165" s="495" t="s"/>
      <c r="AB165" s="495" t="s"/>
      <c r="AC165" s="495" t="s"/>
      <c r="AD165" s="495" t="s"/>
      <c r="AE165" s="496" t="s"/>
    </row>
    <row r="166" spans="1:31">
      <c r="A166" s="491" t="s"/>
      <c r="W166" s="379" t="s"/>
      <c r="X166" s="492" t="s"/>
      <c r="Y166" s="493" t="s"/>
      <c r="Z166" s="494" t="s"/>
      <c r="AA166" s="495" t="s"/>
      <c r="AB166" s="495" t="s"/>
      <c r="AC166" s="495" t="s"/>
      <c r="AD166" s="495" t="s"/>
      <c r="AE166" s="496" t="s"/>
    </row>
    <row r="167" spans="1:31">
      <c r="A167" s="491" t="s"/>
      <c r="W167" s="379" t="s"/>
      <c r="X167" s="492" t="s"/>
      <c r="Y167" s="493" t="s"/>
      <c r="Z167" s="494" t="s"/>
      <c r="AA167" s="495" t="s"/>
      <c r="AB167" s="495" t="s"/>
      <c r="AC167" s="495" t="s"/>
      <c r="AD167" s="495" t="s"/>
      <c r="AE167" s="496" t="s"/>
    </row>
    <row r="168" spans="1:31">
      <c r="A168" s="491" t="s"/>
      <c r="W168" s="379" t="s"/>
      <c r="X168" s="492" t="s"/>
      <c r="Y168" s="493" t="s"/>
      <c r="Z168" s="494" t="s"/>
      <c r="AA168" s="495" t="s"/>
      <c r="AB168" s="495" t="s"/>
      <c r="AC168" s="495" t="s"/>
      <c r="AD168" s="495" t="s"/>
      <c r="AE168" s="496" t="s"/>
    </row>
    <row r="169" spans="1:31">
      <c r="A169" s="491" t="s"/>
      <c r="W169" s="379" t="s"/>
      <c r="X169" s="492" t="s"/>
      <c r="Y169" s="493" t="s"/>
      <c r="Z169" s="494" t="s"/>
      <c r="AA169" s="495" t="s"/>
      <c r="AB169" s="495" t="s"/>
      <c r="AC169" s="495" t="s"/>
      <c r="AD169" s="495" t="s"/>
      <c r="AE169" s="496" t="s"/>
    </row>
    <row r="170" spans="1:31">
      <c r="A170" s="491" t="s"/>
      <c r="W170" s="379" t="s"/>
      <c r="X170" s="492" t="s"/>
      <c r="Y170" s="493" t="s"/>
      <c r="Z170" s="494" t="s"/>
      <c r="AA170" s="495" t="s"/>
      <c r="AB170" s="495" t="s"/>
      <c r="AC170" s="495" t="s"/>
      <c r="AD170" s="495" t="s"/>
      <c r="AE170" s="496" t="s"/>
    </row>
    <row r="171" spans="1:31">
      <c r="A171" s="491" t="s"/>
      <c r="W171" s="379" t="s"/>
      <c r="X171" s="492" t="s"/>
      <c r="Y171" s="493" t="s"/>
      <c r="Z171" s="494" t="s"/>
      <c r="AA171" s="495" t="s"/>
      <c r="AB171" s="495" t="s"/>
      <c r="AC171" s="495" t="s"/>
      <c r="AD171" s="495" t="s"/>
      <c r="AE171" s="496" t="s"/>
    </row>
    <row r="172" spans="1:31">
      <c r="A172" s="491" t="s"/>
      <c r="W172" s="379" t="s"/>
      <c r="X172" s="492" t="s"/>
      <c r="Y172" s="493" t="s"/>
      <c r="Z172" s="494" t="s"/>
      <c r="AA172" s="495" t="s"/>
      <c r="AB172" s="495" t="s"/>
      <c r="AC172" s="495" t="s"/>
      <c r="AD172" s="495" t="s"/>
      <c r="AE172" s="496" t="s"/>
    </row>
    <row r="173" spans="1:31">
      <c r="A173" s="491" t="s"/>
      <c r="W173" s="379" t="s"/>
      <c r="X173" s="492" t="s"/>
      <c r="Y173" s="493" t="s"/>
      <c r="Z173" s="494" t="s"/>
      <c r="AA173" s="495" t="s"/>
      <c r="AB173" s="495" t="s"/>
      <c r="AC173" s="495" t="s"/>
      <c r="AD173" s="495" t="s"/>
      <c r="AE173" s="496" t="s"/>
    </row>
    <row r="174" spans="1:31">
      <c r="A174" s="491" t="s"/>
      <c r="W174" s="379" t="s"/>
      <c r="X174" s="492" t="s"/>
      <c r="Y174" s="493" t="s"/>
      <c r="Z174" s="494" t="s"/>
      <c r="AA174" s="495" t="s"/>
      <c r="AB174" s="495" t="s"/>
      <c r="AC174" s="495" t="s"/>
      <c r="AD174" s="495" t="s"/>
      <c r="AE174" s="496" t="s"/>
    </row>
    <row r="175" spans="1:31">
      <c r="A175" s="491" t="s"/>
      <c r="W175" s="379" t="s"/>
      <c r="X175" s="492" t="s"/>
      <c r="Y175" s="493" t="s"/>
      <c r="Z175" s="494" t="s"/>
      <c r="AA175" s="495" t="s"/>
      <c r="AB175" s="495" t="s"/>
      <c r="AC175" s="495" t="s"/>
      <c r="AD175" s="495" t="s"/>
      <c r="AE175" s="496" t="s"/>
    </row>
    <row r="176" spans="1:31">
      <c r="A176" s="491" t="s"/>
      <c r="W176" s="379" t="s"/>
      <c r="X176" s="492" t="s"/>
      <c r="Y176" s="493" t="s"/>
      <c r="Z176" s="494" t="s"/>
      <c r="AA176" s="495" t="s"/>
      <c r="AB176" s="495" t="s"/>
      <c r="AC176" s="495" t="s"/>
      <c r="AD176" s="495" t="s"/>
      <c r="AE176" s="496" t="s"/>
    </row>
    <row r="177" spans="1:31">
      <c r="A177" s="491" t="s"/>
      <c r="W177" s="379" t="s"/>
      <c r="X177" s="492" t="s"/>
      <c r="Y177" s="493" t="s"/>
      <c r="Z177" s="494" t="s"/>
      <c r="AA177" s="495" t="s"/>
      <c r="AB177" s="495" t="s"/>
      <c r="AC177" s="495" t="s"/>
      <c r="AD177" s="495" t="s"/>
      <c r="AE177" s="496" t="s"/>
    </row>
  </sheetData>
  <conditionalFormatting sqref="D1:D75 E1 I1:J1 D117 D119:D127 D129:D148 D153:D177">
    <cfRule type="duplicateValues" dxfId="0" priority="1"/>
  </conditionalFormatting>
  <dataValidations>
    <dataValidation type="whole" errorStyle="stop" allowBlank="1" showDropDown="0" showInputMessage="1" showErrorMessage="1" prompt="" sqref="A2:A1048576"/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baseColWidth="13" defaultRowHeight="18" customHeight="1"/>
  <sheetData/>
</worksheet>
</file>

<file path=xl/worksheets/sheet3.xml><?xml version="1.0" encoding="utf-8"?>
<worksheet xmlns="http://schemas.openxmlformats.org/spreadsheetml/2006/main">
  <sheetPr/>
  <dimension ref="D52"/>
  <sheetViews>
    <sheetView showGridLines="1" workbookViewId="0"/>
  </sheetViews>
  <cols>
    <col min="1" max="1" width="23.0625" customWidth="1"/>
    <col min="2" max="2" width="27.1016" customWidth="1"/>
    <col min="3" max="4" width="27.7227" customWidth="1"/>
    <col min="5" max="5" width="29.8008" customWidth="1"/>
  </cols>
  <sheetData>
    <row r="2" spans="2:5">
      <c r="B2" s="500" t="s">
        <v>17</v>
      </c>
      <c r="C2" s="501" t="s">
        <v>19</v>
      </c>
      <c r="D2" s="502" t="s"/>
      <c r="E2" s="503" t="s">
        <v>591</v>
      </c>
    </row>
    <row r="3" spans="2:5">
      <c r="B3" s="504" t="s">
        <v>372</v>
      </c>
      <c r="C3" t="s">
        <v>179</v>
      </c>
      <c r="D3" s="505" t="s">
        <v>298</v>
      </c>
      <c r="E3" s="506" t="s">
        <v>137</v>
      </c>
    </row>
    <row r="4" spans="2:5">
      <c r="B4" s="504" t="s">
        <v>365</v>
      </c>
      <c r="C4" t="s">
        <v>264</v>
      </c>
      <c r="D4" s="505" t="s">
        <v>273</v>
      </c>
      <c r="E4" s="506" t="s">
        <v>157</v>
      </c>
    </row>
    <row r="5" spans="2:5">
      <c r="B5" s="504" t="s">
        <v>361</v>
      </c>
      <c r="C5" t="s">
        <v>189</v>
      </c>
      <c r="D5" s="505" t="s">
        <v>268</v>
      </c>
      <c r="E5" s="506" t="s">
        <v>132</v>
      </c>
    </row>
    <row r="6" spans="2:5">
      <c r="B6" s="504" t="s">
        <v>305</v>
      </c>
      <c r="C6" t="s">
        <v>243</v>
      </c>
      <c r="D6" s="505" t="s">
        <v>270</v>
      </c>
      <c r="E6" s="506" t="s">
        <v>55</v>
      </c>
    </row>
    <row r="7" spans="2:5">
      <c r="B7" s="504" t="s">
        <v>210</v>
      </c>
      <c r="C7" t="s">
        <v>213</v>
      </c>
      <c r="D7" s="505" t="s">
        <v>251</v>
      </c>
      <c r="E7" s="506" t="s">
        <v>134</v>
      </c>
    </row>
    <row r="8" spans="2:5">
      <c r="B8" s="504" t="s">
        <v>327</v>
      </c>
      <c r="C8" t="s">
        <v>289</v>
      </c>
      <c r="D8" s="505" t="s">
        <v>244</v>
      </c>
      <c r="E8" s="506" t="s">
        <v>592</v>
      </c>
    </row>
    <row r="9" spans="2:5">
      <c r="B9" s="504" t="s">
        <v>412</v>
      </c>
      <c r="C9" t="s">
        <v>207</v>
      </c>
      <c r="D9" s="505" t="s">
        <v>593</v>
      </c>
      <c r="E9" s="506" t="s">
        <v>594</v>
      </c>
    </row>
    <row r="10" spans="2:5">
      <c r="B10" s="504" t="s">
        <v>318</v>
      </c>
      <c r="C10" t="s">
        <v>288</v>
      </c>
      <c r="D10" s="505" t="s">
        <v>294</v>
      </c>
      <c r="E10" s="506" t="s">
        <v>166</v>
      </c>
    </row>
    <row r="11" spans="2:5">
      <c r="B11" s="504" t="s">
        <v>238</v>
      </c>
      <c r="C11" t="s">
        <v>271</v>
      </c>
      <c r="D11" s="505" t="s">
        <v>208</v>
      </c>
      <c r="E11" s="506" t="s">
        <v>117</v>
      </c>
    </row>
    <row r="12" spans="2:5">
      <c r="B12" s="504" t="s">
        <v>286</v>
      </c>
      <c r="C12" t="s">
        <v>266</v>
      </c>
      <c r="D12" s="505" t="s">
        <v>173</v>
      </c>
      <c r="E12" s="506" t="s">
        <v>88</v>
      </c>
    </row>
    <row r="13" spans="2:5">
      <c r="B13" s="504" t="s">
        <v>323</v>
      </c>
      <c r="C13" t="s">
        <v>248</v>
      </c>
      <c r="D13" s="505" t="s">
        <v>185</v>
      </c>
      <c r="E13" s="506" t="s">
        <v>96</v>
      </c>
    </row>
    <row r="14" spans="2:5">
      <c r="B14" s="504" t="s">
        <v>393</v>
      </c>
      <c r="C14" t="s">
        <v>198</v>
      </c>
      <c r="D14" s="505" t="s">
        <v>188</v>
      </c>
      <c r="E14" s="506" t="s"/>
    </row>
    <row r="15" spans="2:5">
      <c r="B15" s="504" t="s">
        <v>328</v>
      </c>
      <c r="C15" t="s">
        <v>290</v>
      </c>
      <c r="D15" s="505" t="s">
        <v>311</v>
      </c>
      <c r="E15" s="506" t="s"/>
    </row>
    <row r="16" spans="2:5">
      <c r="B16" s="504" t="s">
        <v>346</v>
      </c>
      <c r="C16" t="s">
        <v>193</v>
      </c>
      <c r="D16" s="505" t="s">
        <v>191</v>
      </c>
      <c r="E16" s="506" t="s"/>
    </row>
    <row r="17" spans="2:5">
      <c r="B17" s="504" t="s">
        <v>344</v>
      </c>
      <c r="C17" t="s">
        <v>215</v>
      </c>
      <c r="D17" s="505" t="s">
        <v>260</v>
      </c>
      <c r="E17" s="506" t="s"/>
    </row>
    <row r="18" spans="2:5">
      <c r="B18" s="504" t="s">
        <v>413</v>
      </c>
      <c r="C18" t="s">
        <v>183</v>
      </c>
      <c r="D18" s="505" t="s">
        <v>255</v>
      </c>
      <c r="E18" s="506" t="s"/>
    </row>
    <row r="19" spans="2:5">
      <c r="B19" s="504" t="s">
        <v>321</v>
      </c>
      <c r="C19" t="s">
        <v>220</v>
      </c>
      <c r="D19" s="505" t="s">
        <v>307</v>
      </c>
      <c r="E19" s="506" t="s"/>
    </row>
    <row r="20" spans="2:5">
      <c r="B20" s="504" t="s">
        <v>364</v>
      </c>
      <c r="C20" t="s">
        <v>206</v>
      </c>
      <c r="D20" s="505" t="s">
        <v>300</v>
      </c>
      <c r="E20" s="506" t="s"/>
    </row>
    <row r="21" spans="2:5">
      <c r="B21" s="504" t="s">
        <v>398</v>
      </c>
      <c r="C21" t="s">
        <v>279</v>
      </c>
      <c r="D21" s="505" t="s">
        <v>302</v>
      </c>
      <c r="E21" s="506" t="s"/>
    </row>
    <row r="22" spans="2:5">
      <c r="B22" s="504" t="s">
        <v>374</v>
      </c>
      <c r="C22" t="s">
        <v>280</v>
      </c>
      <c r="D22" s="505" t="s">
        <v>203</v>
      </c>
      <c r="E22" s="506" t="s"/>
    </row>
    <row r="23" spans="2:5">
      <c r="B23" s="504" t="s">
        <v>370</v>
      </c>
      <c r="C23" t="s">
        <v>281</v>
      </c>
      <c r="D23" s="505" t="s">
        <v>262</v>
      </c>
      <c r="E23" s="506" t="s"/>
    </row>
    <row r="24" spans="2:5">
      <c r="B24" s="504" t="s">
        <v>234</v>
      </c>
      <c r="C24" s="507" t="s">
        <v>275</v>
      </c>
      <c r="D24" s="505" t="s">
        <v>226</v>
      </c>
      <c r="E24" s="506" t="s"/>
    </row>
    <row r="25" spans="2:5">
      <c r="B25" s="504" t="s">
        <v>228</v>
      </c>
      <c r="C25" s="508" t="s">
        <v>278</v>
      </c>
      <c r="D25" s="505" t="s">
        <v>309</v>
      </c>
      <c r="E25" s="506" t="s"/>
    </row>
    <row r="26" spans="2:5">
      <c r="B26" s="504" t="s">
        <v>340</v>
      </c>
      <c r="C26" s="508" t="s">
        <v>224</v>
      </c>
      <c r="D26" s="509" t="s"/>
      <c r="E26" s="506" t="s"/>
    </row>
    <row r="27" spans="2:5">
      <c r="B27" s="504" t="s">
        <v>351</v>
      </c>
      <c r="C27" s="508" t="s">
        <v>291</v>
      </c>
      <c r="D27" s="509" t="s"/>
      <c r="E27" s="506" t="s"/>
    </row>
    <row r="28" spans="2:5">
      <c r="B28" s="504" t="s">
        <v>347</v>
      </c>
      <c r="C28" s="508" t="s">
        <v>285</v>
      </c>
      <c r="D28" s="509" t="s"/>
      <c r="E28" s="506" t="s"/>
    </row>
    <row r="29" spans="2:5">
      <c r="B29" s="504" t="s"/>
      <c r="C29" s="508" t="s">
        <v>283</v>
      </c>
      <c r="D29" s="509" t="s"/>
      <c r="E29" s="506" t="s"/>
    </row>
    <row r="30" spans="2:5">
      <c r="B30" s="510" t="s"/>
      <c r="C30" s="508" t="s">
        <v>163</v>
      </c>
      <c r="D30" s="509" t="s"/>
      <c r="E30" s="506" t="s"/>
    </row>
    <row r="31" spans="2:5">
      <c r="B31" s="511" t="s"/>
      <c r="C31" s="512" t="s"/>
      <c r="D31" s="513" t="s"/>
      <c r="E31" s="506" t="s"/>
    </row>
    <row r="32" spans="1:5">
      <c r="A32" s="514" t="s"/>
      <c r="B32" s="515" t="s"/>
      <c r="C32" s="516" t="s"/>
      <c r="D32" s="517" t="s"/>
      <c r="E32" s="518" t="s"/>
    </row>
    <row r="33" spans="1:4">
      <c r="A33" s="514" t="s"/>
      <c r="D33" s="505" t="s"/>
    </row>
    <row r="34" spans="1:4">
      <c r="A34" s="514" t="s"/>
      <c r="D34" s="505" t="s"/>
    </row>
    <row r="35" spans="1:4">
      <c r="A35" s="514" t="s"/>
      <c r="D35" s="505" t="s"/>
    </row>
    <row r="36" spans="1:4">
      <c r="A36" s="514" t="s"/>
      <c r="D36" s="505" t="s"/>
    </row>
    <row r="37" spans="1:4">
      <c r="A37" s="514" t="s"/>
      <c r="D37" s="505" t="s"/>
    </row>
    <row r="38" spans="1:4">
      <c r="A38" s="514" t="s"/>
      <c r="D38" s="505" t="s"/>
    </row>
    <row r="39" spans="1:4">
      <c r="A39" s="514" t="s"/>
      <c r="D39" s="505" t="s"/>
    </row>
    <row r="40" spans="1:4">
      <c r="A40" s="514" t="s"/>
      <c r="D40" s="505" t="s"/>
    </row>
    <row r="41" spans="1:4">
      <c r="A41" s="514" t="s"/>
      <c r="D41" s="505" t="s"/>
    </row>
    <row r="42" spans="1:4">
      <c r="A42" s="514" t="s"/>
      <c r="D42" s="505" t="s"/>
    </row>
    <row r="43" spans="1:4">
      <c r="A43" s="514" t="s"/>
      <c r="D43" s="505" t="s"/>
    </row>
    <row r="44" spans="1:4">
      <c r="A44" s="514" t="s"/>
      <c r="D44" s="505" t="s"/>
    </row>
    <row r="45" spans="1:4">
      <c r="A45" s="514" t="s"/>
      <c r="D45" s="505" t="s"/>
    </row>
    <row r="46" spans="1:4">
      <c r="A46" s="514" t="s"/>
      <c r="D46" s="505" t="s"/>
    </row>
    <row r="47" spans="1:4">
      <c r="A47" s="514" t="s"/>
      <c r="D47" s="505" t="s"/>
    </row>
    <row r="48" spans="1:4">
      <c r="A48" s="514" t="s"/>
      <c r="D48" s="505" t="s"/>
    </row>
    <row r="49" spans="1:4">
      <c r="A49" s="514" t="s"/>
      <c r="D49" s="505" t="s"/>
    </row>
    <row r="50" spans="1:4">
      <c r="A50" s="514" t="s"/>
      <c r="D50" s="505" t="s"/>
    </row>
    <row r="51" spans="1:4">
      <c r="A51" s="514" t="s"/>
      <c r="D51" s="505" t="s"/>
    </row>
    <row r="52" spans="1:4">
      <c r="A52" s="519" t="s"/>
      <c r="C52" s="520" t="s"/>
      <c r="D52" s="521" t="s"/>
    </row>
  </sheetData>
  <mergeCells count="1">
    <mergeCell ref="C2:D2"/>
  </mergeCells>
</worksheet>
</file>

<file path=xl/worksheets/sheet4.xml><?xml version="1.0" encoding="utf-8"?>
<worksheet xmlns="http://schemas.openxmlformats.org/spreadsheetml/2006/main">
  <sheetPr>
    <tabColor rgb="FFF2F2F2"/>
  </sheetPr>
  <dimension ref="AJ27"/>
  <sheetViews>
    <sheetView showGridLines="1" workbookViewId="0"/>
  </sheetViews>
  <sheetFormatPr baseColWidth="8" defaultRowHeight="14.25" outlineLevelCol="1"/>
  <cols>
    <col min="2" max="4" width="0" hidden="1" customWidth="1" outlineLevel="1"/>
    <col min="5" max="5" width="20.125" customWidth="1" collapsed="1"/>
    <col min="7" max="10" width="0" hidden="1" customWidth="1" outlineLevel="1"/>
    <col min="11" max="11" width="9" collapsed="1"/>
    <col min="18" max="21" width="0" hidden="1" customWidth="1" outlineLevel="1"/>
    <col min="22" max="22" width="9" collapsed="1"/>
    <col min="23" max="36" width="0" hidden="1" customWidth="1" outlineLevel="1"/>
  </cols>
  <sheetData>
    <row r="1" spans="1:36" s="561" customFormat="1">
      <c r="A1" s="497" t="s">
        <v>3</v>
      </c>
      <c r="B1" s="497" t="s">
        <v>419</v>
      </c>
      <c r="C1" s="497" t="s">
        <v>420</v>
      </c>
      <c r="D1" s="497" t="s">
        <v>421</v>
      </c>
      <c r="E1" s="497" t="s">
        <v>4</v>
      </c>
      <c r="F1" s="497" t="s">
        <v>5</v>
      </c>
      <c r="G1" s="497" t="s">
        <v>422</v>
      </c>
      <c r="H1" s="497" t="s">
        <v>423</v>
      </c>
      <c r="I1" s="497" t="s">
        <v>424</v>
      </c>
      <c r="J1" s="497" t="s">
        <v>425</v>
      </c>
      <c r="K1" s="497" t="s">
        <v>426</v>
      </c>
      <c r="L1" s="497" t="s">
        <v>6</v>
      </c>
      <c r="M1" s="497" t="s">
        <v>7</v>
      </c>
      <c r="N1" s="497" t="s">
        <v>8</v>
      </c>
      <c r="O1" s="497" t="s">
        <v>9</v>
      </c>
      <c r="P1" s="497" t="s">
        <v>10</v>
      </c>
      <c r="Q1" s="497" t="s">
        <v>427</v>
      </c>
      <c r="R1" s="497" t="s">
        <v>428</v>
      </c>
      <c r="S1" s="497" t="s">
        <v>429</v>
      </c>
      <c r="T1" s="497" t="s">
        <v>430</v>
      </c>
      <c r="U1" s="497" t="s">
        <v>431</v>
      </c>
      <c r="V1" s="497" t="s">
        <v>12</v>
      </c>
      <c r="W1" s="497" t="s">
        <v>11</v>
      </c>
      <c r="X1" s="497" t="s">
        <v>432</v>
      </c>
      <c r="Y1" s="497" t="s">
        <v>433</v>
      </c>
      <c r="Z1" s="497" t="s">
        <v>13</v>
      </c>
      <c r="AA1" s="497" t="s">
        <v>434</v>
      </c>
      <c r="AB1" s="497" t="s">
        <v>435</v>
      </c>
      <c r="AC1" s="497" t="s">
        <v>436</v>
      </c>
      <c r="AD1" s="497" t="s">
        <v>437</v>
      </c>
      <c r="AE1" s="497" t="s">
        <v>438</v>
      </c>
      <c r="AF1" s="497" t="s">
        <v>439</v>
      </c>
      <c r="AG1" s="497" t="s">
        <v>440</v>
      </c>
      <c r="AH1" s="497" t="s">
        <v>441</v>
      </c>
      <c r="AI1" s="497" t="s">
        <v>442</v>
      </c>
      <c r="AJ1" s="497" t="s">
        <v>443</v>
      </c>
    </row>
    <row r="2" spans="1:36">
      <c r="A2" s="498" t="s">
        <v>444</v>
      </c>
      <c r="B2" s="498" t="s">
        <v>445</v>
      </c>
      <c r="C2" s="498" t="s">
        <v>52</v>
      </c>
      <c r="D2" s="498" t="s">
        <v>446</v>
      </c>
      <c r="E2" s="498" t="s">
        <v>447</v>
      </c>
      <c r="F2" s="498" t="s">
        <v>138</v>
      </c>
      <c r="G2" s="498" t="s">
        <v>448</v>
      </c>
      <c r="H2" s="498" t="s">
        <v>449</v>
      </c>
      <c r="I2" s="498" t="s">
        <v>450</v>
      </c>
      <c r="J2" s="498" t="s">
        <v>451</v>
      </c>
      <c r="K2" s="498" t="s">
        <v>452</v>
      </c>
      <c r="L2" s="498" t="s">
        <v>167</v>
      </c>
      <c r="M2" s="498" t="s">
        <v>58</v>
      </c>
      <c r="N2" s="498" t="s">
        <v>92</v>
      </c>
      <c r="O2" s="498" t="s">
        <v>93</v>
      </c>
      <c r="P2" s="498" t="s">
        <v>272</v>
      </c>
      <c r="Q2" s="498" t="s">
        <v>167</v>
      </c>
      <c r="R2" s="498" t="s">
        <v>40</v>
      </c>
      <c r="S2" s="498" t="s">
        <v>52</v>
      </c>
      <c r="T2" s="499" t="s"/>
      <c r="U2" s="499" t="s"/>
      <c r="V2" s="498" t="s">
        <v>453</v>
      </c>
      <c r="W2" s="498" t="s">
        <v>454</v>
      </c>
      <c r="X2" s="498" t="s">
        <v>455</v>
      </c>
      <c r="Y2" s="498" t="s">
        <v>456</v>
      </c>
      <c r="Z2" s="498" t="s">
        <v>457</v>
      </c>
      <c r="AA2" s="498" t="s"/>
      <c r="AB2" s="499" t="s"/>
      <c r="AC2" s="498" t="s">
        <v>19</v>
      </c>
      <c r="AD2" s="499" t="s"/>
      <c r="AE2" s="499" t="s"/>
      <c r="AF2" s="499" t="s"/>
      <c r="AG2" s="499" t="s"/>
      <c r="AH2" s="499" t="s"/>
      <c r="AI2" s="498" t="s">
        <v>458</v>
      </c>
      <c r="AJ2" s="498" t="s">
        <v>447</v>
      </c>
    </row>
    <row r="3" spans="1:36">
      <c r="A3" s="498" t="s">
        <v>444</v>
      </c>
      <c r="B3" s="498" t="s">
        <v>445</v>
      </c>
      <c r="C3" s="498" t="s">
        <v>52</v>
      </c>
      <c r="D3" s="498" t="s">
        <v>446</v>
      </c>
      <c r="E3" s="498" t="s">
        <v>459</v>
      </c>
      <c r="F3" s="498" t="s">
        <v>460</v>
      </c>
      <c r="G3" s="498" t="s">
        <v>448</v>
      </c>
      <c r="H3" s="498" t="s">
        <v>449</v>
      </c>
      <c r="I3" s="498" t="s">
        <v>450</v>
      </c>
      <c r="J3" s="498" t="s">
        <v>451</v>
      </c>
      <c r="K3" s="498" t="s">
        <v>461</v>
      </c>
      <c r="L3" s="498" t="s">
        <v>167</v>
      </c>
      <c r="M3" s="498" t="s">
        <v>58</v>
      </c>
      <c r="N3" s="498" t="s">
        <v>92</v>
      </c>
      <c r="O3" s="498" t="s">
        <v>93</v>
      </c>
      <c r="P3" s="498" t="s">
        <v>272</v>
      </c>
      <c r="Q3" s="498" t="s">
        <v>167</v>
      </c>
      <c r="R3" s="498" t="s">
        <v>52</v>
      </c>
      <c r="S3" s="498" t="s">
        <v>52</v>
      </c>
      <c r="T3" s="499" t="s"/>
      <c r="U3" s="499" t="s"/>
      <c r="V3" s="498" t="s">
        <v>453</v>
      </c>
      <c r="W3" s="498" t="s">
        <v>454</v>
      </c>
      <c r="X3" s="498" t="s">
        <v>455</v>
      </c>
      <c r="Y3" s="498" t="s">
        <v>456</v>
      </c>
      <c r="Z3" s="498" t="s">
        <v>457</v>
      </c>
      <c r="AA3" s="498" t="s"/>
      <c r="AB3" s="499" t="s"/>
      <c r="AC3" s="498" t="s">
        <v>19</v>
      </c>
      <c r="AD3" s="499" t="s"/>
      <c r="AE3" s="499" t="s"/>
      <c r="AF3" s="499" t="s"/>
      <c r="AG3" s="499" t="s"/>
      <c r="AH3" s="499" t="s"/>
      <c r="AI3" s="498" t="s">
        <v>458</v>
      </c>
      <c r="AJ3" s="498" t="s">
        <v>459</v>
      </c>
    </row>
    <row r="4" spans="1:36">
      <c r="A4" s="498" t="s">
        <v>78</v>
      </c>
      <c r="B4" s="498" t="s">
        <v>462</v>
      </c>
      <c r="C4" s="498" t="s">
        <v>40</v>
      </c>
      <c r="D4" s="498" t="s">
        <v>446</v>
      </c>
      <c r="E4" s="498" t="s">
        <v>152</v>
      </c>
      <c r="F4" s="498" t="s">
        <v>138</v>
      </c>
      <c r="G4" s="498" t="s">
        <v>463</v>
      </c>
      <c r="H4" s="498" t="s">
        <v>449</v>
      </c>
      <c r="I4" s="498" t="s">
        <v>450</v>
      </c>
      <c r="J4" s="498" t="s">
        <v>451</v>
      </c>
      <c r="K4" s="498" t="s">
        <v>464</v>
      </c>
      <c r="L4" s="498" t="s">
        <v>167</v>
      </c>
      <c r="M4" s="498" t="s">
        <v>58</v>
      </c>
      <c r="N4" s="498" t="s">
        <v>92</v>
      </c>
      <c r="O4" s="498" t="s">
        <v>93</v>
      </c>
      <c r="P4" s="498" t="s">
        <v>304</v>
      </c>
      <c r="Q4" s="498" t="s">
        <v>167</v>
      </c>
      <c r="R4" s="498" t="s">
        <v>52</v>
      </c>
      <c r="S4" s="498" t="s">
        <v>40</v>
      </c>
      <c r="T4" s="499" t="s"/>
      <c r="U4" s="499" t="s"/>
      <c r="V4" s="498" t="s">
        <v>465</v>
      </c>
      <c r="W4" s="498" t="s">
        <v>455</v>
      </c>
      <c r="X4" s="498" t="s">
        <v>466</v>
      </c>
      <c r="Y4" s="498" t="s">
        <v>467</v>
      </c>
      <c r="Z4" s="498" t="s">
        <v>468</v>
      </c>
      <c r="AA4" s="498" t="s"/>
      <c r="AB4" s="499" t="s"/>
      <c r="AC4" s="499" t="s"/>
      <c r="AD4" s="498" t="s">
        <v>469</v>
      </c>
      <c r="AE4" s="498" t="s">
        <v>470</v>
      </c>
      <c r="AF4" s="499" t="s"/>
      <c r="AG4" s="499" t="s"/>
      <c r="AH4" s="499" t="s"/>
      <c r="AI4" s="498" t="s">
        <v>458</v>
      </c>
      <c r="AJ4" s="498" t="s">
        <v>152</v>
      </c>
    </row>
    <row r="5" spans="1:36">
      <c r="A5" s="498" t="s">
        <v>299</v>
      </c>
      <c r="B5" s="498" t="s">
        <v>462</v>
      </c>
      <c r="C5" s="498" t="s">
        <v>40</v>
      </c>
      <c r="D5" s="498" t="s">
        <v>446</v>
      </c>
      <c r="E5" s="498" t="s">
        <v>471</v>
      </c>
      <c r="F5" s="498" t="s">
        <v>472</v>
      </c>
      <c r="G5" s="498" t="s">
        <v>463</v>
      </c>
      <c r="H5" s="498" t="s">
        <v>449</v>
      </c>
      <c r="I5" s="498" t="s">
        <v>450</v>
      </c>
      <c r="J5" s="498" t="s">
        <v>473</v>
      </c>
      <c r="K5" s="498" t="s">
        <v>474</v>
      </c>
      <c r="L5" s="498" t="s">
        <v>167</v>
      </c>
      <c r="M5" s="498" t="s">
        <v>58</v>
      </c>
      <c r="N5" s="498" t="s">
        <v>92</v>
      </c>
      <c r="O5" s="498" t="s">
        <v>93</v>
      </c>
      <c r="P5" s="498" t="s">
        <v>93</v>
      </c>
      <c r="Q5" s="498" t="s">
        <v>167</v>
      </c>
      <c r="R5" s="498" t="s">
        <v>40</v>
      </c>
      <c r="S5" s="498" t="s">
        <v>40</v>
      </c>
      <c r="T5" s="499" t="s"/>
      <c r="U5" s="499" t="s"/>
      <c r="V5" s="498" t="s">
        <v>457</v>
      </c>
      <c r="W5" s="498" t="s">
        <v>453</v>
      </c>
      <c r="X5" s="498" t="s">
        <v>465</v>
      </c>
      <c r="Y5" s="498" t="s">
        <v>466</v>
      </c>
      <c r="Z5" s="498" t="s">
        <v>467</v>
      </c>
      <c r="AA5" s="498" t="s"/>
      <c r="AB5" s="499" t="s"/>
      <c r="AC5" s="498" t="s">
        <v>475</v>
      </c>
      <c r="AD5" s="498" t="s">
        <v>475</v>
      </c>
      <c r="AE5" s="499" t="s"/>
      <c r="AF5" s="499" t="s"/>
      <c r="AG5" s="499" t="s"/>
      <c r="AH5" s="499" t="s"/>
      <c r="AI5" s="498" t="s">
        <v>458</v>
      </c>
      <c r="AJ5" s="498" t="s">
        <v>471</v>
      </c>
    </row>
    <row r="6" spans="1:36">
      <c r="A6" s="498" t="s">
        <v>247</v>
      </c>
      <c r="B6" s="498" t="s">
        <v>462</v>
      </c>
      <c r="C6" s="498" t="s">
        <v>52</v>
      </c>
      <c r="D6" s="498" t="s">
        <v>446</v>
      </c>
      <c r="E6" s="498" t="s">
        <v>476</v>
      </c>
      <c r="F6" s="498" t="s">
        <v>138</v>
      </c>
      <c r="G6" s="498" t="s">
        <v>463</v>
      </c>
      <c r="H6" s="498" t="s">
        <v>449</v>
      </c>
      <c r="I6" s="498" t="s">
        <v>450</v>
      </c>
      <c r="J6" s="498" t="s">
        <v>451</v>
      </c>
      <c r="K6" s="498" t="s">
        <v>477</v>
      </c>
      <c r="L6" s="498" t="s">
        <v>478</v>
      </c>
      <c r="M6" s="498" t="s">
        <v>58</v>
      </c>
      <c r="N6" s="498" t="s">
        <v>92</v>
      </c>
      <c r="O6" s="498" t="s">
        <v>93</v>
      </c>
      <c r="P6" s="498" t="s">
        <v>211</v>
      </c>
      <c r="Q6" s="498" t="s">
        <v>167</v>
      </c>
      <c r="R6" s="498" t="s">
        <v>52</v>
      </c>
      <c r="S6" s="498" t="s">
        <v>52</v>
      </c>
      <c r="T6" s="499" t="s"/>
      <c r="U6" s="499" t="s"/>
      <c r="V6" s="498" t="s">
        <v>457</v>
      </c>
      <c r="W6" s="498" t="s">
        <v>453</v>
      </c>
      <c r="X6" s="498" t="s">
        <v>465</v>
      </c>
      <c r="Y6" s="498" t="s">
        <v>466</v>
      </c>
      <c r="Z6" s="498" t="s">
        <v>467</v>
      </c>
      <c r="AA6" s="498" t="s"/>
      <c r="AB6" s="499" t="s"/>
      <c r="AC6" s="498" t="s">
        <v>479</v>
      </c>
      <c r="AD6" s="498" t="s">
        <v>480</v>
      </c>
      <c r="AE6" s="498" t="s">
        <v>481</v>
      </c>
      <c r="AF6" s="498" t="s">
        <v>482</v>
      </c>
      <c r="AG6" s="499" t="s"/>
      <c r="AH6" s="499" t="s"/>
      <c r="AI6" s="498" t="s">
        <v>458</v>
      </c>
      <c r="AJ6" s="498" t="s">
        <v>476</v>
      </c>
    </row>
    <row r="7" spans="1:36">
      <c r="A7" s="498" t="s">
        <v>247</v>
      </c>
      <c r="B7" s="498" t="s">
        <v>462</v>
      </c>
      <c r="C7" s="498" t="s">
        <v>40</v>
      </c>
      <c r="D7" s="498" t="s">
        <v>446</v>
      </c>
      <c r="E7" s="498" t="s">
        <v>483</v>
      </c>
      <c r="F7" s="498" t="s">
        <v>153</v>
      </c>
      <c r="G7" s="498" t="s">
        <v>463</v>
      </c>
      <c r="H7" s="498" t="s">
        <v>449</v>
      </c>
      <c r="I7" s="498" t="s">
        <v>450</v>
      </c>
      <c r="J7" s="498" t="s">
        <v>451</v>
      </c>
      <c r="K7" s="498" t="s">
        <v>484</v>
      </c>
      <c r="L7" s="498" t="s">
        <v>478</v>
      </c>
      <c r="M7" s="498" t="s">
        <v>58</v>
      </c>
      <c r="N7" s="498" t="s">
        <v>92</v>
      </c>
      <c r="O7" s="498" t="s">
        <v>93</v>
      </c>
      <c r="P7" s="498" t="s">
        <v>345</v>
      </c>
      <c r="Q7" s="498" t="s">
        <v>369</v>
      </c>
      <c r="R7" s="498" t="s">
        <v>40</v>
      </c>
      <c r="S7" s="498" t="s">
        <v>40</v>
      </c>
      <c r="T7" s="499" t="s"/>
      <c r="U7" s="499" t="s"/>
      <c r="V7" s="498" t="s">
        <v>467</v>
      </c>
      <c r="W7" s="498" t="s">
        <v>457</v>
      </c>
      <c r="X7" s="498" t="s">
        <v>468</v>
      </c>
      <c r="Y7" s="498" t="s">
        <v>485</v>
      </c>
      <c r="Z7" s="498" t="s">
        <v>486</v>
      </c>
      <c r="AA7" s="498" t="s"/>
      <c r="AB7" s="499" t="s"/>
      <c r="AC7" s="499" t="s"/>
      <c r="AD7" s="498" t="s">
        <v>480</v>
      </c>
      <c r="AE7" s="498" t="s">
        <v>482</v>
      </c>
      <c r="AF7" s="499" t="s"/>
      <c r="AG7" s="499" t="s"/>
      <c r="AH7" s="499" t="s"/>
      <c r="AI7" s="498" t="s">
        <v>458</v>
      </c>
      <c r="AJ7" s="498" t="s">
        <v>483</v>
      </c>
    </row>
    <row r="8" spans="1:36">
      <c r="A8" s="498" t="s">
        <v>43</v>
      </c>
      <c r="B8" s="498" t="s">
        <v>462</v>
      </c>
      <c r="C8" s="498" t="s">
        <v>40</v>
      </c>
      <c r="D8" s="498" t="s">
        <v>446</v>
      </c>
      <c r="E8" s="498" t="s">
        <v>487</v>
      </c>
      <c r="F8" s="498" t="s">
        <v>138</v>
      </c>
      <c r="G8" s="498" t="s">
        <v>488</v>
      </c>
      <c r="H8" s="498" t="s">
        <v>449</v>
      </c>
      <c r="I8" s="498" t="s">
        <v>450</v>
      </c>
      <c r="J8" s="498" t="s">
        <v>451</v>
      </c>
      <c r="K8" s="498" t="s">
        <v>489</v>
      </c>
      <c r="L8" s="498" t="s">
        <v>77</v>
      </c>
      <c r="M8" s="498" t="s">
        <v>47</v>
      </c>
      <c r="N8" s="498" t="s">
        <v>92</v>
      </c>
      <c r="O8" s="498" t="s">
        <v>49</v>
      </c>
      <c r="P8" s="498" t="s">
        <v>400</v>
      </c>
      <c r="Q8" s="498" t="s">
        <v>369</v>
      </c>
      <c r="R8" s="498" t="s">
        <v>52</v>
      </c>
      <c r="S8" s="498" t="s">
        <v>52</v>
      </c>
      <c r="T8" s="499" t="s"/>
      <c r="U8" s="499" t="s"/>
      <c r="V8" s="498" t="s">
        <v>490</v>
      </c>
      <c r="W8" s="498" t="s">
        <v>491</v>
      </c>
      <c r="X8" s="498" t="s">
        <v>492</v>
      </c>
      <c r="Y8" s="498" t="s">
        <v>493</v>
      </c>
      <c r="Z8" s="498" t="s">
        <v>494</v>
      </c>
      <c r="AA8" s="498" t="s"/>
      <c r="AB8" s="499" t="s"/>
      <c r="AC8" s="498" t="s">
        <v>495</v>
      </c>
      <c r="AD8" s="498" t="s">
        <v>496</v>
      </c>
      <c r="AE8" s="498" t="s">
        <v>497</v>
      </c>
      <c r="AF8" s="499" t="s"/>
      <c r="AG8" s="499" t="s"/>
      <c r="AH8" s="499" t="s"/>
      <c r="AI8" s="498" t="s">
        <v>458</v>
      </c>
      <c r="AJ8" s="498" t="s">
        <v>487</v>
      </c>
    </row>
    <row r="9" spans="1:36">
      <c r="A9" s="498" t="s">
        <v>43</v>
      </c>
      <c r="B9" s="498" t="s">
        <v>462</v>
      </c>
      <c r="C9" s="498" t="s">
        <v>40</v>
      </c>
      <c r="D9" s="498" t="s">
        <v>446</v>
      </c>
      <c r="E9" s="498" t="s">
        <v>498</v>
      </c>
      <c r="F9" s="498" t="s">
        <v>499</v>
      </c>
      <c r="G9" s="498" t="s">
        <v>500</v>
      </c>
      <c r="H9" s="498" t="s">
        <v>449</v>
      </c>
      <c r="I9" s="498" t="s">
        <v>450</v>
      </c>
      <c r="J9" s="498" t="s">
        <v>451</v>
      </c>
      <c r="K9" s="498" t="s">
        <v>501</v>
      </c>
      <c r="L9" s="498" t="s">
        <v>502</v>
      </c>
      <c r="M9" s="498" t="s">
        <v>47</v>
      </c>
      <c r="N9" s="498" t="s">
        <v>92</v>
      </c>
      <c r="O9" s="498" t="s">
        <v>49</v>
      </c>
      <c r="P9" s="498" t="s">
        <v>308</v>
      </c>
      <c r="Q9" s="498" t="s">
        <v>369</v>
      </c>
      <c r="R9" s="498" t="s">
        <v>40</v>
      </c>
      <c r="S9" s="498" t="s">
        <v>40</v>
      </c>
      <c r="T9" s="499" t="s"/>
      <c r="U9" s="499" t="s"/>
      <c r="V9" s="499" t="s"/>
      <c r="W9" s="498" t="s">
        <v>503</v>
      </c>
      <c r="X9" s="498" t="s">
        <v>504</v>
      </c>
      <c r="Y9" s="498" t="s">
        <v>505</v>
      </c>
      <c r="Z9" s="498" t="s">
        <v>506</v>
      </c>
      <c r="AA9" s="498" t="s">
        <v>507</v>
      </c>
      <c r="AB9" s="499" t="s"/>
      <c r="AC9" s="498" t="s">
        <v>508</v>
      </c>
      <c r="AD9" s="498" t="s">
        <v>496</v>
      </c>
      <c r="AE9" s="498" t="s">
        <v>496</v>
      </c>
      <c r="AF9" s="499" t="s"/>
      <c r="AG9" s="499" t="s"/>
      <c r="AH9" s="499" t="s"/>
      <c r="AI9" s="498" t="s">
        <v>458</v>
      </c>
      <c r="AJ9" s="498" t="s">
        <v>498</v>
      </c>
    </row>
    <row r="10" spans="1:36">
      <c r="A10" s="498" t="s">
        <v>293</v>
      </c>
      <c r="B10" s="498" t="s">
        <v>462</v>
      </c>
      <c r="C10" s="498" t="s">
        <v>40</v>
      </c>
      <c r="D10" s="498" t="s">
        <v>446</v>
      </c>
      <c r="E10" s="498" t="s">
        <v>509</v>
      </c>
      <c r="F10" s="498" t="s">
        <v>180</v>
      </c>
      <c r="G10" s="498" t="s">
        <v>500</v>
      </c>
      <c r="H10" s="498" t="s">
        <v>449</v>
      </c>
      <c r="I10" s="498" t="s">
        <v>450</v>
      </c>
      <c r="J10" s="498" t="s">
        <v>451</v>
      </c>
      <c r="K10" s="498" t="s">
        <v>510</v>
      </c>
      <c r="L10" s="498" t="s">
        <v>46</v>
      </c>
      <c r="M10" s="498" t="s">
        <v>47</v>
      </c>
      <c r="N10" s="498" t="s">
        <v>48</v>
      </c>
      <c r="O10" s="498" t="s">
        <v>49</v>
      </c>
      <c r="P10" s="498" t="s">
        <v>204</v>
      </c>
      <c r="Q10" s="498" t="s">
        <v>46</v>
      </c>
      <c r="R10" s="498" t="s">
        <v>40</v>
      </c>
      <c r="S10" s="498" t="s">
        <v>40</v>
      </c>
      <c r="T10" s="499" t="s"/>
      <c r="U10" s="499" t="s"/>
      <c r="V10" s="498" t="s">
        <v>511</v>
      </c>
      <c r="W10" s="498" t="s">
        <v>493</v>
      </c>
      <c r="X10" s="498" t="s">
        <v>512</v>
      </c>
      <c r="Y10" s="498" t="s">
        <v>513</v>
      </c>
      <c r="Z10" s="498" t="s">
        <v>514</v>
      </c>
      <c r="AA10" s="498" t="s"/>
      <c r="AB10" s="499" t="s"/>
      <c r="AC10" s="498" t="s">
        <v>515</v>
      </c>
      <c r="AD10" s="498" t="s">
        <v>516</v>
      </c>
      <c r="AE10" s="498" t="s">
        <v>517</v>
      </c>
      <c r="AF10" s="499" t="s"/>
      <c r="AG10" s="499" t="s"/>
      <c r="AH10" s="499" t="s"/>
      <c r="AI10" s="498" t="s">
        <v>458</v>
      </c>
      <c r="AJ10" s="498" t="s">
        <v>509</v>
      </c>
    </row>
    <row r="11" spans="1:36">
      <c r="A11" s="498" t="s">
        <v>293</v>
      </c>
      <c r="B11" s="498" t="s">
        <v>462</v>
      </c>
      <c r="C11" s="498" t="s">
        <v>52</v>
      </c>
      <c r="D11" s="498" t="s">
        <v>446</v>
      </c>
      <c r="E11" s="498" t="s">
        <v>518</v>
      </c>
      <c r="F11" s="498" t="s">
        <v>45</v>
      </c>
      <c r="G11" s="498" t="s">
        <v>463</v>
      </c>
      <c r="H11" s="498" t="s">
        <v>449</v>
      </c>
      <c r="I11" s="498" t="s">
        <v>450</v>
      </c>
      <c r="J11" s="498" t="s">
        <v>451</v>
      </c>
      <c r="K11" s="498" t="s">
        <v>510</v>
      </c>
      <c r="L11" s="498" t="s">
        <v>46</v>
      </c>
      <c r="M11" s="498" t="s">
        <v>47</v>
      </c>
      <c r="N11" s="498" t="s">
        <v>48</v>
      </c>
      <c r="O11" s="498" t="s">
        <v>49</v>
      </c>
      <c r="P11" s="498" t="s">
        <v>519</v>
      </c>
      <c r="Q11" s="498" t="s">
        <v>46</v>
      </c>
      <c r="R11" s="498" t="s">
        <v>52</v>
      </c>
      <c r="S11" s="498" t="s">
        <v>52</v>
      </c>
      <c r="T11" s="499" t="s"/>
      <c r="U11" s="499" t="s"/>
      <c r="V11" s="498" t="s">
        <v>492</v>
      </c>
      <c r="W11" s="498" t="s">
        <v>520</v>
      </c>
      <c r="X11" s="498" t="s">
        <v>493</v>
      </c>
      <c r="Y11" s="498" t="s">
        <v>494</v>
      </c>
      <c r="Z11" s="498" t="s">
        <v>521</v>
      </c>
      <c r="AA11" s="498" t="s"/>
      <c r="AB11" s="499" t="s"/>
      <c r="AC11" s="498" t="s">
        <v>515</v>
      </c>
      <c r="AD11" s="498" t="s">
        <v>516</v>
      </c>
      <c r="AE11" s="498" t="s">
        <v>522</v>
      </c>
      <c r="AF11" s="499" t="s"/>
      <c r="AG11" s="499" t="s"/>
      <c r="AH11" s="499" t="s"/>
      <c r="AI11" s="498" t="s">
        <v>458</v>
      </c>
      <c r="AJ11" s="498" t="s">
        <v>518</v>
      </c>
    </row>
    <row r="12" spans="1:36">
      <c r="A12" s="498" t="s">
        <v>293</v>
      </c>
      <c r="B12" s="498" t="s">
        <v>462</v>
      </c>
      <c r="C12" s="498" t="s">
        <v>52</v>
      </c>
      <c r="D12" s="498" t="s">
        <v>446</v>
      </c>
      <c r="E12" s="498" t="s">
        <v>523</v>
      </c>
      <c r="F12" s="498" t="s">
        <v>524</v>
      </c>
      <c r="G12" s="498" t="s">
        <v>448</v>
      </c>
      <c r="H12" s="498" t="s">
        <v>449</v>
      </c>
      <c r="I12" s="498" t="s">
        <v>450</v>
      </c>
      <c r="J12" s="498" t="s">
        <v>451</v>
      </c>
      <c r="K12" s="498" t="s">
        <v>525</v>
      </c>
      <c r="L12" s="498" t="s">
        <v>46</v>
      </c>
      <c r="M12" s="498" t="s">
        <v>47</v>
      </c>
      <c r="N12" s="498" t="s">
        <v>48</v>
      </c>
      <c r="O12" s="498" t="s">
        <v>49</v>
      </c>
      <c r="P12" s="498" t="s">
        <v>519</v>
      </c>
      <c r="Q12" s="498" t="s">
        <v>46</v>
      </c>
      <c r="R12" s="498" t="s">
        <v>40</v>
      </c>
      <c r="S12" s="498" t="s">
        <v>40</v>
      </c>
      <c r="T12" s="499" t="s"/>
      <c r="U12" s="499" t="s"/>
      <c r="V12" s="498" t="s">
        <v>492</v>
      </c>
      <c r="W12" s="498" t="s">
        <v>520</v>
      </c>
      <c r="X12" s="498" t="s">
        <v>493</v>
      </c>
      <c r="Y12" s="498" t="s">
        <v>494</v>
      </c>
      <c r="Z12" s="498" t="s">
        <v>521</v>
      </c>
      <c r="AA12" s="498" t="s"/>
      <c r="AB12" s="499" t="s"/>
      <c r="AC12" s="498" t="s">
        <v>515</v>
      </c>
      <c r="AD12" s="498" t="s">
        <v>516</v>
      </c>
      <c r="AE12" s="498" t="s">
        <v>522</v>
      </c>
      <c r="AF12" s="499" t="s"/>
      <c r="AG12" s="499" t="s"/>
      <c r="AH12" s="499" t="s"/>
      <c r="AI12" s="498" t="s">
        <v>458</v>
      </c>
      <c r="AJ12" s="498" t="s">
        <v>523</v>
      </c>
    </row>
    <row r="13" spans="1:36">
      <c r="A13" s="498" t="s">
        <v>43</v>
      </c>
      <c r="B13" s="498" t="s">
        <v>462</v>
      </c>
      <c r="C13" s="498" t="s">
        <v>40</v>
      </c>
      <c r="D13" s="498" t="s">
        <v>446</v>
      </c>
      <c r="E13" s="498" t="s">
        <v>526</v>
      </c>
      <c r="F13" s="498" t="s">
        <v>45</v>
      </c>
      <c r="G13" s="498" t="s">
        <v>500</v>
      </c>
      <c r="H13" s="498" t="s">
        <v>449</v>
      </c>
      <c r="I13" s="498" t="s">
        <v>450</v>
      </c>
      <c r="J13" s="498" t="s">
        <v>451</v>
      </c>
      <c r="K13" s="498" t="s">
        <v>510</v>
      </c>
      <c r="L13" s="498" t="s">
        <v>46</v>
      </c>
      <c r="M13" s="498" t="s">
        <v>47</v>
      </c>
      <c r="N13" s="498" t="s">
        <v>48</v>
      </c>
      <c r="O13" s="498" t="s">
        <v>49</v>
      </c>
      <c r="P13" s="498" t="s">
        <v>50</v>
      </c>
      <c r="Q13" s="498" t="s">
        <v>46</v>
      </c>
      <c r="R13" s="498" t="s">
        <v>40</v>
      </c>
      <c r="S13" s="498" t="s">
        <v>40</v>
      </c>
      <c r="T13" s="499" t="s"/>
      <c r="U13" s="499" t="s"/>
      <c r="V13" s="498" t="s">
        <v>527</v>
      </c>
      <c r="W13" s="498" t="s">
        <v>528</v>
      </c>
      <c r="X13" s="498" t="s">
        <v>529</v>
      </c>
      <c r="Y13" s="498" t="s">
        <v>530</v>
      </c>
      <c r="Z13" s="498" t="s">
        <v>531</v>
      </c>
      <c r="AA13" s="498" t="s"/>
      <c r="AB13" s="499" t="s"/>
      <c r="AC13" s="498" t="s">
        <v>515</v>
      </c>
      <c r="AD13" s="498" t="s">
        <v>516</v>
      </c>
      <c r="AE13" s="498" t="s">
        <v>522</v>
      </c>
      <c r="AF13" s="499" t="s"/>
      <c r="AG13" s="499" t="s"/>
      <c r="AH13" s="499" t="s"/>
      <c r="AI13" s="498" t="s">
        <v>458</v>
      </c>
      <c r="AJ13" s="498" t="s">
        <v>526</v>
      </c>
    </row>
    <row r="14" spans="1:36">
      <c r="A14" s="498" t="s">
        <v>532</v>
      </c>
      <c r="B14" s="498" t="s">
        <v>462</v>
      </c>
      <c r="C14" s="498" t="s">
        <v>40</v>
      </c>
      <c r="D14" s="498" t="s">
        <v>446</v>
      </c>
      <c r="E14" s="498" t="s">
        <v>533</v>
      </c>
      <c r="F14" s="498" t="s">
        <v>399</v>
      </c>
      <c r="G14" s="498" t="s">
        <v>463</v>
      </c>
      <c r="H14" s="498" t="s">
        <v>449</v>
      </c>
      <c r="I14" s="498" t="s">
        <v>450</v>
      </c>
      <c r="J14" s="498" t="s">
        <v>451</v>
      </c>
      <c r="K14" s="498" t="s">
        <v>534</v>
      </c>
      <c r="L14" s="498" t="s">
        <v>46</v>
      </c>
      <c r="M14" s="498" t="s">
        <v>47</v>
      </c>
      <c r="N14" s="498" t="s">
        <v>48</v>
      </c>
      <c r="O14" s="498" t="s">
        <v>49</v>
      </c>
      <c r="P14" s="498" t="s">
        <v>319</v>
      </c>
      <c r="Q14" s="498" t="s">
        <v>46</v>
      </c>
      <c r="R14" s="498" t="s">
        <v>52</v>
      </c>
      <c r="S14" s="498" t="s">
        <v>52</v>
      </c>
      <c r="T14" s="499" t="s"/>
      <c r="U14" s="499" t="s"/>
      <c r="V14" s="498" t="s">
        <v>491</v>
      </c>
      <c r="W14" s="498" t="s">
        <v>529</v>
      </c>
      <c r="X14" s="498" t="s">
        <v>520</v>
      </c>
      <c r="Y14" s="498" t="s">
        <v>535</v>
      </c>
      <c r="Z14" s="498" t="s">
        <v>490</v>
      </c>
      <c r="AA14" s="498" t="s"/>
      <c r="AB14" s="499" t="s"/>
      <c r="AC14" s="498" t="s">
        <v>515</v>
      </c>
      <c r="AD14" s="498" t="s">
        <v>516</v>
      </c>
      <c r="AE14" s="498" t="s">
        <v>536</v>
      </c>
      <c r="AF14" s="499" t="s"/>
      <c r="AG14" s="499" t="s"/>
      <c r="AH14" s="499" t="s"/>
      <c r="AI14" s="498" t="s">
        <v>458</v>
      </c>
      <c r="AJ14" s="498" t="s">
        <v>533</v>
      </c>
    </row>
    <row r="15" spans="1:36">
      <c r="A15" s="498" t="s">
        <v>75</v>
      </c>
      <c r="B15" s="498" t="s">
        <v>445</v>
      </c>
      <c r="C15" s="498" t="s">
        <v>52</v>
      </c>
      <c r="D15" s="498" t="s">
        <v>446</v>
      </c>
      <c r="E15" s="498" t="s">
        <v>537</v>
      </c>
      <c r="F15" s="498" t="s">
        <v>31</v>
      </c>
      <c r="G15" s="498" t="s">
        <v>463</v>
      </c>
      <c r="H15" s="498" t="s">
        <v>449</v>
      </c>
      <c r="I15" s="498" t="s">
        <v>450</v>
      </c>
      <c r="J15" s="498" t="s">
        <v>451</v>
      </c>
      <c r="K15" s="498" t="s">
        <v>538</v>
      </c>
      <c r="L15" s="498" t="s">
        <v>77</v>
      </c>
      <c r="M15" s="498" t="s">
        <v>47</v>
      </c>
      <c r="N15" s="498" t="s">
        <v>34</v>
      </c>
      <c r="O15" s="498" t="s">
        <v>35</v>
      </c>
      <c r="P15" s="498" t="s">
        <v>74</v>
      </c>
      <c r="Q15" s="498" t="s">
        <v>66</v>
      </c>
      <c r="R15" s="498" t="s">
        <v>40</v>
      </c>
      <c r="S15" s="498" t="s">
        <v>40</v>
      </c>
      <c r="T15" s="499" t="s"/>
      <c r="U15" s="499" t="s"/>
      <c r="V15" s="498" t="s">
        <v>539</v>
      </c>
      <c r="W15" s="498" t="s">
        <v>540</v>
      </c>
      <c r="X15" s="498" t="s">
        <v>541</v>
      </c>
      <c r="Y15" s="498" t="s">
        <v>453</v>
      </c>
      <c r="Z15" s="498" t="s">
        <v>455</v>
      </c>
      <c r="AA15" s="498" t="s"/>
      <c r="AB15" s="499" t="s"/>
      <c r="AC15" s="498" t="s">
        <v>542</v>
      </c>
      <c r="AD15" s="498" t="s">
        <v>543</v>
      </c>
      <c r="AE15" s="498" t="s">
        <v>544</v>
      </c>
      <c r="AF15" s="498" t="s">
        <v>545</v>
      </c>
      <c r="AG15" s="499" t="s"/>
      <c r="AH15" s="499" t="s"/>
      <c r="AI15" s="498" t="s">
        <v>458</v>
      </c>
      <c r="AJ15" s="498" t="s">
        <v>537</v>
      </c>
    </row>
    <row r="16" spans="1:36">
      <c r="A16" s="498" t="s">
        <v>75</v>
      </c>
      <c r="B16" s="498" t="s">
        <v>445</v>
      </c>
      <c r="C16" s="498" t="s">
        <v>52</v>
      </c>
      <c r="D16" s="498" t="s">
        <v>446</v>
      </c>
      <c r="E16" s="498" t="s">
        <v>546</v>
      </c>
      <c r="F16" s="498" t="s">
        <v>31</v>
      </c>
      <c r="G16" s="498" t="s">
        <v>463</v>
      </c>
      <c r="H16" s="498" t="s">
        <v>449</v>
      </c>
      <c r="I16" s="498" t="s">
        <v>450</v>
      </c>
      <c r="J16" s="498" t="s">
        <v>451</v>
      </c>
      <c r="K16" s="498" t="s">
        <v>547</v>
      </c>
      <c r="L16" s="498" t="s">
        <v>77</v>
      </c>
      <c r="M16" s="498" t="s">
        <v>47</v>
      </c>
      <c r="N16" s="498" t="s">
        <v>34</v>
      </c>
      <c r="O16" s="498" t="s">
        <v>35</v>
      </c>
      <c r="P16" s="498" t="s">
        <v>74</v>
      </c>
      <c r="Q16" s="498" t="s">
        <v>66</v>
      </c>
      <c r="R16" s="498" t="s">
        <v>40</v>
      </c>
      <c r="S16" s="498" t="s">
        <v>40</v>
      </c>
      <c r="T16" s="499" t="s"/>
      <c r="U16" s="499" t="s"/>
      <c r="V16" s="498" t="s">
        <v>453</v>
      </c>
      <c r="W16" s="498" t="s">
        <v>454</v>
      </c>
      <c r="X16" s="498" t="s">
        <v>455</v>
      </c>
      <c r="Y16" s="498" t="s">
        <v>456</v>
      </c>
      <c r="Z16" s="498" t="s">
        <v>457</v>
      </c>
      <c r="AA16" s="498" t="s"/>
      <c r="AB16" s="499" t="s"/>
      <c r="AC16" s="498" t="s">
        <v>542</v>
      </c>
      <c r="AD16" s="498" t="s">
        <v>543</v>
      </c>
      <c r="AE16" s="498" t="s">
        <v>548</v>
      </c>
      <c r="AF16" s="498" t="s">
        <v>549</v>
      </c>
      <c r="AG16" s="499" t="s"/>
      <c r="AH16" s="499" t="s"/>
      <c r="AI16" s="498" t="s">
        <v>458</v>
      </c>
      <c r="AJ16" s="498" t="s">
        <v>546</v>
      </c>
    </row>
    <row r="17" spans="1:36">
      <c r="A17" s="498" t="s">
        <v>64</v>
      </c>
      <c r="B17" s="498" t="s">
        <v>445</v>
      </c>
      <c r="C17" s="498" t="s">
        <v>52</v>
      </c>
      <c r="D17" s="498" t="s">
        <v>446</v>
      </c>
      <c r="E17" s="498" t="s">
        <v>550</v>
      </c>
      <c r="F17" s="498" t="s">
        <v>31</v>
      </c>
      <c r="G17" s="498" t="s">
        <v>448</v>
      </c>
      <c r="H17" s="498" t="s">
        <v>449</v>
      </c>
      <c r="I17" s="498" t="s">
        <v>450</v>
      </c>
      <c r="J17" s="498" t="s">
        <v>451</v>
      </c>
      <c r="K17" s="498" t="s">
        <v>551</v>
      </c>
      <c r="L17" s="498" t="s">
        <v>66</v>
      </c>
      <c r="M17" s="498" t="s">
        <v>47</v>
      </c>
      <c r="N17" s="498" t="s">
        <v>34</v>
      </c>
      <c r="O17" s="498" t="s">
        <v>35</v>
      </c>
      <c r="P17" s="498" t="s">
        <v>67</v>
      </c>
      <c r="Q17" s="498" t="s">
        <v>66</v>
      </c>
      <c r="R17" s="498" t="s">
        <v>52</v>
      </c>
      <c r="S17" s="498" t="s">
        <v>52</v>
      </c>
      <c r="T17" s="499" t="s"/>
      <c r="U17" s="499" t="s"/>
      <c r="V17" s="498" t="s">
        <v>541</v>
      </c>
      <c r="W17" s="498" t="s">
        <v>552</v>
      </c>
      <c r="X17" s="498" t="s">
        <v>453</v>
      </c>
      <c r="Y17" s="498" t="s">
        <v>455</v>
      </c>
      <c r="Z17" s="498" t="s">
        <v>456</v>
      </c>
      <c r="AA17" s="498" t="s">
        <v>553</v>
      </c>
      <c r="AB17" s="499" t="s"/>
      <c r="AC17" s="498" t="s">
        <v>554</v>
      </c>
      <c r="AD17" s="498" t="s">
        <v>543</v>
      </c>
      <c r="AE17" s="498" t="s">
        <v>555</v>
      </c>
      <c r="AF17" s="498" t="s">
        <v>549</v>
      </c>
      <c r="AG17" s="499" t="s"/>
      <c r="AH17" s="499" t="s"/>
      <c r="AI17" s="498" t="s">
        <v>458</v>
      </c>
      <c r="AJ17" s="498" t="s">
        <v>550</v>
      </c>
    </row>
    <row r="18" spans="1:36">
      <c r="A18" s="498" t="s">
        <v>197</v>
      </c>
      <c r="B18" s="498" t="s">
        <v>445</v>
      </c>
      <c r="C18" s="498" t="s">
        <v>52</v>
      </c>
      <c r="D18" s="498" t="s">
        <v>446</v>
      </c>
      <c r="E18" s="498" t="s">
        <v>556</v>
      </c>
      <c r="F18" s="498" t="s">
        <v>31</v>
      </c>
      <c r="G18" s="498" t="s">
        <v>463</v>
      </c>
      <c r="H18" s="498" t="s">
        <v>449</v>
      </c>
      <c r="I18" s="498" t="s">
        <v>450</v>
      </c>
      <c r="J18" s="498" t="s">
        <v>451</v>
      </c>
      <c r="K18" s="498" t="s">
        <v>557</v>
      </c>
      <c r="L18" s="498" t="s">
        <v>558</v>
      </c>
      <c r="M18" s="498" t="s">
        <v>47</v>
      </c>
      <c r="N18" s="498" t="s">
        <v>34</v>
      </c>
      <c r="O18" s="498" t="s">
        <v>35</v>
      </c>
      <c r="P18" s="498" t="s">
        <v>218</v>
      </c>
      <c r="Q18" s="498" t="s">
        <v>66</v>
      </c>
      <c r="R18" s="498" t="s">
        <v>52</v>
      </c>
      <c r="S18" s="498" t="s">
        <v>52</v>
      </c>
      <c r="T18" s="499" t="s"/>
      <c r="U18" s="499" t="s"/>
      <c r="V18" s="498" t="s">
        <v>467</v>
      </c>
      <c r="W18" s="498" t="s">
        <v>457</v>
      </c>
      <c r="X18" s="498" t="s">
        <v>468</v>
      </c>
      <c r="Y18" s="498" t="s">
        <v>485</v>
      </c>
      <c r="Z18" s="498" t="s">
        <v>486</v>
      </c>
      <c r="AA18" s="498" t="s"/>
      <c r="AB18" s="499" t="s"/>
      <c r="AC18" s="498" t="s">
        <v>559</v>
      </c>
      <c r="AD18" s="498" t="s">
        <v>543</v>
      </c>
      <c r="AE18" s="498" t="s">
        <v>544</v>
      </c>
      <c r="AF18" s="498" t="s">
        <v>560</v>
      </c>
      <c r="AG18" s="499" t="s"/>
      <c r="AH18" s="499" t="s"/>
      <c r="AI18" s="498" t="s">
        <v>458</v>
      </c>
      <c r="AJ18" s="498" t="s">
        <v>556</v>
      </c>
    </row>
    <row r="19" spans="1:36">
      <c r="A19" s="498" t="s">
        <v>98</v>
      </c>
      <c r="B19" s="498" t="s">
        <v>462</v>
      </c>
      <c r="C19" s="498" t="s">
        <v>40</v>
      </c>
      <c r="D19" s="498" t="s">
        <v>446</v>
      </c>
      <c r="E19" s="498" t="s">
        <v>561</v>
      </c>
      <c r="F19" s="498" t="s">
        <v>31</v>
      </c>
      <c r="G19" s="498" t="s">
        <v>463</v>
      </c>
      <c r="H19" s="498" t="s">
        <v>449</v>
      </c>
      <c r="I19" s="498" t="s">
        <v>450</v>
      </c>
      <c r="J19" s="498" t="s">
        <v>451</v>
      </c>
      <c r="K19" s="498" t="s">
        <v>562</v>
      </c>
      <c r="L19" s="498" t="s">
        <v>77</v>
      </c>
      <c r="M19" s="498" t="s">
        <v>47</v>
      </c>
      <c r="N19" s="498" t="s">
        <v>34</v>
      </c>
      <c r="O19" s="498" t="s">
        <v>35</v>
      </c>
      <c r="P19" s="498" t="s">
        <v>100</v>
      </c>
      <c r="Q19" s="498" t="s">
        <v>66</v>
      </c>
      <c r="R19" s="498" t="s">
        <v>40</v>
      </c>
      <c r="S19" s="498" t="s">
        <v>40</v>
      </c>
      <c r="T19" s="499" t="s"/>
      <c r="U19" s="499" t="s"/>
      <c r="V19" s="498" t="s">
        <v>466</v>
      </c>
      <c r="W19" s="498" t="s">
        <v>456</v>
      </c>
      <c r="X19" s="498" t="s">
        <v>467</v>
      </c>
      <c r="Y19" s="498" t="s">
        <v>468</v>
      </c>
      <c r="Z19" s="498" t="s">
        <v>485</v>
      </c>
      <c r="AA19" s="498" t="s">
        <v>563</v>
      </c>
      <c r="AB19" s="499" t="s"/>
      <c r="AC19" s="498" t="s">
        <v>542</v>
      </c>
      <c r="AD19" s="498" t="s">
        <v>543</v>
      </c>
      <c r="AE19" s="498" t="s">
        <v>560</v>
      </c>
      <c r="AF19" s="498" t="s">
        <v>564</v>
      </c>
      <c r="AG19" s="499" t="s"/>
      <c r="AH19" s="499" t="s"/>
      <c r="AI19" s="498" t="s">
        <v>458</v>
      </c>
      <c r="AJ19" s="498" t="s">
        <v>561</v>
      </c>
    </row>
    <row r="20" spans="1:36">
      <c r="A20" s="498" t="s">
        <v>64</v>
      </c>
      <c r="B20" s="498" t="s">
        <v>445</v>
      </c>
      <c r="C20" s="498" t="s">
        <v>40</v>
      </c>
      <c r="D20" s="498" t="s">
        <v>446</v>
      </c>
      <c r="E20" s="498" t="s">
        <v>565</v>
      </c>
      <c r="F20" s="498" t="s">
        <v>31</v>
      </c>
      <c r="G20" s="498" t="s">
        <v>463</v>
      </c>
      <c r="H20" s="498" t="s">
        <v>449</v>
      </c>
      <c r="I20" s="498" t="s">
        <v>450</v>
      </c>
      <c r="J20" s="498" t="s">
        <v>451</v>
      </c>
      <c r="K20" s="498" t="s">
        <v>566</v>
      </c>
      <c r="L20" s="498" t="s">
        <v>66</v>
      </c>
      <c r="M20" s="498" t="s">
        <v>47</v>
      </c>
      <c r="N20" s="498" t="s">
        <v>34</v>
      </c>
      <c r="O20" s="498" t="s">
        <v>35</v>
      </c>
      <c r="P20" s="498" t="s">
        <v>67</v>
      </c>
      <c r="Q20" s="498" t="s">
        <v>66</v>
      </c>
      <c r="R20" s="498" t="s">
        <v>40</v>
      </c>
      <c r="S20" s="498" t="s">
        <v>40</v>
      </c>
      <c r="T20" s="499" t="s"/>
      <c r="U20" s="499" t="s"/>
      <c r="V20" s="498" t="s">
        <v>453</v>
      </c>
      <c r="W20" s="498" t="s">
        <v>454</v>
      </c>
      <c r="X20" s="498" t="s">
        <v>455</v>
      </c>
      <c r="Y20" s="498" t="s">
        <v>456</v>
      </c>
      <c r="Z20" s="498" t="s">
        <v>457</v>
      </c>
      <c r="AA20" s="498" t="s"/>
      <c r="AB20" s="499" t="s"/>
      <c r="AC20" s="498" t="s">
        <v>554</v>
      </c>
      <c r="AD20" s="498" t="s">
        <v>543</v>
      </c>
      <c r="AE20" s="498" t="s">
        <v>544</v>
      </c>
      <c r="AF20" s="498" t="s">
        <v>567</v>
      </c>
      <c r="AG20" s="499" t="s"/>
      <c r="AH20" s="499" t="s"/>
      <c r="AI20" s="498" t="s">
        <v>458</v>
      </c>
      <c r="AJ20" s="498" t="s">
        <v>565</v>
      </c>
    </row>
    <row r="21" spans="1:36">
      <c r="A21" s="498" t="s">
        <v>64</v>
      </c>
      <c r="B21" s="498" t="s">
        <v>445</v>
      </c>
      <c r="C21" s="498" t="s">
        <v>52</v>
      </c>
      <c r="D21" s="498" t="s">
        <v>446</v>
      </c>
      <c r="E21" s="498" t="s">
        <v>568</v>
      </c>
      <c r="F21" s="498" t="s">
        <v>56</v>
      </c>
      <c r="G21" s="498" t="s">
        <v>463</v>
      </c>
      <c r="H21" s="498" t="s">
        <v>449</v>
      </c>
      <c r="I21" s="498" t="s">
        <v>450</v>
      </c>
      <c r="J21" s="498" t="s">
        <v>451</v>
      </c>
      <c r="K21" s="498" t="s">
        <v>569</v>
      </c>
      <c r="L21" s="498" t="s">
        <v>57</v>
      </c>
      <c r="M21" s="498" t="s">
        <v>58</v>
      </c>
      <c r="N21" s="498" t="s">
        <v>59</v>
      </c>
      <c r="O21" s="498" t="s">
        <v>60</v>
      </c>
      <c r="P21" s="498" t="s">
        <v>70</v>
      </c>
      <c r="Q21" s="498" t="s">
        <v>167</v>
      </c>
      <c r="R21" s="498" t="s">
        <v>52</v>
      </c>
      <c r="S21" s="498" t="s">
        <v>52</v>
      </c>
      <c r="T21" s="499" t="s"/>
      <c r="U21" s="499" t="s"/>
      <c r="V21" s="498" t="s">
        <v>455</v>
      </c>
      <c r="W21" s="498" t="s">
        <v>539</v>
      </c>
      <c r="X21" s="498" t="s">
        <v>456</v>
      </c>
      <c r="Y21" s="498" t="s">
        <v>457</v>
      </c>
      <c r="Z21" s="498" t="s">
        <v>465</v>
      </c>
      <c r="AA21" s="498" t="s">
        <v>570</v>
      </c>
      <c r="AB21" s="499" t="s"/>
      <c r="AC21" s="499" t="s"/>
      <c r="AD21" s="498" t="s">
        <v>571</v>
      </c>
      <c r="AE21" s="498" t="s">
        <v>572</v>
      </c>
      <c r="AF21" s="499" t="s"/>
      <c r="AG21" s="499" t="s"/>
      <c r="AH21" s="499" t="s"/>
      <c r="AI21" s="498" t="s">
        <v>458</v>
      </c>
      <c r="AJ21" s="498" t="s">
        <v>568</v>
      </c>
    </row>
    <row r="22" spans="1:36">
      <c r="A22" s="498" t="s">
        <v>573</v>
      </c>
      <c r="B22" s="498" t="s">
        <v>445</v>
      </c>
      <c r="C22" s="498" t="s">
        <v>52</v>
      </c>
      <c r="D22" s="498" t="s">
        <v>446</v>
      </c>
      <c r="E22" s="498" t="s">
        <v>574</v>
      </c>
      <c r="F22" s="498" t="s">
        <v>56</v>
      </c>
      <c r="G22" s="498" t="s">
        <v>463</v>
      </c>
      <c r="H22" s="498" t="s">
        <v>449</v>
      </c>
      <c r="I22" s="498" t="s">
        <v>450</v>
      </c>
      <c r="J22" s="498" t="s">
        <v>451</v>
      </c>
      <c r="K22" s="499" t="s"/>
      <c r="L22" s="498" t="s">
        <v>57</v>
      </c>
      <c r="M22" s="498" t="s">
        <v>58</v>
      </c>
      <c r="N22" s="498" t="s">
        <v>59</v>
      </c>
      <c r="O22" s="498" t="s">
        <v>60</v>
      </c>
      <c r="P22" s="498" t="s">
        <v>575</v>
      </c>
      <c r="Q22" s="498" t="s">
        <v>167</v>
      </c>
      <c r="R22" s="498" t="s">
        <v>52</v>
      </c>
      <c r="S22" s="498" t="s">
        <v>52</v>
      </c>
      <c r="T22" s="499" t="s"/>
      <c r="U22" s="499" t="s"/>
      <c r="V22" s="498" t="s">
        <v>453</v>
      </c>
      <c r="W22" s="498" t="s">
        <v>454</v>
      </c>
      <c r="X22" s="498" t="s">
        <v>455</v>
      </c>
      <c r="Y22" s="498" t="s">
        <v>456</v>
      </c>
      <c r="Z22" s="498" t="s">
        <v>457</v>
      </c>
      <c r="AA22" s="498" t="s"/>
      <c r="AB22" s="499" t="s"/>
      <c r="AC22" s="499" t="s"/>
      <c r="AD22" s="498" t="s">
        <v>576</v>
      </c>
      <c r="AE22" s="498" t="s">
        <v>577</v>
      </c>
      <c r="AF22" s="499" t="s"/>
      <c r="AG22" s="499" t="s"/>
      <c r="AH22" s="499" t="s"/>
      <c r="AI22" s="498" t="s">
        <v>458</v>
      </c>
      <c r="AJ22" s="498" t="s">
        <v>574</v>
      </c>
    </row>
    <row r="23" spans="1:36">
      <c r="A23" s="498" t="s">
        <v>108</v>
      </c>
      <c r="B23" s="498" t="s">
        <v>462</v>
      </c>
      <c r="C23" s="498" t="s">
        <v>40</v>
      </c>
      <c r="D23" s="498" t="s">
        <v>446</v>
      </c>
      <c r="E23" s="498" t="s">
        <v>578</v>
      </c>
      <c r="F23" s="498" t="s">
        <v>110</v>
      </c>
      <c r="G23" s="498" t="s">
        <v>463</v>
      </c>
      <c r="H23" s="498" t="s">
        <v>449</v>
      </c>
      <c r="I23" s="498" t="s">
        <v>450</v>
      </c>
      <c r="J23" s="498" t="s">
        <v>451</v>
      </c>
      <c r="K23" s="498" t="s">
        <v>579</v>
      </c>
      <c r="L23" s="498" t="s">
        <v>57</v>
      </c>
      <c r="M23" s="498" t="s">
        <v>58</v>
      </c>
      <c r="N23" s="498" t="s">
        <v>59</v>
      </c>
      <c r="O23" s="498" t="s">
        <v>60</v>
      </c>
      <c r="P23" s="498" t="s">
        <v>111</v>
      </c>
      <c r="Q23" s="498" t="s">
        <v>167</v>
      </c>
      <c r="R23" s="498" t="s">
        <v>52</v>
      </c>
      <c r="S23" s="498" t="s">
        <v>52</v>
      </c>
      <c r="T23" s="499" t="s"/>
      <c r="U23" s="499" t="s"/>
      <c r="V23" s="498" t="s">
        <v>457</v>
      </c>
      <c r="W23" s="498" t="s">
        <v>453</v>
      </c>
      <c r="X23" s="498" t="s">
        <v>465</v>
      </c>
      <c r="Y23" s="498" t="s">
        <v>466</v>
      </c>
      <c r="Z23" s="498" t="s">
        <v>467</v>
      </c>
      <c r="AA23" s="498" t="s"/>
      <c r="AB23" s="499" t="s"/>
      <c r="AC23" s="499" t="s"/>
      <c r="AD23" s="498" t="s">
        <v>571</v>
      </c>
      <c r="AE23" s="498" t="s">
        <v>571</v>
      </c>
      <c r="AF23" s="498" t="s">
        <v>580</v>
      </c>
      <c r="AG23" s="499" t="s"/>
      <c r="AH23" s="499" t="s"/>
      <c r="AI23" s="498" t="s">
        <v>458</v>
      </c>
      <c r="AJ23" s="498" t="s">
        <v>578</v>
      </c>
    </row>
    <row r="24" spans="1:36">
      <c r="A24" s="498" t="s">
        <v>108</v>
      </c>
      <c r="B24" s="498" t="s">
        <v>462</v>
      </c>
      <c r="C24" s="498" t="s">
        <v>40</v>
      </c>
      <c r="D24" s="498" t="s">
        <v>446</v>
      </c>
      <c r="E24" s="498" t="s">
        <v>581</v>
      </c>
      <c r="F24" s="498" t="s">
        <v>110</v>
      </c>
      <c r="G24" s="498" t="s">
        <v>463</v>
      </c>
      <c r="H24" s="498" t="s">
        <v>449</v>
      </c>
      <c r="I24" s="498" t="s">
        <v>450</v>
      </c>
      <c r="J24" s="498" t="s">
        <v>451</v>
      </c>
      <c r="K24" s="498" t="s">
        <v>582</v>
      </c>
      <c r="L24" s="498" t="s">
        <v>57</v>
      </c>
      <c r="M24" s="498" t="s">
        <v>58</v>
      </c>
      <c r="N24" s="498" t="s">
        <v>59</v>
      </c>
      <c r="O24" s="498" t="s">
        <v>60</v>
      </c>
      <c r="P24" s="498" t="s">
        <v>111</v>
      </c>
      <c r="Q24" s="498" t="s">
        <v>167</v>
      </c>
      <c r="R24" s="498" t="s">
        <v>52</v>
      </c>
      <c r="S24" s="498" t="s">
        <v>52</v>
      </c>
      <c r="T24" s="499" t="s"/>
      <c r="U24" s="499" t="s"/>
      <c r="V24" s="498" t="s">
        <v>467</v>
      </c>
      <c r="W24" s="498" t="s">
        <v>457</v>
      </c>
      <c r="X24" s="498" t="s">
        <v>468</v>
      </c>
      <c r="Y24" s="498" t="s">
        <v>485</v>
      </c>
      <c r="Z24" s="498" t="s">
        <v>486</v>
      </c>
      <c r="AA24" s="498" t="s"/>
      <c r="AB24" s="499" t="s"/>
      <c r="AC24" s="499" t="s"/>
      <c r="AD24" s="498" t="s">
        <v>571</v>
      </c>
      <c r="AE24" s="498" t="s">
        <v>571</v>
      </c>
      <c r="AF24" s="498" t="s">
        <v>580</v>
      </c>
      <c r="AG24" s="499" t="s"/>
      <c r="AH24" s="499" t="s"/>
      <c r="AI24" s="498" t="s">
        <v>458</v>
      </c>
      <c r="AJ24" s="498" t="s">
        <v>581</v>
      </c>
    </row>
    <row r="25" spans="1:36">
      <c r="A25" s="498" t="s">
        <v>108</v>
      </c>
      <c r="B25" s="498" t="s">
        <v>462</v>
      </c>
      <c r="C25" s="498" t="s">
        <v>40</v>
      </c>
      <c r="D25" s="498" t="s">
        <v>446</v>
      </c>
      <c r="E25" s="498" t="s">
        <v>583</v>
      </c>
      <c r="F25" s="498" t="s">
        <v>110</v>
      </c>
      <c r="G25" s="498" t="s">
        <v>463</v>
      </c>
      <c r="H25" s="498" t="s">
        <v>449</v>
      </c>
      <c r="I25" s="498" t="s">
        <v>450</v>
      </c>
      <c r="J25" s="498" t="s">
        <v>451</v>
      </c>
      <c r="K25" s="498" t="s">
        <v>584</v>
      </c>
      <c r="L25" s="498" t="s">
        <v>57</v>
      </c>
      <c r="M25" s="498" t="s">
        <v>58</v>
      </c>
      <c r="N25" s="498" t="s">
        <v>59</v>
      </c>
      <c r="O25" s="498" t="s">
        <v>60</v>
      </c>
      <c r="P25" s="498" t="s">
        <v>111</v>
      </c>
      <c r="Q25" s="498" t="s">
        <v>167</v>
      </c>
      <c r="R25" s="498" t="s">
        <v>52</v>
      </c>
      <c r="S25" s="498" t="s">
        <v>52</v>
      </c>
      <c r="T25" s="499" t="s"/>
      <c r="U25" s="499" t="s"/>
      <c r="V25" s="498" t="s">
        <v>467</v>
      </c>
      <c r="W25" s="498" t="s">
        <v>457</v>
      </c>
      <c r="X25" s="498" t="s">
        <v>468</v>
      </c>
      <c r="Y25" s="498" t="s">
        <v>485</v>
      </c>
      <c r="Z25" s="498" t="s">
        <v>486</v>
      </c>
      <c r="AA25" s="498" t="s"/>
      <c r="AB25" s="499" t="s"/>
      <c r="AC25" s="499" t="s"/>
      <c r="AD25" s="498" t="s">
        <v>571</v>
      </c>
      <c r="AE25" s="498" t="s">
        <v>571</v>
      </c>
      <c r="AF25" s="498" t="s">
        <v>580</v>
      </c>
      <c r="AG25" s="499" t="s"/>
      <c r="AH25" s="499" t="s"/>
      <c r="AI25" s="498" t="s">
        <v>458</v>
      </c>
      <c r="AJ25" s="498" t="s">
        <v>583</v>
      </c>
    </row>
    <row r="26" spans="1:36">
      <c r="A26" s="498" t="s">
        <v>585</v>
      </c>
      <c r="B26" s="498" t="s">
        <v>445</v>
      </c>
      <c r="C26" s="498" t="s">
        <v>52</v>
      </c>
      <c r="D26" s="498" t="s">
        <v>446</v>
      </c>
      <c r="E26" s="498" t="s">
        <v>586</v>
      </c>
      <c r="F26" s="498" t="s">
        <v>138</v>
      </c>
      <c r="G26" s="498" t="s">
        <v>463</v>
      </c>
      <c r="H26" s="499" t="s"/>
      <c r="I26" s="499" t="s"/>
      <c r="J26" s="499" t="s"/>
      <c r="K26" s="499" t="s"/>
      <c r="L26" s="498" t="s">
        <v>167</v>
      </c>
      <c r="M26" s="498" t="s">
        <v>58</v>
      </c>
      <c r="N26" s="498" t="s">
        <v>92</v>
      </c>
      <c r="O26" s="498" t="s">
        <v>93</v>
      </c>
      <c r="P26" s="498" t="s">
        <v>258</v>
      </c>
      <c r="Q26" s="498" t="s">
        <v>167</v>
      </c>
      <c r="R26" s="498" t="s">
        <v>52</v>
      </c>
      <c r="S26" s="498" t="s">
        <v>52</v>
      </c>
      <c r="T26" s="499" t="s"/>
      <c r="U26" s="499" t="s"/>
      <c r="V26" s="498" t="s">
        <v>466</v>
      </c>
      <c r="W26" s="498" t="s">
        <v>456</v>
      </c>
      <c r="X26" s="498" t="s">
        <v>467</v>
      </c>
      <c r="Y26" s="498" t="s">
        <v>468</v>
      </c>
      <c r="Z26" s="498" t="s">
        <v>485</v>
      </c>
      <c r="AA26" s="498" t="s">
        <v>563</v>
      </c>
      <c r="AB26" s="499" t="s"/>
      <c r="AC26" s="499" t="s"/>
      <c r="AD26" s="499" t="s"/>
      <c r="AE26" s="499" t="s"/>
      <c r="AF26" s="499" t="s"/>
      <c r="AG26" s="499" t="s"/>
      <c r="AH26" s="499" t="s"/>
      <c r="AI26" s="498" t="s"/>
      <c r="AJ26" s="498" t="s">
        <v>586</v>
      </c>
    </row>
    <row r="27" spans="1:36">
      <c r="A27" s="498" t="s">
        <v>151</v>
      </c>
      <c r="B27" s="498" t="s">
        <v>462</v>
      </c>
      <c r="C27" s="498" t="s">
        <v>40</v>
      </c>
      <c r="D27" s="498" t="s">
        <v>446</v>
      </c>
      <c r="E27" s="498" t="s">
        <v>587</v>
      </c>
      <c r="F27" s="498" t="s">
        <v>138</v>
      </c>
      <c r="G27" s="498" t="s">
        <v>463</v>
      </c>
      <c r="H27" s="499" t="s"/>
      <c r="I27" s="499" t="s"/>
      <c r="J27" s="499" t="s"/>
      <c r="K27" s="498" t="s">
        <v>588</v>
      </c>
      <c r="L27" s="498" t="s">
        <v>154</v>
      </c>
      <c r="M27" s="498" t="s">
        <v>58</v>
      </c>
      <c r="N27" s="498" t="s">
        <v>92</v>
      </c>
      <c r="O27" s="498" t="s">
        <v>93</v>
      </c>
      <c r="P27" s="498" t="s">
        <v>310</v>
      </c>
      <c r="Q27" s="498" t="s">
        <v>167</v>
      </c>
      <c r="R27" s="498" t="s">
        <v>40</v>
      </c>
      <c r="S27" s="498" t="s">
        <v>40</v>
      </c>
      <c r="T27" s="499" t="s"/>
      <c r="U27" s="499" t="s"/>
      <c r="V27" s="498" t="s">
        <v>457</v>
      </c>
      <c r="W27" s="498" t="s">
        <v>453</v>
      </c>
      <c r="X27" s="498" t="s">
        <v>465</v>
      </c>
      <c r="Y27" s="498" t="s">
        <v>466</v>
      </c>
      <c r="Z27" s="498" t="s">
        <v>467</v>
      </c>
      <c r="AA27" s="498" t="s"/>
      <c r="AB27" s="499" t="s"/>
      <c r="AC27" s="498" t="s">
        <v>589</v>
      </c>
      <c r="AD27" s="498" t="s">
        <v>590</v>
      </c>
      <c r="AE27" s="498" t="s">
        <v>38</v>
      </c>
      <c r="AF27" s="499" t="s"/>
      <c r="AG27" s="499" t="s"/>
      <c r="AH27" s="499" t="s"/>
      <c r="AI27" s="498" t="s"/>
      <c r="AJ27" s="498" t="s">
        <v>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other">
    <tabColor rgb="FFF2F2F2"/>
  </sheetPr>
  <dimension ref="E26"/>
  <sheetViews>
    <sheetView showGridLines="1" workbookViewId="0"/>
  </sheetViews>
  <sheetFormatPr baseColWidth="13" defaultRowHeight="18" customHeight="1"/>
  <cols>
    <col min="1" max="1" width="15.7109" customWidth="1"/>
    <col min="2" max="2" width="44.7109" customWidth="1"/>
    <col min="3" max="3" width="25.7109" customWidth="1"/>
    <col min="4" max="4" width="14.7109" customWidth="1"/>
    <col min="5" max="5" width="5.71094" customWidth="1"/>
  </cols>
  <sheetData>
    <row r="1" spans="1:5">
      <c r="A1" s="522" t="s">
        <v>425</v>
      </c>
      <c r="B1" s="523" t="s">
        <v>595</v>
      </c>
      <c r="C1" s="524" t="s">
        <v>596</v>
      </c>
      <c r="D1" s="523" t="s">
        <v>597</v>
      </c>
      <c r="E1" s="525" t="s"/>
    </row>
    <row r="2" spans="1:5">
      <c r="A2" s="526" t="s">
        <v>598</v>
      </c>
      <c r="B2" s="527" t="s">
        <v>599</v>
      </c>
      <c r="C2" s="528">
        <v>2025.3</v>
      </c>
      <c r="D2" s="527" t="s">
        <v>600</v>
      </c>
      <c r="E2" s="525" t="s"/>
    </row>
    <row r="3" spans="1:5">
      <c r="A3" s="529">
        <v>300010000031</v>
      </c>
      <c r="B3" s="530" t="s">
        <v>601</v>
      </c>
      <c r="C3" s="531">
        <v>2026.9</v>
      </c>
      <c r="D3" s="530" t="s"/>
      <c r="E3" s="525" t="s"/>
    </row>
    <row r="4" spans="1:5">
      <c r="A4" s="532" t="s">
        <v>602</v>
      </c>
      <c r="B4" s="525" t="s">
        <v>603</v>
      </c>
      <c r="C4" s="533">
        <v>2028.6</v>
      </c>
      <c r="D4" s="534" t="s"/>
      <c r="E4" s="525" t="s"/>
    </row>
    <row r="5" spans="1:5">
      <c r="A5" s="532" t="s">
        <v>604</v>
      </c>
      <c r="B5" s="523" t="s">
        <v>605</v>
      </c>
      <c r="C5" s="533">
        <v>2030.5</v>
      </c>
      <c r="D5" s="534" t="s"/>
      <c r="E5" s="525" t="s"/>
    </row>
    <row r="6" spans="1:5">
      <c r="A6" s="532" t="s">
        <v>606</v>
      </c>
      <c r="B6" s="534" t="s">
        <v>607</v>
      </c>
      <c r="C6" s="534" t="s"/>
      <c r="D6" s="534" t="s">
        <v>608</v>
      </c>
      <c r="E6" s="525" t="s"/>
    </row>
    <row r="7" spans="1:5">
      <c r="A7" s="532" t="s">
        <v>609</v>
      </c>
      <c r="B7" s="534" t="s">
        <v>610</v>
      </c>
      <c r="C7" s="534" t="s"/>
      <c r="D7" s="534" t="s">
        <v>611</v>
      </c>
      <c r="E7" s="525" t="s"/>
    </row>
    <row r="8" spans="1:5">
      <c r="A8" s="535" t="s">
        <v>612</v>
      </c>
      <c r="B8" s="530" t="s">
        <v>613</v>
      </c>
      <c r="C8" s="530" t="s">
        <v>614</v>
      </c>
      <c r="D8" s="530" t="s"/>
      <c r="E8" s="525" t="s"/>
    </row>
    <row r="9" spans="1:5">
      <c r="A9" s="532" t="s">
        <v>615</v>
      </c>
      <c r="B9" s="534" t="s">
        <v>616</v>
      </c>
      <c r="C9" s="533">
        <v>2027.04</v>
      </c>
      <c r="D9" s="534" t="s"/>
      <c r="E9" s="525" t="s"/>
    </row>
    <row r="10" spans="1:5">
      <c r="A10" s="535" t="s">
        <v>617</v>
      </c>
      <c r="B10" s="530" t="s">
        <v>618</v>
      </c>
      <c r="C10" s="531">
        <v>2026.11</v>
      </c>
      <c r="D10" s="530" t="s"/>
      <c r="E10" s="525" t="s"/>
    </row>
    <row r="11" spans="1:5">
      <c r="A11" s="532" t="s">
        <v>619</v>
      </c>
      <c r="B11" s="534" t="s">
        <v>620</v>
      </c>
      <c r="C11" s="533">
        <v>2027.03</v>
      </c>
      <c r="D11" s="534" t="s"/>
      <c r="E11" s="525" t="s"/>
    </row>
    <row r="12" spans="1:5">
      <c r="A12" s="535" t="s">
        <v>621</v>
      </c>
      <c r="B12" s="530" t="s">
        <v>622</v>
      </c>
      <c r="C12" s="531">
        <v>2026.07</v>
      </c>
      <c r="D12" s="530" t="s"/>
      <c r="E12" s="525" t="s"/>
    </row>
    <row r="13" spans="1:5">
      <c r="A13" s="535" t="s">
        <v>623</v>
      </c>
      <c r="B13" s="530" t="s">
        <v>624</v>
      </c>
      <c r="C13" s="531">
        <v>2026.07</v>
      </c>
      <c r="D13" s="530" t="s"/>
      <c r="E13" s="525" t="s"/>
    </row>
    <row r="14" spans="1:5">
      <c r="A14" s="535" t="s">
        <v>625</v>
      </c>
      <c r="B14" s="530" t="s">
        <v>626</v>
      </c>
      <c r="C14" s="531">
        <v>2026.06</v>
      </c>
      <c r="D14" s="530" t="s"/>
      <c r="E14" s="525" t="s"/>
    </row>
    <row r="15" spans="1:5">
      <c r="A15" s="532" t="s">
        <v>627</v>
      </c>
      <c r="B15" s="534" t="s">
        <v>628</v>
      </c>
      <c r="C15" s="533">
        <v>2027.01</v>
      </c>
      <c r="D15" s="534" t="s"/>
      <c r="E15" s="525" t="s">
        <v>629</v>
      </c>
    </row>
    <row r="16" spans="1:5">
      <c r="A16" s="526" t="s">
        <v>630</v>
      </c>
      <c r="B16" s="527" t="s">
        <v>631</v>
      </c>
      <c r="C16" s="527" t="s">
        <v>632</v>
      </c>
      <c r="D16" s="527" t="s">
        <v>600</v>
      </c>
      <c r="E16" s="525" t="s"/>
    </row>
    <row r="17" spans="1:5">
      <c r="A17" s="532" t="s">
        <v>633</v>
      </c>
      <c r="B17" s="534" t="s">
        <v>634</v>
      </c>
      <c r="C17" s="536">
        <v>2028.04</v>
      </c>
      <c r="D17" s="534" t="s"/>
      <c r="E17" s="525" t="s"/>
    </row>
    <row r="18" spans="1:5">
      <c r="A18" s="532" t="s">
        <v>635</v>
      </c>
      <c r="B18" s="534" t="s">
        <v>636</v>
      </c>
      <c r="C18" s="536">
        <v>2028.04</v>
      </c>
      <c r="D18" s="534" t="s"/>
      <c r="E18" s="525" t="s"/>
    </row>
    <row r="19" spans="1:5">
      <c r="A19" s="532" t="s">
        <v>637</v>
      </c>
      <c r="B19" s="534" t="s">
        <v>638</v>
      </c>
      <c r="C19" s="533">
        <v>2028.04</v>
      </c>
      <c r="D19" s="534" t="s"/>
      <c r="E19" s="525" t="s"/>
    </row>
    <row r="20" spans="1:5">
      <c r="A20" s="535" t="s">
        <v>639</v>
      </c>
      <c r="B20" s="530" t="s">
        <v>640</v>
      </c>
      <c r="C20" s="531">
        <v>2026.04</v>
      </c>
      <c r="D20" s="530" t="s"/>
      <c r="E20" s="525" t="s"/>
    </row>
    <row r="21" spans="1:5">
      <c r="A21" s="535" t="s">
        <v>641</v>
      </c>
      <c r="B21" s="530" t="s">
        <v>642</v>
      </c>
      <c r="C21" s="537">
        <v>2026.09</v>
      </c>
      <c r="D21" s="530" t="s"/>
      <c r="E21" s="525" t="s">
        <v>643</v>
      </c>
    </row>
    <row r="22" spans="1:5">
      <c r="A22" s="535" t="s">
        <v>644</v>
      </c>
      <c r="B22" s="530" t="s">
        <v>645</v>
      </c>
      <c r="C22" s="531">
        <v>2026.08</v>
      </c>
      <c r="D22" s="530" t="s"/>
      <c r="E22" s="525" t="s"/>
    </row>
    <row r="23" spans="1:5">
      <c r="A23" s="535" t="s">
        <v>646</v>
      </c>
      <c r="B23" s="530" t="s">
        <v>647</v>
      </c>
      <c r="C23" s="537">
        <v>2026.04</v>
      </c>
      <c r="D23" s="530" t="s"/>
      <c r="E23" s="525" t="s"/>
    </row>
    <row r="24" spans="1:5">
      <c r="A24" s="535" t="s">
        <v>648</v>
      </c>
      <c r="B24" s="530" t="s">
        <v>649</v>
      </c>
      <c r="C24" s="537">
        <v>2026.02</v>
      </c>
      <c r="D24" s="530" t="s"/>
      <c r="E24" s="525" t="s"/>
    </row>
    <row r="25" spans="1:5">
      <c r="A25" s="532" t="s">
        <v>650</v>
      </c>
      <c r="B25" s="534" t="s">
        <v>651</v>
      </c>
      <c r="C25" s="536">
        <v>2027.07</v>
      </c>
      <c r="D25" s="534" t="s"/>
      <c r="E25" s="525" t="s"/>
    </row>
    <row r="26" spans="1:5">
      <c r="A26" s="532" t="s">
        <v>652</v>
      </c>
      <c r="B26" s="534" t="s">
        <v>653</v>
      </c>
      <c r="C26" s="538" t="s">
        <v>654</v>
      </c>
      <c r="D26" s="534" t="s"/>
      <c r="E26" s="52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2026-09-14T13:15:19Z</dcterms:created>
  <dcterms:modified xsi:type="dcterms:W3CDTF">2026-09-14T13:15:19Z</dcterms:modified>
</cp:coreProperties>
</file>